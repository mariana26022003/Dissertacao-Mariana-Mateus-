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anaMateus\Desktop\Dissertação\Dissertação final\Entrega final\Testes e exceis\"/>
    </mc:Choice>
  </mc:AlternateContent>
  <xr:revisionPtr revIDLastSave="0" documentId="8_{3DD155FF-0893-4B16-9C35-EA52EF0BBA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stes estatísticos" sheetId="1" r:id="rId1"/>
    <sheet name="Estatística descritiva" sheetId="2" r:id="rId2"/>
    <sheet name="Testes emparelhados" sheetId="3" r:id="rId3"/>
    <sheet name="Hodges-Lehmann" sheetId="4" r:id="rId4"/>
    <sheet name="Sincronização" sheetId="5" r:id="rId5"/>
    <sheet name="Etapas do ciclo" sheetId="6" r:id="rId6"/>
    <sheet name="Pick-and-place" sheetId="7" r:id="rId7"/>
    <sheet name="TCP e erro" sheetId="8" r:id="rId8"/>
    <sheet name="Planeadores" sheetId="9" r:id="rId9"/>
    <sheet name="Obstáculos" sheetId="10" r:id="rId10"/>
    <sheet name="Segurança" sheetId="11" r:id="rId11"/>
    <sheet name="Dados auxiliares" sheetId="12" r:id="rId12"/>
    <sheet name="Dados planeadore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3" l="1"/>
  <c r="L25" i="13" s="1"/>
  <c r="M25" i="13" s="1"/>
  <c r="N25" i="13" s="1"/>
  <c r="K24" i="13"/>
  <c r="L24" i="13" s="1"/>
  <c r="M24" i="13" s="1"/>
  <c r="N24" i="13" s="1"/>
  <c r="K23" i="13"/>
  <c r="L23" i="13" s="1"/>
  <c r="M23" i="13" s="1"/>
  <c r="N23" i="13" s="1"/>
  <c r="K22" i="13"/>
  <c r="L22" i="13" s="1"/>
  <c r="M22" i="13" s="1"/>
  <c r="N22" i="13" s="1"/>
  <c r="K21" i="13"/>
  <c r="L21" i="13" s="1"/>
  <c r="M21" i="13" s="1"/>
  <c r="N21" i="13" s="1"/>
  <c r="K20" i="13"/>
  <c r="L20" i="13" s="1"/>
  <c r="M20" i="13" s="1"/>
  <c r="N20" i="13" s="1"/>
  <c r="K19" i="13"/>
  <c r="L19" i="13" s="1"/>
  <c r="M19" i="13" s="1"/>
  <c r="N19" i="13" s="1"/>
  <c r="K18" i="13"/>
  <c r="L18" i="13" s="1"/>
  <c r="M18" i="13" s="1"/>
  <c r="N18" i="13" s="1"/>
  <c r="K17" i="13"/>
  <c r="L17" i="13" s="1"/>
  <c r="M17" i="13" s="1"/>
  <c r="N17" i="13" s="1"/>
  <c r="L13" i="13"/>
  <c r="N13" i="13" s="1"/>
  <c r="L12" i="13"/>
  <c r="N12" i="13" s="1"/>
  <c r="L11" i="13"/>
  <c r="N11" i="13" s="1"/>
  <c r="L7" i="13"/>
  <c r="N7" i="13" s="1"/>
  <c r="L6" i="13"/>
  <c r="N6" i="13" s="1"/>
  <c r="L5" i="13"/>
  <c r="N5" i="13" s="1"/>
  <c r="C70" i="9"/>
  <c r="B70" i="9"/>
  <c r="A70" i="9"/>
  <c r="C69" i="9"/>
  <c r="B69" i="9"/>
  <c r="A69" i="9"/>
  <c r="C68" i="9"/>
  <c r="B68" i="9"/>
  <c r="A68" i="9"/>
  <c r="EH316" i="4"/>
  <c r="EG316" i="4"/>
  <c r="EF316" i="4"/>
  <c r="EE316" i="4"/>
  <c r="ED316" i="4"/>
  <c r="EC316" i="4"/>
  <c r="EB316" i="4"/>
  <c r="EA316" i="4"/>
  <c r="DZ316" i="4"/>
  <c r="DY316" i="4"/>
  <c r="DX316" i="4"/>
  <c r="DW316" i="4"/>
  <c r="DV316" i="4"/>
  <c r="DU316" i="4"/>
  <c r="DT316" i="4"/>
  <c r="DS316" i="4"/>
  <c r="DR316" i="4"/>
  <c r="DQ316" i="4"/>
  <c r="DP316" i="4"/>
  <c r="DO316" i="4"/>
  <c r="DN316" i="4"/>
  <c r="DM316" i="4"/>
  <c r="DL316" i="4"/>
  <c r="DK316" i="4"/>
  <c r="DJ316" i="4"/>
  <c r="DI316" i="4"/>
  <c r="DH316" i="4"/>
  <c r="DG316" i="4"/>
  <c r="DF316" i="4"/>
  <c r="DE316" i="4"/>
  <c r="DD316" i="4"/>
  <c r="DC316" i="4"/>
  <c r="DB316" i="4"/>
  <c r="DA316" i="4"/>
  <c r="CZ316" i="4"/>
  <c r="CY316" i="4"/>
  <c r="CX316" i="4"/>
  <c r="CW316" i="4"/>
  <c r="CV316" i="4"/>
  <c r="CU316" i="4"/>
  <c r="CT316" i="4"/>
  <c r="CS316" i="4"/>
  <c r="CR316" i="4"/>
  <c r="CQ316" i="4"/>
  <c r="CP316" i="4"/>
  <c r="CO316" i="4"/>
  <c r="CN316" i="4"/>
  <c r="CM316" i="4"/>
  <c r="CL316" i="4"/>
  <c r="CK316" i="4"/>
  <c r="CJ316" i="4"/>
  <c r="CI316" i="4"/>
  <c r="CH316" i="4"/>
  <c r="CG316" i="4"/>
  <c r="CF316" i="4"/>
  <c r="CE316" i="4"/>
  <c r="CD316" i="4"/>
  <c r="CC316" i="4"/>
  <c r="CB316" i="4"/>
  <c r="CA316" i="4"/>
  <c r="BZ316" i="4"/>
  <c r="BY316" i="4"/>
  <c r="BX316" i="4"/>
  <c r="BW316" i="4"/>
  <c r="BV316" i="4"/>
  <c r="BU316" i="4"/>
  <c r="BT316" i="4"/>
  <c r="BS316" i="4"/>
  <c r="BR316" i="4"/>
  <c r="BQ316" i="4"/>
  <c r="BP316" i="4"/>
  <c r="BO316" i="4"/>
  <c r="BN316" i="4"/>
  <c r="BM316" i="4"/>
  <c r="BL316" i="4"/>
  <c r="BK316" i="4"/>
  <c r="BJ316" i="4"/>
  <c r="BI316" i="4"/>
  <c r="BH316" i="4"/>
  <c r="BG316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Q316" i="4"/>
  <c r="AP316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Z316" i="4"/>
  <c r="Y316" i="4"/>
  <c r="X316" i="4"/>
  <c r="W316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EG315" i="4"/>
  <c r="EF315" i="4"/>
  <c r="EE315" i="4"/>
  <c r="ED315" i="4"/>
  <c r="EC315" i="4"/>
  <c r="EB315" i="4"/>
  <c r="EA315" i="4"/>
  <c r="DZ315" i="4"/>
  <c r="DY315" i="4"/>
  <c r="DX315" i="4"/>
  <c r="DW315" i="4"/>
  <c r="DV315" i="4"/>
  <c r="DU315" i="4"/>
  <c r="DT315" i="4"/>
  <c r="DS315" i="4"/>
  <c r="DR315" i="4"/>
  <c r="DQ315" i="4"/>
  <c r="DP315" i="4"/>
  <c r="DO315" i="4"/>
  <c r="DN315" i="4"/>
  <c r="DM315" i="4"/>
  <c r="DL315" i="4"/>
  <c r="DK315" i="4"/>
  <c r="DJ315" i="4"/>
  <c r="DI315" i="4"/>
  <c r="DH315" i="4"/>
  <c r="DG315" i="4"/>
  <c r="DF315" i="4"/>
  <c r="DE315" i="4"/>
  <c r="DD315" i="4"/>
  <c r="DC315" i="4"/>
  <c r="DB315" i="4"/>
  <c r="DA315" i="4"/>
  <c r="CZ315" i="4"/>
  <c r="CY315" i="4"/>
  <c r="CX315" i="4"/>
  <c r="CW315" i="4"/>
  <c r="CV315" i="4"/>
  <c r="CU315" i="4"/>
  <c r="CT315" i="4"/>
  <c r="CS315" i="4"/>
  <c r="CR315" i="4"/>
  <c r="CQ315" i="4"/>
  <c r="CP315" i="4"/>
  <c r="CO315" i="4"/>
  <c r="CN315" i="4"/>
  <c r="CM315" i="4"/>
  <c r="CL315" i="4"/>
  <c r="CK315" i="4"/>
  <c r="CJ315" i="4"/>
  <c r="CI315" i="4"/>
  <c r="CH315" i="4"/>
  <c r="CG315" i="4"/>
  <c r="CF315" i="4"/>
  <c r="CE315" i="4"/>
  <c r="CD315" i="4"/>
  <c r="CC315" i="4"/>
  <c r="CB315" i="4"/>
  <c r="CA315" i="4"/>
  <c r="BZ315" i="4"/>
  <c r="BY315" i="4"/>
  <c r="BX315" i="4"/>
  <c r="BW315" i="4"/>
  <c r="BV315" i="4"/>
  <c r="BU315" i="4"/>
  <c r="BT315" i="4"/>
  <c r="BS315" i="4"/>
  <c r="BR315" i="4"/>
  <c r="BQ315" i="4"/>
  <c r="BP315" i="4"/>
  <c r="BO315" i="4"/>
  <c r="BN315" i="4"/>
  <c r="BM315" i="4"/>
  <c r="BL315" i="4"/>
  <c r="BK315" i="4"/>
  <c r="BJ315" i="4"/>
  <c r="BI315" i="4"/>
  <c r="BH315" i="4"/>
  <c r="BG315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Q315" i="4"/>
  <c r="AP315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EF314" i="4"/>
  <c r="EE314" i="4"/>
  <c r="ED314" i="4"/>
  <c r="EC314" i="4"/>
  <c r="EB314" i="4"/>
  <c r="EA314" i="4"/>
  <c r="DZ314" i="4"/>
  <c r="DY314" i="4"/>
  <c r="DX314" i="4"/>
  <c r="DW314" i="4"/>
  <c r="DV314" i="4"/>
  <c r="DU314" i="4"/>
  <c r="DT314" i="4"/>
  <c r="DS314" i="4"/>
  <c r="DR314" i="4"/>
  <c r="DQ314" i="4"/>
  <c r="DP314" i="4"/>
  <c r="DO314" i="4"/>
  <c r="DN314" i="4"/>
  <c r="DM314" i="4"/>
  <c r="DL314" i="4"/>
  <c r="DK314" i="4"/>
  <c r="DJ314" i="4"/>
  <c r="DI314" i="4"/>
  <c r="DH314" i="4"/>
  <c r="DG314" i="4"/>
  <c r="DF314" i="4"/>
  <c r="DE314" i="4"/>
  <c r="DD314" i="4"/>
  <c r="DC314" i="4"/>
  <c r="DB314" i="4"/>
  <c r="DA314" i="4"/>
  <c r="CZ314" i="4"/>
  <c r="CY314" i="4"/>
  <c r="CX314" i="4"/>
  <c r="CW314" i="4"/>
  <c r="CV314" i="4"/>
  <c r="CU314" i="4"/>
  <c r="CT314" i="4"/>
  <c r="CS314" i="4"/>
  <c r="CR314" i="4"/>
  <c r="CQ314" i="4"/>
  <c r="CP314" i="4"/>
  <c r="CO314" i="4"/>
  <c r="CN314" i="4"/>
  <c r="CM314" i="4"/>
  <c r="CL314" i="4"/>
  <c r="CK314" i="4"/>
  <c r="CJ314" i="4"/>
  <c r="CI314" i="4"/>
  <c r="CH314" i="4"/>
  <c r="CG314" i="4"/>
  <c r="CF314" i="4"/>
  <c r="CE314" i="4"/>
  <c r="CD314" i="4"/>
  <c r="CC314" i="4"/>
  <c r="CB314" i="4"/>
  <c r="CA314" i="4"/>
  <c r="BZ314" i="4"/>
  <c r="BY314" i="4"/>
  <c r="BX314" i="4"/>
  <c r="BW314" i="4"/>
  <c r="BV314" i="4"/>
  <c r="BU314" i="4"/>
  <c r="BT314" i="4"/>
  <c r="BS314" i="4"/>
  <c r="BR314" i="4"/>
  <c r="BQ314" i="4"/>
  <c r="BP314" i="4"/>
  <c r="BO314" i="4"/>
  <c r="BN314" i="4"/>
  <c r="BM314" i="4"/>
  <c r="BL314" i="4"/>
  <c r="BK314" i="4"/>
  <c r="BJ314" i="4"/>
  <c r="BI314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EE313" i="4"/>
  <c r="ED313" i="4"/>
  <c r="EC313" i="4"/>
  <c r="EB313" i="4"/>
  <c r="EA313" i="4"/>
  <c r="DZ313" i="4"/>
  <c r="DY313" i="4"/>
  <c r="DX313" i="4"/>
  <c r="DW313" i="4"/>
  <c r="DV313" i="4"/>
  <c r="DU313" i="4"/>
  <c r="DT313" i="4"/>
  <c r="DS313" i="4"/>
  <c r="DR313" i="4"/>
  <c r="DQ313" i="4"/>
  <c r="DP313" i="4"/>
  <c r="DO313" i="4"/>
  <c r="DN313" i="4"/>
  <c r="DM313" i="4"/>
  <c r="DL313" i="4"/>
  <c r="DK313" i="4"/>
  <c r="DJ313" i="4"/>
  <c r="DI313" i="4"/>
  <c r="DH313" i="4"/>
  <c r="DG313" i="4"/>
  <c r="DF313" i="4"/>
  <c r="DE313" i="4"/>
  <c r="DD313" i="4"/>
  <c r="DC313" i="4"/>
  <c r="DB313" i="4"/>
  <c r="DA313" i="4"/>
  <c r="CZ313" i="4"/>
  <c r="CY313" i="4"/>
  <c r="CX313" i="4"/>
  <c r="CW313" i="4"/>
  <c r="CV313" i="4"/>
  <c r="CU313" i="4"/>
  <c r="CT313" i="4"/>
  <c r="CS313" i="4"/>
  <c r="CR313" i="4"/>
  <c r="CQ313" i="4"/>
  <c r="CP313" i="4"/>
  <c r="CO313" i="4"/>
  <c r="CN313" i="4"/>
  <c r="CM313" i="4"/>
  <c r="CL313" i="4"/>
  <c r="CK313" i="4"/>
  <c r="CJ313" i="4"/>
  <c r="CI313" i="4"/>
  <c r="CH313" i="4"/>
  <c r="CG313" i="4"/>
  <c r="CF313" i="4"/>
  <c r="CE313" i="4"/>
  <c r="CD313" i="4"/>
  <c r="CC313" i="4"/>
  <c r="CB313" i="4"/>
  <c r="CA313" i="4"/>
  <c r="BZ313" i="4"/>
  <c r="BY313" i="4"/>
  <c r="BX313" i="4"/>
  <c r="BW313" i="4"/>
  <c r="BV313" i="4"/>
  <c r="BU313" i="4"/>
  <c r="BT313" i="4"/>
  <c r="BS313" i="4"/>
  <c r="BR313" i="4"/>
  <c r="BQ313" i="4"/>
  <c r="BP313" i="4"/>
  <c r="BO313" i="4"/>
  <c r="BN313" i="4"/>
  <c r="BM313" i="4"/>
  <c r="BL313" i="4"/>
  <c r="BK313" i="4"/>
  <c r="BJ313" i="4"/>
  <c r="BI313" i="4"/>
  <c r="BH313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ED312" i="4"/>
  <c r="EC312" i="4"/>
  <c r="EB312" i="4"/>
  <c r="EA312" i="4"/>
  <c r="DZ312" i="4"/>
  <c r="DY312" i="4"/>
  <c r="DX312" i="4"/>
  <c r="DW312" i="4"/>
  <c r="DV312" i="4"/>
  <c r="DU312" i="4"/>
  <c r="DT312" i="4"/>
  <c r="DS312" i="4"/>
  <c r="DR312" i="4"/>
  <c r="DQ312" i="4"/>
  <c r="DP312" i="4"/>
  <c r="DO312" i="4"/>
  <c r="DN312" i="4"/>
  <c r="DM312" i="4"/>
  <c r="DL312" i="4"/>
  <c r="DK312" i="4"/>
  <c r="DJ312" i="4"/>
  <c r="DI312" i="4"/>
  <c r="DH312" i="4"/>
  <c r="DG312" i="4"/>
  <c r="DF312" i="4"/>
  <c r="DE312" i="4"/>
  <c r="DD312" i="4"/>
  <c r="DC312" i="4"/>
  <c r="DB312" i="4"/>
  <c r="DA312" i="4"/>
  <c r="CZ312" i="4"/>
  <c r="CY312" i="4"/>
  <c r="CX312" i="4"/>
  <c r="CW312" i="4"/>
  <c r="CV312" i="4"/>
  <c r="CU312" i="4"/>
  <c r="CT312" i="4"/>
  <c r="CS312" i="4"/>
  <c r="CR312" i="4"/>
  <c r="CQ312" i="4"/>
  <c r="CP312" i="4"/>
  <c r="CO312" i="4"/>
  <c r="CN312" i="4"/>
  <c r="CM312" i="4"/>
  <c r="CL312" i="4"/>
  <c r="CK312" i="4"/>
  <c r="CJ312" i="4"/>
  <c r="CI312" i="4"/>
  <c r="CH312" i="4"/>
  <c r="CG312" i="4"/>
  <c r="CF312" i="4"/>
  <c r="CE312" i="4"/>
  <c r="CD312" i="4"/>
  <c r="CC312" i="4"/>
  <c r="CB312" i="4"/>
  <c r="CA312" i="4"/>
  <c r="BZ312" i="4"/>
  <c r="BY312" i="4"/>
  <c r="BX312" i="4"/>
  <c r="BW312" i="4"/>
  <c r="BV312" i="4"/>
  <c r="BU312" i="4"/>
  <c r="BT312" i="4"/>
  <c r="BS312" i="4"/>
  <c r="BR312" i="4"/>
  <c r="BQ312" i="4"/>
  <c r="BP312" i="4"/>
  <c r="BO312" i="4"/>
  <c r="BN312" i="4"/>
  <c r="BM312" i="4"/>
  <c r="BL312" i="4"/>
  <c r="BK312" i="4"/>
  <c r="BJ312" i="4"/>
  <c r="BI312" i="4"/>
  <c r="BH312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EC311" i="4"/>
  <c r="EB311" i="4"/>
  <c r="EA311" i="4"/>
  <c r="DZ311" i="4"/>
  <c r="DY311" i="4"/>
  <c r="DX311" i="4"/>
  <c r="DW311" i="4"/>
  <c r="DV311" i="4"/>
  <c r="DU311" i="4"/>
  <c r="DT311" i="4"/>
  <c r="DS311" i="4"/>
  <c r="DR311" i="4"/>
  <c r="DQ311" i="4"/>
  <c r="DP311" i="4"/>
  <c r="DO311" i="4"/>
  <c r="DN311" i="4"/>
  <c r="DM311" i="4"/>
  <c r="DL311" i="4"/>
  <c r="DK311" i="4"/>
  <c r="DJ311" i="4"/>
  <c r="DI311" i="4"/>
  <c r="DH311" i="4"/>
  <c r="DG311" i="4"/>
  <c r="DF311" i="4"/>
  <c r="DE311" i="4"/>
  <c r="DD311" i="4"/>
  <c r="DC311" i="4"/>
  <c r="DB311" i="4"/>
  <c r="DA311" i="4"/>
  <c r="CZ311" i="4"/>
  <c r="CY311" i="4"/>
  <c r="CX311" i="4"/>
  <c r="CW311" i="4"/>
  <c r="CV311" i="4"/>
  <c r="CU311" i="4"/>
  <c r="CT311" i="4"/>
  <c r="CS311" i="4"/>
  <c r="CR311" i="4"/>
  <c r="CQ311" i="4"/>
  <c r="CP311" i="4"/>
  <c r="CO311" i="4"/>
  <c r="CN311" i="4"/>
  <c r="CM311" i="4"/>
  <c r="CL311" i="4"/>
  <c r="CK311" i="4"/>
  <c r="CJ311" i="4"/>
  <c r="CI311" i="4"/>
  <c r="CH311" i="4"/>
  <c r="CG311" i="4"/>
  <c r="CF311" i="4"/>
  <c r="CE311" i="4"/>
  <c r="CD311" i="4"/>
  <c r="CC311" i="4"/>
  <c r="CB311" i="4"/>
  <c r="CA311" i="4"/>
  <c r="BZ311" i="4"/>
  <c r="BY311" i="4"/>
  <c r="BX311" i="4"/>
  <c r="BW311" i="4"/>
  <c r="BV311" i="4"/>
  <c r="BU311" i="4"/>
  <c r="BT311" i="4"/>
  <c r="BS311" i="4"/>
  <c r="BR311" i="4"/>
  <c r="BQ311" i="4"/>
  <c r="BP311" i="4"/>
  <c r="BO311" i="4"/>
  <c r="BN311" i="4"/>
  <c r="BM311" i="4"/>
  <c r="BL311" i="4"/>
  <c r="BK311" i="4"/>
  <c r="BJ311" i="4"/>
  <c r="BI311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EB310" i="4"/>
  <c r="EA310" i="4"/>
  <c r="DZ310" i="4"/>
  <c r="DY310" i="4"/>
  <c r="DX310" i="4"/>
  <c r="DW310" i="4"/>
  <c r="DV310" i="4"/>
  <c r="DU310" i="4"/>
  <c r="DT310" i="4"/>
  <c r="DS310" i="4"/>
  <c r="DR310" i="4"/>
  <c r="DQ310" i="4"/>
  <c r="DP310" i="4"/>
  <c r="DO310" i="4"/>
  <c r="DN310" i="4"/>
  <c r="DM310" i="4"/>
  <c r="DL310" i="4"/>
  <c r="DK310" i="4"/>
  <c r="DJ310" i="4"/>
  <c r="DI310" i="4"/>
  <c r="DH310" i="4"/>
  <c r="DG310" i="4"/>
  <c r="DF310" i="4"/>
  <c r="DE310" i="4"/>
  <c r="DD310" i="4"/>
  <c r="DC310" i="4"/>
  <c r="DB310" i="4"/>
  <c r="DA310" i="4"/>
  <c r="CZ310" i="4"/>
  <c r="CY310" i="4"/>
  <c r="CX310" i="4"/>
  <c r="CW310" i="4"/>
  <c r="CV310" i="4"/>
  <c r="CU310" i="4"/>
  <c r="CT310" i="4"/>
  <c r="CS310" i="4"/>
  <c r="CR310" i="4"/>
  <c r="CQ310" i="4"/>
  <c r="CP310" i="4"/>
  <c r="CO310" i="4"/>
  <c r="CN310" i="4"/>
  <c r="CM310" i="4"/>
  <c r="CL310" i="4"/>
  <c r="CK310" i="4"/>
  <c r="CJ310" i="4"/>
  <c r="CI310" i="4"/>
  <c r="CH310" i="4"/>
  <c r="CG310" i="4"/>
  <c r="CF310" i="4"/>
  <c r="CE310" i="4"/>
  <c r="CD310" i="4"/>
  <c r="CC310" i="4"/>
  <c r="CB310" i="4"/>
  <c r="CA310" i="4"/>
  <c r="BZ310" i="4"/>
  <c r="BY310" i="4"/>
  <c r="BX310" i="4"/>
  <c r="BW310" i="4"/>
  <c r="BV310" i="4"/>
  <c r="BU310" i="4"/>
  <c r="BT310" i="4"/>
  <c r="BS310" i="4"/>
  <c r="BR310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EA309" i="4"/>
  <c r="DZ309" i="4"/>
  <c r="DY309" i="4"/>
  <c r="DX309" i="4"/>
  <c r="DW309" i="4"/>
  <c r="DV309" i="4"/>
  <c r="DU309" i="4"/>
  <c r="DT309" i="4"/>
  <c r="DS309" i="4"/>
  <c r="DR309" i="4"/>
  <c r="DQ309" i="4"/>
  <c r="DP309" i="4"/>
  <c r="DO309" i="4"/>
  <c r="DN309" i="4"/>
  <c r="DM309" i="4"/>
  <c r="DL309" i="4"/>
  <c r="DK309" i="4"/>
  <c r="DJ309" i="4"/>
  <c r="DI309" i="4"/>
  <c r="DH309" i="4"/>
  <c r="DG309" i="4"/>
  <c r="DF309" i="4"/>
  <c r="DE309" i="4"/>
  <c r="DD309" i="4"/>
  <c r="DC309" i="4"/>
  <c r="DB309" i="4"/>
  <c r="DA309" i="4"/>
  <c r="CZ309" i="4"/>
  <c r="CY309" i="4"/>
  <c r="CX309" i="4"/>
  <c r="CW309" i="4"/>
  <c r="CV309" i="4"/>
  <c r="CU309" i="4"/>
  <c r="CT309" i="4"/>
  <c r="CS309" i="4"/>
  <c r="CR309" i="4"/>
  <c r="CQ309" i="4"/>
  <c r="CP309" i="4"/>
  <c r="CO309" i="4"/>
  <c r="CN309" i="4"/>
  <c r="CM309" i="4"/>
  <c r="CL309" i="4"/>
  <c r="CK309" i="4"/>
  <c r="CJ309" i="4"/>
  <c r="CI309" i="4"/>
  <c r="CH309" i="4"/>
  <c r="CG309" i="4"/>
  <c r="CF309" i="4"/>
  <c r="CE309" i="4"/>
  <c r="CD309" i="4"/>
  <c r="CC309" i="4"/>
  <c r="CB309" i="4"/>
  <c r="CA309" i="4"/>
  <c r="BZ309" i="4"/>
  <c r="BY309" i="4"/>
  <c r="BX309" i="4"/>
  <c r="BW309" i="4"/>
  <c r="BV309" i="4"/>
  <c r="BU309" i="4"/>
  <c r="BT309" i="4"/>
  <c r="BS309" i="4"/>
  <c r="BR309" i="4"/>
  <c r="BQ309" i="4"/>
  <c r="BP309" i="4"/>
  <c r="BO309" i="4"/>
  <c r="BN309" i="4"/>
  <c r="BM309" i="4"/>
  <c r="BL309" i="4"/>
  <c r="BK309" i="4"/>
  <c r="BJ309" i="4"/>
  <c r="BI309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DZ308" i="4"/>
  <c r="DY308" i="4"/>
  <c r="DX308" i="4"/>
  <c r="DW308" i="4"/>
  <c r="DV308" i="4"/>
  <c r="DU308" i="4"/>
  <c r="DT308" i="4"/>
  <c r="DS308" i="4"/>
  <c r="DR308" i="4"/>
  <c r="DQ308" i="4"/>
  <c r="DP308" i="4"/>
  <c r="DO308" i="4"/>
  <c r="DN308" i="4"/>
  <c r="DM308" i="4"/>
  <c r="DL308" i="4"/>
  <c r="DK308" i="4"/>
  <c r="DJ308" i="4"/>
  <c r="DI308" i="4"/>
  <c r="DH308" i="4"/>
  <c r="DG308" i="4"/>
  <c r="DF308" i="4"/>
  <c r="DE308" i="4"/>
  <c r="DD308" i="4"/>
  <c r="DC308" i="4"/>
  <c r="DB308" i="4"/>
  <c r="DA308" i="4"/>
  <c r="CZ308" i="4"/>
  <c r="CY308" i="4"/>
  <c r="CX308" i="4"/>
  <c r="CW308" i="4"/>
  <c r="CV308" i="4"/>
  <c r="CU308" i="4"/>
  <c r="CT308" i="4"/>
  <c r="CS308" i="4"/>
  <c r="CR308" i="4"/>
  <c r="CQ308" i="4"/>
  <c r="CP308" i="4"/>
  <c r="CO308" i="4"/>
  <c r="CN308" i="4"/>
  <c r="CM308" i="4"/>
  <c r="CL308" i="4"/>
  <c r="CK308" i="4"/>
  <c r="CJ308" i="4"/>
  <c r="CI308" i="4"/>
  <c r="CH308" i="4"/>
  <c r="CG308" i="4"/>
  <c r="CF308" i="4"/>
  <c r="CE308" i="4"/>
  <c r="CD308" i="4"/>
  <c r="CC308" i="4"/>
  <c r="CB308" i="4"/>
  <c r="CA308" i="4"/>
  <c r="BZ308" i="4"/>
  <c r="BY308" i="4"/>
  <c r="BX308" i="4"/>
  <c r="BW308" i="4"/>
  <c r="BV308" i="4"/>
  <c r="BU308" i="4"/>
  <c r="BT308" i="4"/>
  <c r="BS308" i="4"/>
  <c r="BR308" i="4"/>
  <c r="BQ308" i="4"/>
  <c r="BP308" i="4"/>
  <c r="BO308" i="4"/>
  <c r="BN308" i="4"/>
  <c r="BM308" i="4"/>
  <c r="BL308" i="4"/>
  <c r="BK308" i="4"/>
  <c r="BJ308" i="4"/>
  <c r="BI308" i="4"/>
  <c r="BH308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DY307" i="4"/>
  <c r="DX307" i="4"/>
  <c r="DW307" i="4"/>
  <c r="DV307" i="4"/>
  <c r="DU307" i="4"/>
  <c r="DT307" i="4"/>
  <c r="DS307" i="4"/>
  <c r="DR307" i="4"/>
  <c r="DQ307" i="4"/>
  <c r="DP307" i="4"/>
  <c r="DO307" i="4"/>
  <c r="DN307" i="4"/>
  <c r="DM307" i="4"/>
  <c r="DL307" i="4"/>
  <c r="DK307" i="4"/>
  <c r="DJ307" i="4"/>
  <c r="DI307" i="4"/>
  <c r="DH307" i="4"/>
  <c r="DG307" i="4"/>
  <c r="DF307" i="4"/>
  <c r="DE307" i="4"/>
  <c r="DD307" i="4"/>
  <c r="DC307" i="4"/>
  <c r="DB307" i="4"/>
  <c r="DA307" i="4"/>
  <c r="CZ307" i="4"/>
  <c r="CY307" i="4"/>
  <c r="CX307" i="4"/>
  <c r="CW307" i="4"/>
  <c r="CV307" i="4"/>
  <c r="CU307" i="4"/>
  <c r="CT307" i="4"/>
  <c r="CS307" i="4"/>
  <c r="CR307" i="4"/>
  <c r="CQ307" i="4"/>
  <c r="CP307" i="4"/>
  <c r="CO307" i="4"/>
  <c r="CN307" i="4"/>
  <c r="CM307" i="4"/>
  <c r="CL307" i="4"/>
  <c r="CK307" i="4"/>
  <c r="CJ307" i="4"/>
  <c r="CI307" i="4"/>
  <c r="CH307" i="4"/>
  <c r="CG307" i="4"/>
  <c r="CF307" i="4"/>
  <c r="CE307" i="4"/>
  <c r="CD307" i="4"/>
  <c r="CC307" i="4"/>
  <c r="CB307" i="4"/>
  <c r="CA307" i="4"/>
  <c r="BZ307" i="4"/>
  <c r="BY307" i="4"/>
  <c r="BX307" i="4"/>
  <c r="BW307" i="4"/>
  <c r="BV307" i="4"/>
  <c r="BU307" i="4"/>
  <c r="BT307" i="4"/>
  <c r="BS307" i="4"/>
  <c r="BR307" i="4"/>
  <c r="BQ307" i="4"/>
  <c r="BP307" i="4"/>
  <c r="BO307" i="4"/>
  <c r="BN307" i="4"/>
  <c r="BM307" i="4"/>
  <c r="BL307" i="4"/>
  <c r="BK307" i="4"/>
  <c r="BJ307" i="4"/>
  <c r="BI307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DX306" i="4"/>
  <c r="DW306" i="4"/>
  <c r="DV306" i="4"/>
  <c r="DU306" i="4"/>
  <c r="DT306" i="4"/>
  <c r="DS306" i="4"/>
  <c r="DR306" i="4"/>
  <c r="DQ306" i="4"/>
  <c r="DP306" i="4"/>
  <c r="DO306" i="4"/>
  <c r="DN306" i="4"/>
  <c r="DM306" i="4"/>
  <c r="DL306" i="4"/>
  <c r="DK306" i="4"/>
  <c r="DJ306" i="4"/>
  <c r="DI306" i="4"/>
  <c r="DH306" i="4"/>
  <c r="DG306" i="4"/>
  <c r="DF306" i="4"/>
  <c r="DE306" i="4"/>
  <c r="DD306" i="4"/>
  <c r="DC306" i="4"/>
  <c r="DB306" i="4"/>
  <c r="DA306" i="4"/>
  <c r="CZ306" i="4"/>
  <c r="CY306" i="4"/>
  <c r="CX306" i="4"/>
  <c r="CW306" i="4"/>
  <c r="CV306" i="4"/>
  <c r="CU306" i="4"/>
  <c r="CT306" i="4"/>
  <c r="CS306" i="4"/>
  <c r="CR306" i="4"/>
  <c r="CQ306" i="4"/>
  <c r="CP306" i="4"/>
  <c r="CO306" i="4"/>
  <c r="CN306" i="4"/>
  <c r="CM306" i="4"/>
  <c r="CL306" i="4"/>
  <c r="CK306" i="4"/>
  <c r="CJ306" i="4"/>
  <c r="CI306" i="4"/>
  <c r="CH306" i="4"/>
  <c r="CG306" i="4"/>
  <c r="CF306" i="4"/>
  <c r="CE306" i="4"/>
  <c r="CD306" i="4"/>
  <c r="CC306" i="4"/>
  <c r="CB306" i="4"/>
  <c r="CA306" i="4"/>
  <c r="BZ306" i="4"/>
  <c r="BY306" i="4"/>
  <c r="BX306" i="4"/>
  <c r="BW306" i="4"/>
  <c r="BV306" i="4"/>
  <c r="BU306" i="4"/>
  <c r="BT306" i="4"/>
  <c r="BS306" i="4"/>
  <c r="BR306" i="4"/>
  <c r="BQ306" i="4"/>
  <c r="BP306" i="4"/>
  <c r="BO306" i="4"/>
  <c r="BN306" i="4"/>
  <c r="BM306" i="4"/>
  <c r="BL306" i="4"/>
  <c r="BK306" i="4"/>
  <c r="BJ306" i="4"/>
  <c r="BI306" i="4"/>
  <c r="BH306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Q306" i="4"/>
  <c r="AP306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DW305" i="4"/>
  <c r="DV305" i="4"/>
  <c r="DU305" i="4"/>
  <c r="DT305" i="4"/>
  <c r="DS305" i="4"/>
  <c r="DR305" i="4"/>
  <c r="DQ305" i="4"/>
  <c r="DP305" i="4"/>
  <c r="DO305" i="4"/>
  <c r="DN305" i="4"/>
  <c r="DM305" i="4"/>
  <c r="DL305" i="4"/>
  <c r="DK305" i="4"/>
  <c r="DJ305" i="4"/>
  <c r="DI305" i="4"/>
  <c r="DH305" i="4"/>
  <c r="DG305" i="4"/>
  <c r="DF305" i="4"/>
  <c r="DE305" i="4"/>
  <c r="DD305" i="4"/>
  <c r="DC305" i="4"/>
  <c r="DB305" i="4"/>
  <c r="DA305" i="4"/>
  <c r="CZ305" i="4"/>
  <c r="CY305" i="4"/>
  <c r="CX305" i="4"/>
  <c r="CW305" i="4"/>
  <c r="CV305" i="4"/>
  <c r="CU305" i="4"/>
  <c r="CT305" i="4"/>
  <c r="CS305" i="4"/>
  <c r="CR305" i="4"/>
  <c r="CQ305" i="4"/>
  <c r="CP305" i="4"/>
  <c r="CO305" i="4"/>
  <c r="CN305" i="4"/>
  <c r="CM305" i="4"/>
  <c r="CL305" i="4"/>
  <c r="CK305" i="4"/>
  <c r="CJ305" i="4"/>
  <c r="CI305" i="4"/>
  <c r="CH305" i="4"/>
  <c r="CG305" i="4"/>
  <c r="CF305" i="4"/>
  <c r="CE305" i="4"/>
  <c r="CD305" i="4"/>
  <c r="CC305" i="4"/>
  <c r="CB305" i="4"/>
  <c r="CA305" i="4"/>
  <c r="BZ305" i="4"/>
  <c r="BY305" i="4"/>
  <c r="BX305" i="4"/>
  <c r="BW305" i="4"/>
  <c r="BV305" i="4"/>
  <c r="BU305" i="4"/>
  <c r="BT305" i="4"/>
  <c r="BS305" i="4"/>
  <c r="BR305" i="4"/>
  <c r="BQ305" i="4"/>
  <c r="BP305" i="4"/>
  <c r="BO305" i="4"/>
  <c r="BN305" i="4"/>
  <c r="BM305" i="4"/>
  <c r="BL305" i="4"/>
  <c r="BK305" i="4"/>
  <c r="BJ305" i="4"/>
  <c r="BI305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DV304" i="4"/>
  <c r="DU304" i="4"/>
  <c r="DT304" i="4"/>
  <c r="DS304" i="4"/>
  <c r="DR304" i="4"/>
  <c r="DQ304" i="4"/>
  <c r="DP304" i="4"/>
  <c r="DO304" i="4"/>
  <c r="DN304" i="4"/>
  <c r="DM304" i="4"/>
  <c r="DL304" i="4"/>
  <c r="DK304" i="4"/>
  <c r="DJ304" i="4"/>
  <c r="DI304" i="4"/>
  <c r="DH304" i="4"/>
  <c r="DG304" i="4"/>
  <c r="DF304" i="4"/>
  <c r="DE304" i="4"/>
  <c r="DD304" i="4"/>
  <c r="DC304" i="4"/>
  <c r="DB304" i="4"/>
  <c r="DA304" i="4"/>
  <c r="CZ304" i="4"/>
  <c r="CY304" i="4"/>
  <c r="CX304" i="4"/>
  <c r="CW304" i="4"/>
  <c r="CV304" i="4"/>
  <c r="CU304" i="4"/>
  <c r="CT304" i="4"/>
  <c r="CS304" i="4"/>
  <c r="CR304" i="4"/>
  <c r="CQ304" i="4"/>
  <c r="CP304" i="4"/>
  <c r="CO304" i="4"/>
  <c r="CN304" i="4"/>
  <c r="CM304" i="4"/>
  <c r="CL304" i="4"/>
  <c r="CK304" i="4"/>
  <c r="CJ304" i="4"/>
  <c r="CI304" i="4"/>
  <c r="CH304" i="4"/>
  <c r="CG304" i="4"/>
  <c r="CF304" i="4"/>
  <c r="CE304" i="4"/>
  <c r="CD304" i="4"/>
  <c r="CC304" i="4"/>
  <c r="CB304" i="4"/>
  <c r="CA304" i="4"/>
  <c r="BZ304" i="4"/>
  <c r="BY304" i="4"/>
  <c r="BX304" i="4"/>
  <c r="BW304" i="4"/>
  <c r="BV304" i="4"/>
  <c r="BU304" i="4"/>
  <c r="BT304" i="4"/>
  <c r="BS304" i="4"/>
  <c r="BR304" i="4"/>
  <c r="BQ304" i="4"/>
  <c r="BP304" i="4"/>
  <c r="BO304" i="4"/>
  <c r="BN304" i="4"/>
  <c r="BM304" i="4"/>
  <c r="BL304" i="4"/>
  <c r="BK304" i="4"/>
  <c r="BJ304" i="4"/>
  <c r="BI304" i="4"/>
  <c r="BH304" i="4"/>
  <c r="BG304" i="4"/>
  <c r="BF304" i="4"/>
  <c r="BE304" i="4"/>
  <c r="BD304" i="4"/>
  <c r="BC304" i="4"/>
  <c r="BB304" i="4"/>
  <c r="BA304" i="4"/>
  <c r="AZ304" i="4"/>
  <c r="AY304" i="4"/>
  <c r="AX304" i="4"/>
  <c r="AW304" i="4"/>
  <c r="AV304" i="4"/>
  <c r="AU304" i="4"/>
  <c r="AT304" i="4"/>
  <c r="AS304" i="4"/>
  <c r="AR304" i="4"/>
  <c r="AQ304" i="4"/>
  <c r="AP304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DU303" i="4"/>
  <c r="DT303" i="4"/>
  <c r="DS303" i="4"/>
  <c r="DR303" i="4"/>
  <c r="DQ303" i="4"/>
  <c r="DP303" i="4"/>
  <c r="DO303" i="4"/>
  <c r="DN303" i="4"/>
  <c r="DM303" i="4"/>
  <c r="DL303" i="4"/>
  <c r="DK303" i="4"/>
  <c r="DJ303" i="4"/>
  <c r="DI303" i="4"/>
  <c r="DH303" i="4"/>
  <c r="DG303" i="4"/>
  <c r="DF303" i="4"/>
  <c r="DE303" i="4"/>
  <c r="DD303" i="4"/>
  <c r="DC303" i="4"/>
  <c r="DB303" i="4"/>
  <c r="DA303" i="4"/>
  <c r="CZ303" i="4"/>
  <c r="CY303" i="4"/>
  <c r="CX303" i="4"/>
  <c r="CW303" i="4"/>
  <c r="CV303" i="4"/>
  <c r="CU303" i="4"/>
  <c r="CT303" i="4"/>
  <c r="CS303" i="4"/>
  <c r="CR303" i="4"/>
  <c r="CQ303" i="4"/>
  <c r="CP303" i="4"/>
  <c r="CO303" i="4"/>
  <c r="CN303" i="4"/>
  <c r="CM303" i="4"/>
  <c r="CL303" i="4"/>
  <c r="CK303" i="4"/>
  <c r="CJ303" i="4"/>
  <c r="CI303" i="4"/>
  <c r="CH303" i="4"/>
  <c r="CG303" i="4"/>
  <c r="CF303" i="4"/>
  <c r="CE303" i="4"/>
  <c r="CD303" i="4"/>
  <c r="CC303" i="4"/>
  <c r="CB303" i="4"/>
  <c r="CA303" i="4"/>
  <c r="BZ303" i="4"/>
  <c r="BY303" i="4"/>
  <c r="BX303" i="4"/>
  <c r="BW303" i="4"/>
  <c r="BV303" i="4"/>
  <c r="BU303" i="4"/>
  <c r="BT303" i="4"/>
  <c r="BS303" i="4"/>
  <c r="BR303" i="4"/>
  <c r="BQ303" i="4"/>
  <c r="BP303" i="4"/>
  <c r="BO303" i="4"/>
  <c r="BN303" i="4"/>
  <c r="BM303" i="4"/>
  <c r="BL303" i="4"/>
  <c r="BK303" i="4"/>
  <c r="BJ303" i="4"/>
  <c r="BI303" i="4"/>
  <c r="BH303" i="4"/>
  <c r="BG303" i="4"/>
  <c r="BF303" i="4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Q303" i="4"/>
  <c r="AP303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DT302" i="4"/>
  <c r="DS302" i="4"/>
  <c r="DR302" i="4"/>
  <c r="DQ302" i="4"/>
  <c r="DP302" i="4"/>
  <c r="DO302" i="4"/>
  <c r="DN302" i="4"/>
  <c r="DM302" i="4"/>
  <c r="DL302" i="4"/>
  <c r="DK302" i="4"/>
  <c r="DJ302" i="4"/>
  <c r="DI302" i="4"/>
  <c r="DH302" i="4"/>
  <c r="DG302" i="4"/>
  <c r="DF302" i="4"/>
  <c r="DE302" i="4"/>
  <c r="DD302" i="4"/>
  <c r="DC302" i="4"/>
  <c r="DB302" i="4"/>
  <c r="DA302" i="4"/>
  <c r="CZ302" i="4"/>
  <c r="CY302" i="4"/>
  <c r="CX302" i="4"/>
  <c r="CW302" i="4"/>
  <c r="CV302" i="4"/>
  <c r="CU302" i="4"/>
  <c r="CT302" i="4"/>
  <c r="CS302" i="4"/>
  <c r="CR302" i="4"/>
  <c r="CQ302" i="4"/>
  <c r="CP302" i="4"/>
  <c r="CO302" i="4"/>
  <c r="CN302" i="4"/>
  <c r="CM302" i="4"/>
  <c r="CL302" i="4"/>
  <c r="CK302" i="4"/>
  <c r="CJ302" i="4"/>
  <c r="CI302" i="4"/>
  <c r="CH302" i="4"/>
  <c r="CG302" i="4"/>
  <c r="CF302" i="4"/>
  <c r="CE302" i="4"/>
  <c r="CD302" i="4"/>
  <c r="CC302" i="4"/>
  <c r="CB302" i="4"/>
  <c r="CA302" i="4"/>
  <c r="BZ302" i="4"/>
  <c r="BY302" i="4"/>
  <c r="BX302" i="4"/>
  <c r="BW302" i="4"/>
  <c r="BV302" i="4"/>
  <c r="BU302" i="4"/>
  <c r="BT302" i="4"/>
  <c r="BS302" i="4"/>
  <c r="BR302" i="4"/>
  <c r="BQ302" i="4"/>
  <c r="BP302" i="4"/>
  <c r="BO302" i="4"/>
  <c r="BN302" i="4"/>
  <c r="BM302" i="4"/>
  <c r="BL302" i="4"/>
  <c r="BK302" i="4"/>
  <c r="BJ302" i="4"/>
  <c r="BI302" i="4"/>
  <c r="BH302" i="4"/>
  <c r="BG302" i="4"/>
  <c r="BF302" i="4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AS302" i="4"/>
  <c r="AR302" i="4"/>
  <c r="AQ302" i="4"/>
  <c r="AP302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DS301" i="4"/>
  <c r="DR301" i="4"/>
  <c r="DQ301" i="4"/>
  <c r="DP301" i="4"/>
  <c r="DO301" i="4"/>
  <c r="DN301" i="4"/>
  <c r="DM301" i="4"/>
  <c r="DL301" i="4"/>
  <c r="DK301" i="4"/>
  <c r="DJ301" i="4"/>
  <c r="DI301" i="4"/>
  <c r="DH301" i="4"/>
  <c r="DG301" i="4"/>
  <c r="DF301" i="4"/>
  <c r="DE301" i="4"/>
  <c r="DD301" i="4"/>
  <c r="DC301" i="4"/>
  <c r="DB301" i="4"/>
  <c r="DA301" i="4"/>
  <c r="CZ301" i="4"/>
  <c r="CY301" i="4"/>
  <c r="CX301" i="4"/>
  <c r="CW301" i="4"/>
  <c r="CV301" i="4"/>
  <c r="CU301" i="4"/>
  <c r="CT301" i="4"/>
  <c r="CS301" i="4"/>
  <c r="CR301" i="4"/>
  <c r="CQ301" i="4"/>
  <c r="CP301" i="4"/>
  <c r="CO301" i="4"/>
  <c r="CN301" i="4"/>
  <c r="CM301" i="4"/>
  <c r="CL301" i="4"/>
  <c r="CK301" i="4"/>
  <c r="CJ301" i="4"/>
  <c r="CI301" i="4"/>
  <c r="CH301" i="4"/>
  <c r="CG301" i="4"/>
  <c r="CF301" i="4"/>
  <c r="CE301" i="4"/>
  <c r="CD301" i="4"/>
  <c r="CC301" i="4"/>
  <c r="CB301" i="4"/>
  <c r="CA301" i="4"/>
  <c r="BZ301" i="4"/>
  <c r="BY301" i="4"/>
  <c r="BX301" i="4"/>
  <c r="BW301" i="4"/>
  <c r="BV301" i="4"/>
  <c r="BU301" i="4"/>
  <c r="BT301" i="4"/>
  <c r="BS301" i="4"/>
  <c r="BR301" i="4"/>
  <c r="BQ301" i="4"/>
  <c r="BP301" i="4"/>
  <c r="BO301" i="4"/>
  <c r="BN301" i="4"/>
  <c r="BM301" i="4"/>
  <c r="BL301" i="4"/>
  <c r="BK301" i="4"/>
  <c r="BJ301" i="4"/>
  <c r="BI301" i="4"/>
  <c r="BH301" i="4"/>
  <c r="BG301" i="4"/>
  <c r="BF301" i="4"/>
  <c r="BE301" i="4"/>
  <c r="BD301" i="4"/>
  <c r="BC301" i="4"/>
  <c r="BB301" i="4"/>
  <c r="BA301" i="4"/>
  <c r="AZ301" i="4"/>
  <c r="AY301" i="4"/>
  <c r="AX301" i="4"/>
  <c r="AW301" i="4"/>
  <c r="AV301" i="4"/>
  <c r="AU301" i="4"/>
  <c r="AT301" i="4"/>
  <c r="AS301" i="4"/>
  <c r="AR301" i="4"/>
  <c r="AQ301" i="4"/>
  <c r="AP301" i="4"/>
  <c r="AO301" i="4"/>
  <c r="AN301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DR300" i="4"/>
  <c r="DQ300" i="4"/>
  <c r="DP300" i="4"/>
  <c r="DO300" i="4"/>
  <c r="DN300" i="4"/>
  <c r="DM300" i="4"/>
  <c r="DL300" i="4"/>
  <c r="DK300" i="4"/>
  <c r="DJ300" i="4"/>
  <c r="DI300" i="4"/>
  <c r="DH300" i="4"/>
  <c r="DG300" i="4"/>
  <c r="DF300" i="4"/>
  <c r="DE300" i="4"/>
  <c r="DD300" i="4"/>
  <c r="DC300" i="4"/>
  <c r="DB300" i="4"/>
  <c r="DA300" i="4"/>
  <c r="CZ300" i="4"/>
  <c r="CY300" i="4"/>
  <c r="CX300" i="4"/>
  <c r="CW300" i="4"/>
  <c r="CV300" i="4"/>
  <c r="CU300" i="4"/>
  <c r="CT300" i="4"/>
  <c r="CS300" i="4"/>
  <c r="CR300" i="4"/>
  <c r="CQ300" i="4"/>
  <c r="CP300" i="4"/>
  <c r="CO300" i="4"/>
  <c r="CN300" i="4"/>
  <c r="CM300" i="4"/>
  <c r="CL300" i="4"/>
  <c r="CK300" i="4"/>
  <c r="CJ300" i="4"/>
  <c r="CI300" i="4"/>
  <c r="CH300" i="4"/>
  <c r="CG300" i="4"/>
  <c r="CF300" i="4"/>
  <c r="CE300" i="4"/>
  <c r="CD300" i="4"/>
  <c r="CC300" i="4"/>
  <c r="CB300" i="4"/>
  <c r="CA300" i="4"/>
  <c r="BZ300" i="4"/>
  <c r="BY300" i="4"/>
  <c r="BX300" i="4"/>
  <c r="BW300" i="4"/>
  <c r="BV300" i="4"/>
  <c r="BU300" i="4"/>
  <c r="BT300" i="4"/>
  <c r="BS300" i="4"/>
  <c r="BR300" i="4"/>
  <c r="BQ300" i="4"/>
  <c r="BP300" i="4"/>
  <c r="BO300" i="4"/>
  <c r="BN300" i="4"/>
  <c r="BM300" i="4"/>
  <c r="BL300" i="4"/>
  <c r="BK300" i="4"/>
  <c r="BJ300" i="4"/>
  <c r="BI300" i="4"/>
  <c r="BH300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Q300" i="4"/>
  <c r="AP300" i="4"/>
  <c r="AO300" i="4"/>
  <c r="AN300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DQ299" i="4"/>
  <c r="DP299" i="4"/>
  <c r="DO299" i="4"/>
  <c r="DN299" i="4"/>
  <c r="DM299" i="4"/>
  <c r="DL299" i="4"/>
  <c r="DK299" i="4"/>
  <c r="DJ299" i="4"/>
  <c r="DI299" i="4"/>
  <c r="DH299" i="4"/>
  <c r="DG299" i="4"/>
  <c r="DF299" i="4"/>
  <c r="DE299" i="4"/>
  <c r="DD299" i="4"/>
  <c r="DC299" i="4"/>
  <c r="DB299" i="4"/>
  <c r="DA299" i="4"/>
  <c r="CZ299" i="4"/>
  <c r="CY299" i="4"/>
  <c r="CX299" i="4"/>
  <c r="CW299" i="4"/>
  <c r="CV299" i="4"/>
  <c r="CU299" i="4"/>
  <c r="CT299" i="4"/>
  <c r="CS299" i="4"/>
  <c r="CR299" i="4"/>
  <c r="CQ299" i="4"/>
  <c r="CP299" i="4"/>
  <c r="CO299" i="4"/>
  <c r="CN299" i="4"/>
  <c r="CM299" i="4"/>
  <c r="CL299" i="4"/>
  <c r="CK299" i="4"/>
  <c r="CJ299" i="4"/>
  <c r="CI299" i="4"/>
  <c r="CH299" i="4"/>
  <c r="CG299" i="4"/>
  <c r="CF299" i="4"/>
  <c r="CE299" i="4"/>
  <c r="CD299" i="4"/>
  <c r="CC299" i="4"/>
  <c r="CB299" i="4"/>
  <c r="CA299" i="4"/>
  <c r="BZ299" i="4"/>
  <c r="BY299" i="4"/>
  <c r="BX299" i="4"/>
  <c r="BW299" i="4"/>
  <c r="BV299" i="4"/>
  <c r="BU299" i="4"/>
  <c r="BT299" i="4"/>
  <c r="BS299" i="4"/>
  <c r="BR299" i="4"/>
  <c r="BQ299" i="4"/>
  <c r="BP299" i="4"/>
  <c r="BO299" i="4"/>
  <c r="BN299" i="4"/>
  <c r="BM299" i="4"/>
  <c r="BL299" i="4"/>
  <c r="BK299" i="4"/>
  <c r="BJ299" i="4"/>
  <c r="BI299" i="4"/>
  <c r="BH299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DP298" i="4"/>
  <c r="DO298" i="4"/>
  <c r="DN298" i="4"/>
  <c r="DM298" i="4"/>
  <c r="DL298" i="4"/>
  <c r="DK298" i="4"/>
  <c r="DJ298" i="4"/>
  <c r="DI298" i="4"/>
  <c r="DH298" i="4"/>
  <c r="DG298" i="4"/>
  <c r="DF298" i="4"/>
  <c r="DE298" i="4"/>
  <c r="DD298" i="4"/>
  <c r="DC298" i="4"/>
  <c r="DB298" i="4"/>
  <c r="DA298" i="4"/>
  <c r="CZ298" i="4"/>
  <c r="CY298" i="4"/>
  <c r="CX298" i="4"/>
  <c r="CW298" i="4"/>
  <c r="CV298" i="4"/>
  <c r="CU298" i="4"/>
  <c r="CT298" i="4"/>
  <c r="CS298" i="4"/>
  <c r="CR298" i="4"/>
  <c r="CQ298" i="4"/>
  <c r="CP298" i="4"/>
  <c r="CO298" i="4"/>
  <c r="CN298" i="4"/>
  <c r="CM298" i="4"/>
  <c r="CL298" i="4"/>
  <c r="CK298" i="4"/>
  <c r="CJ298" i="4"/>
  <c r="CI298" i="4"/>
  <c r="CH298" i="4"/>
  <c r="CG298" i="4"/>
  <c r="CF298" i="4"/>
  <c r="CE298" i="4"/>
  <c r="CD298" i="4"/>
  <c r="CC298" i="4"/>
  <c r="CB298" i="4"/>
  <c r="CA298" i="4"/>
  <c r="BZ298" i="4"/>
  <c r="BY298" i="4"/>
  <c r="BX298" i="4"/>
  <c r="BW298" i="4"/>
  <c r="BV298" i="4"/>
  <c r="BU298" i="4"/>
  <c r="BT298" i="4"/>
  <c r="BS298" i="4"/>
  <c r="BR298" i="4"/>
  <c r="BQ298" i="4"/>
  <c r="BP298" i="4"/>
  <c r="BO298" i="4"/>
  <c r="BN298" i="4"/>
  <c r="BM298" i="4"/>
  <c r="BL298" i="4"/>
  <c r="BK298" i="4"/>
  <c r="BJ298" i="4"/>
  <c r="BI298" i="4"/>
  <c r="BH298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Q298" i="4"/>
  <c r="AP298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DO297" i="4"/>
  <c r="DN297" i="4"/>
  <c r="DM297" i="4"/>
  <c r="DL297" i="4"/>
  <c r="DK297" i="4"/>
  <c r="DJ297" i="4"/>
  <c r="DI297" i="4"/>
  <c r="DH297" i="4"/>
  <c r="DG297" i="4"/>
  <c r="DF297" i="4"/>
  <c r="DE297" i="4"/>
  <c r="DD297" i="4"/>
  <c r="DC297" i="4"/>
  <c r="DB297" i="4"/>
  <c r="DA297" i="4"/>
  <c r="CZ297" i="4"/>
  <c r="CY297" i="4"/>
  <c r="CX297" i="4"/>
  <c r="CW297" i="4"/>
  <c r="CV297" i="4"/>
  <c r="CU297" i="4"/>
  <c r="CT297" i="4"/>
  <c r="CS297" i="4"/>
  <c r="CR297" i="4"/>
  <c r="CQ297" i="4"/>
  <c r="CP297" i="4"/>
  <c r="CO297" i="4"/>
  <c r="CN297" i="4"/>
  <c r="CM297" i="4"/>
  <c r="CL297" i="4"/>
  <c r="CK297" i="4"/>
  <c r="CJ297" i="4"/>
  <c r="CI297" i="4"/>
  <c r="CH297" i="4"/>
  <c r="CG297" i="4"/>
  <c r="CF297" i="4"/>
  <c r="CE297" i="4"/>
  <c r="CD297" i="4"/>
  <c r="CC297" i="4"/>
  <c r="CB297" i="4"/>
  <c r="CA297" i="4"/>
  <c r="BZ297" i="4"/>
  <c r="BY297" i="4"/>
  <c r="BX297" i="4"/>
  <c r="BW297" i="4"/>
  <c r="BV297" i="4"/>
  <c r="BU297" i="4"/>
  <c r="BT297" i="4"/>
  <c r="BS297" i="4"/>
  <c r="BR297" i="4"/>
  <c r="BQ297" i="4"/>
  <c r="BP297" i="4"/>
  <c r="BO297" i="4"/>
  <c r="BN297" i="4"/>
  <c r="BM297" i="4"/>
  <c r="BL297" i="4"/>
  <c r="BK297" i="4"/>
  <c r="BJ297" i="4"/>
  <c r="BI297" i="4"/>
  <c r="BH297" i="4"/>
  <c r="BG297" i="4"/>
  <c r="BF297" i="4"/>
  <c r="BE297" i="4"/>
  <c r="BD297" i="4"/>
  <c r="BC297" i="4"/>
  <c r="BB297" i="4"/>
  <c r="BA297" i="4"/>
  <c r="AZ297" i="4"/>
  <c r="AY297" i="4"/>
  <c r="AX297" i="4"/>
  <c r="AW297" i="4"/>
  <c r="AV297" i="4"/>
  <c r="AU297" i="4"/>
  <c r="AT297" i="4"/>
  <c r="AS297" i="4"/>
  <c r="AR297" i="4"/>
  <c r="AQ297" i="4"/>
  <c r="AP297" i="4"/>
  <c r="AO297" i="4"/>
  <c r="AN297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DN296" i="4"/>
  <c r="DM296" i="4"/>
  <c r="DL296" i="4"/>
  <c r="DK296" i="4"/>
  <c r="DJ296" i="4"/>
  <c r="DI296" i="4"/>
  <c r="DH296" i="4"/>
  <c r="DG296" i="4"/>
  <c r="DF296" i="4"/>
  <c r="DE296" i="4"/>
  <c r="DD296" i="4"/>
  <c r="DC296" i="4"/>
  <c r="DB296" i="4"/>
  <c r="DA296" i="4"/>
  <c r="CZ296" i="4"/>
  <c r="CY296" i="4"/>
  <c r="CX296" i="4"/>
  <c r="CW296" i="4"/>
  <c r="CV296" i="4"/>
  <c r="CU296" i="4"/>
  <c r="CT296" i="4"/>
  <c r="CS296" i="4"/>
  <c r="CR296" i="4"/>
  <c r="CQ296" i="4"/>
  <c r="CP296" i="4"/>
  <c r="CO296" i="4"/>
  <c r="CN296" i="4"/>
  <c r="CM296" i="4"/>
  <c r="CL296" i="4"/>
  <c r="CK296" i="4"/>
  <c r="CJ296" i="4"/>
  <c r="CI296" i="4"/>
  <c r="CH296" i="4"/>
  <c r="CG296" i="4"/>
  <c r="CF296" i="4"/>
  <c r="CE296" i="4"/>
  <c r="CD296" i="4"/>
  <c r="CC296" i="4"/>
  <c r="CB296" i="4"/>
  <c r="CA296" i="4"/>
  <c r="BZ296" i="4"/>
  <c r="BY296" i="4"/>
  <c r="BX296" i="4"/>
  <c r="BW296" i="4"/>
  <c r="BV296" i="4"/>
  <c r="BU296" i="4"/>
  <c r="BT296" i="4"/>
  <c r="BS296" i="4"/>
  <c r="BR296" i="4"/>
  <c r="BQ296" i="4"/>
  <c r="BP296" i="4"/>
  <c r="BO296" i="4"/>
  <c r="BN296" i="4"/>
  <c r="BM296" i="4"/>
  <c r="BL296" i="4"/>
  <c r="BK296" i="4"/>
  <c r="BJ296" i="4"/>
  <c r="BI296" i="4"/>
  <c r="BH296" i="4"/>
  <c r="BG296" i="4"/>
  <c r="BF296" i="4"/>
  <c r="BE296" i="4"/>
  <c r="BD296" i="4"/>
  <c r="BC296" i="4"/>
  <c r="BB296" i="4"/>
  <c r="BA296" i="4"/>
  <c r="AZ296" i="4"/>
  <c r="AY296" i="4"/>
  <c r="AX296" i="4"/>
  <c r="AW296" i="4"/>
  <c r="AV296" i="4"/>
  <c r="AU296" i="4"/>
  <c r="AT296" i="4"/>
  <c r="AS296" i="4"/>
  <c r="AR296" i="4"/>
  <c r="AQ296" i="4"/>
  <c r="AP296" i="4"/>
  <c r="AO296" i="4"/>
  <c r="AN296" i="4"/>
  <c r="AM296" i="4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DM295" i="4"/>
  <c r="DL295" i="4"/>
  <c r="DK295" i="4"/>
  <c r="DJ295" i="4"/>
  <c r="DI295" i="4"/>
  <c r="DH295" i="4"/>
  <c r="DG295" i="4"/>
  <c r="DF295" i="4"/>
  <c r="DE295" i="4"/>
  <c r="DD295" i="4"/>
  <c r="DC295" i="4"/>
  <c r="DB295" i="4"/>
  <c r="DA295" i="4"/>
  <c r="CZ295" i="4"/>
  <c r="CY295" i="4"/>
  <c r="CX295" i="4"/>
  <c r="CW295" i="4"/>
  <c r="CV295" i="4"/>
  <c r="CU295" i="4"/>
  <c r="CT295" i="4"/>
  <c r="CS295" i="4"/>
  <c r="CR295" i="4"/>
  <c r="CQ295" i="4"/>
  <c r="CP295" i="4"/>
  <c r="CO295" i="4"/>
  <c r="CN295" i="4"/>
  <c r="CM295" i="4"/>
  <c r="CL295" i="4"/>
  <c r="CK295" i="4"/>
  <c r="CJ295" i="4"/>
  <c r="CI295" i="4"/>
  <c r="CH295" i="4"/>
  <c r="CG295" i="4"/>
  <c r="CF295" i="4"/>
  <c r="CE295" i="4"/>
  <c r="CD295" i="4"/>
  <c r="CC295" i="4"/>
  <c r="CB295" i="4"/>
  <c r="CA295" i="4"/>
  <c r="BZ295" i="4"/>
  <c r="BY295" i="4"/>
  <c r="BX295" i="4"/>
  <c r="BW295" i="4"/>
  <c r="BV295" i="4"/>
  <c r="BU295" i="4"/>
  <c r="BT295" i="4"/>
  <c r="BS295" i="4"/>
  <c r="BR295" i="4"/>
  <c r="BQ295" i="4"/>
  <c r="BP295" i="4"/>
  <c r="BO295" i="4"/>
  <c r="BN295" i="4"/>
  <c r="BM295" i="4"/>
  <c r="BL295" i="4"/>
  <c r="BK295" i="4"/>
  <c r="BJ295" i="4"/>
  <c r="BI295" i="4"/>
  <c r="BH295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AQ295" i="4"/>
  <c r="AP295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DL294" i="4"/>
  <c r="DK294" i="4"/>
  <c r="DJ294" i="4"/>
  <c r="DI294" i="4"/>
  <c r="DH294" i="4"/>
  <c r="DG294" i="4"/>
  <c r="DF294" i="4"/>
  <c r="DE294" i="4"/>
  <c r="DD294" i="4"/>
  <c r="DC294" i="4"/>
  <c r="DB294" i="4"/>
  <c r="DA294" i="4"/>
  <c r="CZ294" i="4"/>
  <c r="CY294" i="4"/>
  <c r="CX294" i="4"/>
  <c r="CW294" i="4"/>
  <c r="CV294" i="4"/>
  <c r="CU294" i="4"/>
  <c r="CT294" i="4"/>
  <c r="CS294" i="4"/>
  <c r="CR294" i="4"/>
  <c r="CQ294" i="4"/>
  <c r="CP294" i="4"/>
  <c r="CO294" i="4"/>
  <c r="CN294" i="4"/>
  <c r="CM294" i="4"/>
  <c r="CL294" i="4"/>
  <c r="CK294" i="4"/>
  <c r="CJ294" i="4"/>
  <c r="CI294" i="4"/>
  <c r="CH294" i="4"/>
  <c r="CG294" i="4"/>
  <c r="CF294" i="4"/>
  <c r="CE294" i="4"/>
  <c r="CD294" i="4"/>
  <c r="CC294" i="4"/>
  <c r="CB294" i="4"/>
  <c r="CA294" i="4"/>
  <c r="BZ294" i="4"/>
  <c r="BY294" i="4"/>
  <c r="BX294" i="4"/>
  <c r="BW294" i="4"/>
  <c r="BV294" i="4"/>
  <c r="BU294" i="4"/>
  <c r="BT294" i="4"/>
  <c r="BS294" i="4"/>
  <c r="BR294" i="4"/>
  <c r="BQ294" i="4"/>
  <c r="BP294" i="4"/>
  <c r="BO294" i="4"/>
  <c r="BN294" i="4"/>
  <c r="BM294" i="4"/>
  <c r="BL294" i="4"/>
  <c r="BK294" i="4"/>
  <c r="BJ294" i="4"/>
  <c r="BI294" i="4"/>
  <c r="BH294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DK293" i="4"/>
  <c r="DJ293" i="4"/>
  <c r="DI293" i="4"/>
  <c r="DH293" i="4"/>
  <c r="DG293" i="4"/>
  <c r="DF293" i="4"/>
  <c r="DE293" i="4"/>
  <c r="DD293" i="4"/>
  <c r="DC293" i="4"/>
  <c r="DB293" i="4"/>
  <c r="DA293" i="4"/>
  <c r="CZ293" i="4"/>
  <c r="CY293" i="4"/>
  <c r="CX293" i="4"/>
  <c r="CW293" i="4"/>
  <c r="CV293" i="4"/>
  <c r="CU293" i="4"/>
  <c r="CT293" i="4"/>
  <c r="CS293" i="4"/>
  <c r="CR293" i="4"/>
  <c r="CQ293" i="4"/>
  <c r="CP293" i="4"/>
  <c r="CO293" i="4"/>
  <c r="CN293" i="4"/>
  <c r="CM293" i="4"/>
  <c r="CL293" i="4"/>
  <c r="CK293" i="4"/>
  <c r="CJ293" i="4"/>
  <c r="CI293" i="4"/>
  <c r="CH293" i="4"/>
  <c r="CG293" i="4"/>
  <c r="CF293" i="4"/>
  <c r="CE293" i="4"/>
  <c r="CD293" i="4"/>
  <c r="CC293" i="4"/>
  <c r="CB293" i="4"/>
  <c r="CA293" i="4"/>
  <c r="BZ293" i="4"/>
  <c r="BY293" i="4"/>
  <c r="BX293" i="4"/>
  <c r="BW293" i="4"/>
  <c r="BV293" i="4"/>
  <c r="BU293" i="4"/>
  <c r="BT293" i="4"/>
  <c r="BS293" i="4"/>
  <c r="BR293" i="4"/>
  <c r="BQ293" i="4"/>
  <c r="BP293" i="4"/>
  <c r="BO293" i="4"/>
  <c r="BN293" i="4"/>
  <c r="BM293" i="4"/>
  <c r="BL293" i="4"/>
  <c r="BK293" i="4"/>
  <c r="BJ293" i="4"/>
  <c r="BI293" i="4"/>
  <c r="BH293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AQ293" i="4"/>
  <c r="AP293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DJ292" i="4"/>
  <c r="DI292" i="4"/>
  <c r="DH292" i="4"/>
  <c r="DG292" i="4"/>
  <c r="DF292" i="4"/>
  <c r="DE292" i="4"/>
  <c r="DD292" i="4"/>
  <c r="DC292" i="4"/>
  <c r="DB292" i="4"/>
  <c r="DA292" i="4"/>
  <c r="CZ292" i="4"/>
  <c r="CY292" i="4"/>
  <c r="CX292" i="4"/>
  <c r="CW292" i="4"/>
  <c r="CV292" i="4"/>
  <c r="CU292" i="4"/>
  <c r="CT292" i="4"/>
  <c r="CS292" i="4"/>
  <c r="CR292" i="4"/>
  <c r="CQ292" i="4"/>
  <c r="CP292" i="4"/>
  <c r="CO292" i="4"/>
  <c r="CN292" i="4"/>
  <c r="CM292" i="4"/>
  <c r="CL292" i="4"/>
  <c r="CK292" i="4"/>
  <c r="CJ292" i="4"/>
  <c r="CI292" i="4"/>
  <c r="CH292" i="4"/>
  <c r="CG292" i="4"/>
  <c r="CF292" i="4"/>
  <c r="CE292" i="4"/>
  <c r="CD292" i="4"/>
  <c r="CC292" i="4"/>
  <c r="CB292" i="4"/>
  <c r="CA292" i="4"/>
  <c r="BZ292" i="4"/>
  <c r="BY292" i="4"/>
  <c r="BX292" i="4"/>
  <c r="BW292" i="4"/>
  <c r="BV292" i="4"/>
  <c r="BU292" i="4"/>
  <c r="BT292" i="4"/>
  <c r="BS292" i="4"/>
  <c r="BR292" i="4"/>
  <c r="BQ292" i="4"/>
  <c r="BP292" i="4"/>
  <c r="BO292" i="4"/>
  <c r="BN292" i="4"/>
  <c r="BM292" i="4"/>
  <c r="BL292" i="4"/>
  <c r="BK292" i="4"/>
  <c r="BJ292" i="4"/>
  <c r="BI292" i="4"/>
  <c r="BH292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AQ292" i="4"/>
  <c r="AP292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DI291" i="4"/>
  <c r="DH291" i="4"/>
  <c r="DG291" i="4"/>
  <c r="DF291" i="4"/>
  <c r="DE291" i="4"/>
  <c r="DD291" i="4"/>
  <c r="DC291" i="4"/>
  <c r="DB291" i="4"/>
  <c r="DA291" i="4"/>
  <c r="CZ291" i="4"/>
  <c r="CY291" i="4"/>
  <c r="CX291" i="4"/>
  <c r="CW291" i="4"/>
  <c r="CV291" i="4"/>
  <c r="CU291" i="4"/>
  <c r="CT291" i="4"/>
  <c r="CS291" i="4"/>
  <c r="CR291" i="4"/>
  <c r="CQ291" i="4"/>
  <c r="CP291" i="4"/>
  <c r="CO291" i="4"/>
  <c r="CN291" i="4"/>
  <c r="CM291" i="4"/>
  <c r="CL291" i="4"/>
  <c r="CK291" i="4"/>
  <c r="CJ291" i="4"/>
  <c r="CI291" i="4"/>
  <c r="CH291" i="4"/>
  <c r="CG291" i="4"/>
  <c r="CF291" i="4"/>
  <c r="CE291" i="4"/>
  <c r="CD291" i="4"/>
  <c r="CC291" i="4"/>
  <c r="CB291" i="4"/>
  <c r="CA291" i="4"/>
  <c r="BZ291" i="4"/>
  <c r="BY291" i="4"/>
  <c r="BX291" i="4"/>
  <c r="BW291" i="4"/>
  <c r="BV291" i="4"/>
  <c r="BU291" i="4"/>
  <c r="BT291" i="4"/>
  <c r="BS291" i="4"/>
  <c r="BR291" i="4"/>
  <c r="BQ291" i="4"/>
  <c r="BP291" i="4"/>
  <c r="BO291" i="4"/>
  <c r="BN291" i="4"/>
  <c r="BM291" i="4"/>
  <c r="BL291" i="4"/>
  <c r="BK291" i="4"/>
  <c r="BJ291" i="4"/>
  <c r="BI291" i="4"/>
  <c r="BH291" i="4"/>
  <c r="BG291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DH290" i="4"/>
  <c r="DG290" i="4"/>
  <c r="DF290" i="4"/>
  <c r="DE290" i="4"/>
  <c r="DD290" i="4"/>
  <c r="DC290" i="4"/>
  <c r="DB290" i="4"/>
  <c r="DA290" i="4"/>
  <c r="CZ290" i="4"/>
  <c r="CY290" i="4"/>
  <c r="CX290" i="4"/>
  <c r="CW290" i="4"/>
  <c r="CV290" i="4"/>
  <c r="CU290" i="4"/>
  <c r="CT290" i="4"/>
  <c r="CS290" i="4"/>
  <c r="CR290" i="4"/>
  <c r="CQ290" i="4"/>
  <c r="CP290" i="4"/>
  <c r="CO290" i="4"/>
  <c r="CN290" i="4"/>
  <c r="CM290" i="4"/>
  <c r="CL290" i="4"/>
  <c r="CK290" i="4"/>
  <c r="CJ290" i="4"/>
  <c r="CI290" i="4"/>
  <c r="CH290" i="4"/>
  <c r="CG290" i="4"/>
  <c r="CF290" i="4"/>
  <c r="CE290" i="4"/>
  <c r="CD290" i="4"/>
  <c r="CC290" i="4"/>
  <c r="CB290" i="4"/>
  <c r="CA290" i="4"/>
  <c r="BZ290" i="4"/>
  <c r="BY290" i="4"/>
  <c r="BX290" i="4"/>
  <c r="BW290" i="4"/>
  <c r="BV290" i="4"/>
  <c r="BU290" i="4"/>
  <c r="BT290" i="4"/>
  <c r="BS290" i="4"/>
  <c r="BR290" i="4"/>
  <c r="BQ290" i="4"/>
  <c r="BP290" i="4"/>
  <c r="BO290" i="4"/>
  <c r="BN290" i="4"/>
  <c r="BM290" i="4"/>
  <c r="BL290" i="4"/>
  <c r="BK290" i="4"/>
  <c r="BJ290" i="4"/>
  <c r="BI290" i="4"/>
  <c r="BH290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DG289" i="4"/>
  <c r="DF289" i="4"/>
  <c r="DE289" i="4"/>
  <c r="DD289" i="4"/>
  <c r="DC289" i="4"/>
  <c r="DB289" i="4"/>
  <c r="DA289" i="4"/>
  <c r="CZ289" i="4"/>
  <c r="CY289" i="4"/>
  <c r="CX289" i="4"/>
  <c r="CW289" i="4"/>
  <c r="CV289" i="4"/>
  <c r="CU289" i="4"/>
  <c r="CT289" i="4"/>
  <c r="CS289" i="4"/>
  <c r="CR289" i="4"/>
  <c r="CQ289" i="4"/>
  <c r="CP289" i="4"/>
  <c r="CO289" i="4"/>
  <c r="CN289" i="4"/>
  <c r="CM289" i="4"/>
  <c r="CL289" i="4"/>
  <c r="CK289" i="4"/>
  <c r="CJ289" i="4"/>
  <c r="CI289" i="4"/>
  <c r="CH289" i="4"/>
  <c r="CG289" i="4"/>
  <c r="CF289" i="4"/>
  <c r="CE289" i="4"/>
  <c r="CD289" i="4"/>
  <c r="CC289" i="4"/>
  <c r="CB289" i="4"/>
  <c r="CA289" i="4"/>
  <c r="BZ289" i="4"/>
  <c r="BY289" i="4"/>
  <c r="BX289" i="4"/>
  <c r="BW289" i="4"/>
  <c r="BV289" i="4"/>
  <c r="BU289" i="4"/>
  <c r="BT289" i="4"/>
  <c r="BS289" i="4"/>
  <c r="BR289" i="4"/>
  <c r="BQ289" i="4"/>
  <c r="BP289" i="4"/>
  <c r="BO289" i="4"/>
  <c r="BN289" i="4"/>
  <c r="BM289" i="4"/>
  <c r="BL289" i="4"/>
  <c r="BK289" i="4"/>
  <c r="BJ289" i="4"/>
  <c r="BI289" i="4"/>
  <c r="BH289" i="4"/>
  <c r="BG289" i="4"/>
  <c r="BF289" i="4"/>
  <c r="BE289" i="4"/>
  <c r="BD289" i="4"/>
  <c r="BC289" i="4"/>
  <c r="BB289" i="4"/>
  <c r="BA289" i="4"/>
  <c r="AZ289" i="4"/>
  <c r="AY289" i="4"/>
  <c r="AX289" i="4"/>
  <c r="AW289" i="4"/>
  <c r="AV289" i="4"/>
  <c r="AU289" i="4"/>
  <c r="AT289" i="4"/>
  <c r="AS289" i="4"/>
  <c r="AR289" i="4"/>
  <c r="AQ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DF288" i="4"/>
  <c r="DE288" i="4"/>
  <c r="DD288" i="4"/>
  <c r="DC288" i="4"/>
  <c r="DB288" i="4"/>
  <c r="DA288" i="4"/>
  <c r="CZ288" i="4"/>
  <c r="CY288" i="4"/>
  <c r="CX288" i="4"/>
  <c r="CW288" i="4"/>
  <c r="CV288" i="4"/>
  <c r="CU288" i="4"/>
  <c r="CT288" i="4"/>
  <c r="CS288" i="4"/>
  <c r="CR288" i="4"/>
  <c r="CQ288" i="4"/>
  <c r="CP288" i="4"/>
  <c r="CO288" i="4"/>
  <c r="CN288" i="4"/>
  <c r="CM288" i="4"/>
  <c r="CL288" i="4"/>
  <c r="CK288" i="4"/>
  <c r="CJ288" i="4"/>
  <c r="CI288" i="4"/>
  <c r="CH288" i="4"/>
  <c r="CG288" i="4"/>
  <c r="CF288" i="4"/>
  <c r="CE288" i="4"/>
  <c r="CD288" i="4"/>
  <c r="CC288" i="4"/>
  <c r="CB288" i="4"/>
  <c r="CA288" i="4"/>
  <c r="BZ288" i="4"/>
  <c r="BY288" i="4"/>
  <c r="BX288" i="4"/>
  <c r="BW288" i="4"/>
  <c r="BV288" i="4"/>
  <c r="BU288" i="4"/>
  <c r="BT288" i="4"/>
  <c r="BS288" i="4"/>
  <c r="BR288" i="4"/>
  <c r="BQ288" i="4"/>
  <c r="BP288" i="4"/>
  <c r="BO288" i="4"/>
  <c r="BN288" i="4"/>
  <c r="BM288" i="4"/>
  <c r="BL288" i="4"/>
  <c r="BK288" i="4"/>
  <c r="BJ288" i="4"/>
  <c r="BI288" i="4"/>
  <c r="BH288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DE287" i="4"/>
  <c r="DD287" i="4"/>
  <c r="DC287" i="4"/>
  <c r="DB287" i="4"/>
  <c r="DA287" i="4"/>
  <c r="CZ287" i="4"/>
  <c r="CY287" i="4"/>
  <c r="CX287" i="4"/>
  <c r="CW287" i="4"/>
  <c r="CV287" i="4"/>
  <c r="CU287" i="4"/>
  <c r="CT287" i="4"/>
  <c r="CS287" i="4"/>
  <c r="CR287" i="4"/>
  <c r="CQ287" i="4"/>
  <c r="CP287" i="4"/>
  <c r="CO287" i="4"/>
  <c r="CN287" i="4"/>
  <c r="CM287" i="4"/>
  <c r="CL287" i="4"/>
  <c r="CK287" i="4"/>
  <c r="CJ287" i="4"/>
  <c r="CI287" i="4"/>
  <c r="CH287" i="4"/>
  <c r="CG287" i="4"/>
  <c r="CF287" i="4"/>
  <c r="CE287" i="4"/>
  <c r="CD287" i="4"/>
  <c r="CC287" i="4"/>
  <c r="CB287" i="4"/>
  <c r="CA287" i="4"/>
  <c r="BZ287" i="4"/>
  <c r="BY287" i="4"/>
  <c r="BX287" i="4"/>
  <c r="BW287" i="4"/>
  <c r="BV287" i="4"/>
  <c r="BU287" i="4"/>
  <c r="BT287" i="4"/>
  <c r="BS287" i="4"/>
  <c r="BR287" i="4"/>
  <c r="BQ287" i="4"/>
  <c r="BP287" i="4"/>
  <c r="BO287" i="4"/>
  <c r="BN287" i="4"/>
  <c r="BM287" i="4"/>
  <c r="BL287" i="4"/>
  <c r="BK287" i="4"/>
  <c r="BJ287" i="4"/>
  <c r="BI287" i="4"/>
  <c r="BH287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DD286" i="4"/>
  <c r="DC286" i="4"/>
  <c r="DB286" i="4"/>
  <c r="DA286" i="4"/>
  <c r="CZ286" i="4"/>
  <c r="CY286" i="4"/>
  <c r="CX286" i="4"/>
  <c r="CW286" i="4"/>
  <c r="CV286" i="4"/>
  <c r="CU286" i="4"/>
  <c r="CT286" i="4"/>
  <c r="CS286" i="4"/>
  <c r="CR286" i="4"/>
  <c r="CQ286" i="4"/>
  <c r="CP286" i="4"/>
  <c r="CO286" i="4"/>
  <c r="CN286" i="4"/>
  <c r="CM286" i="4"/>
  <c r="CL286" i="4"/>
  <c r="CK286" i="4"/>
  <c r="CJ286" i="4"/>
  <c r="CI286" i="4"/>
  <c r="CH286" i="4"/>
  <c r="CG286" i="4"/>
  <c r="CF286" i="4"/>
  <c r="CE286" i="4"/>
  <c r="CD286" i="4"/>
  <c r="CC286" i="4"/>
  <c r="CB286" i="4"/>
  <c r="CA286" i="4"/>
  <c r="BZ286" i="4"/>
  <c r="BY286" i="4"/>
  <c r="BX286" i="4"/>
  <c r="BW286" i="4"/>
  <c r="BV286" i="4"/>
  <c r="BU286" i="4"/>
  <c r="BT286" i="4"/>
  <c r="BS286" i="4"/>
  <c r="BR286" i="4"/>
  <c r="BQ286" i="4"/>
  <c r="BP286" i="4"/>
  <c r="BO286" i="4"/>
  <c r="BN286" i="4"/>
  <c r="BM286" i="4"/>
  <c r="BL286" i="4"/>
  <c r="BK286" i="4"/>
  <c r="BJ286" i="4"/>
  <c r="BI286" i="4"/>
  <c r="BH286" i="4"/>
  <c r="BG286" i="4"/>
  <c r="BF286" i="4"/>
  <c r="BE286" i="4"/>
  <c r="BD286" i="4"/>
  <c r="BC286" i="4"/>
  <c r="BB286" i="4"/>
  <c r="BA286" i="4"/>
  <c r="AZ286" i="4"/>
  <c r="AY286" i="4"/>
  <c r="AX286" i="4"/>
  <c r="AW286" i="4"/>
  <c r="AV286" i="4"/>
  <c r="AU286" i="4"/>
  <c r="AT286" i="4"/>
  <c r="AS286" i="4"/>
  <c r="AR286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DC285" i="4"/>
  <c r="DB285" i="4"/>
  <c r="DA285" i="4"/>
  <c r="CZ285" i="4"/>
  <c r="CY285" i="4"/>
  <c r="CX285" i="4"/>
  <c r="CW285" i="4"/>
  <c r="CV285" i="4"/>
  <c r="CU285" i="4"/>
  <c r="CT285" i="4"/>
  <c r="CS285" i="4"/>
  <c r="CR285" i="4"/>
  <c r="CQ285" i="4"/>
  <c r="CP285" i="4"/>
  <c r="CO285" i="4"/>
  <c r="CN285" i="4"/>
  <c r="CM285" i="4"/>
  <c r="CL285" i="4"/>
  <c r="CK285" i="4"/>
  <c r="CJ285" i="4"/>
  <c r="CI285" i="4"/>
  <c r="CH285" i="4"/>
  <c r="CG285" i="4"/>
  <c r="CF285" i="4"/>
  <c r="CE285" i="4"/>
  <c r="CD285" i="4"/>
  <c r="CC285" i="4"/>
  <c r="CB285" i="4"/>
  <c r="CA285" i="4"/>
  <c r="BZ285" i="4"/>
  <c r="BY285" i="4"/>
  <c r="BX285" i="4"/>
  <c r="BW285" i="4"/>
  <c r="BV285" i="4"/>
  <c r="BU285" i="4"/>
  <c r="BT285" i="4"/>
  <c r="BS285" i="4"/>
  <c r="BR285" i="4"/>
  <c r="BQ285" i="4"/>
  <c r="BP285" i="4"/>
  <c r="BO285" i="4"/>
  <c r="BN285" i="4"/>
  <c r="BM285" i="4"/>
  <c r="BL285" i="4"/>
  <c r="BK285" i="4"/>
  <c r="BJ285" i="4"/>
  <c r="BI285" i="4"/>
  <c r="BH285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DB284" i="4"/>
  <c r="DA284" i="4"/>
  <c r="CZ284" i="4"/>
  <c r="CY284" i="4"/>
  <c r="CX284" i="4"/>
  <c r="CW284" i="4"/>
  <c r="CV284" i="4"/>
  <c r="CU284" i="4"/>
  <c r="CT284" i="4"/>
  <c r="CS284" i="4"/>
  <c r="CR284" i="4"/>
  <c r="CQ284" i="4"/>
  <c r="CP284" i="4"/>
  <c r="CO284" i="4"/>
  <c r="CN284" i="4"/>
  <c r="CM284" i="4"/>
  <c r="CL284" i="4"/>
  <c r="CK284" i="4"/>
  <c r="CJ284" i="4"/>
  <c r="CI284" i="4"/>
  <c r="CH284" i="4"/>
  <c r="CG284" i="4"/>
  <c r="CF284" i="4"/>
  <c r="CE284" i="4"/>
  <c r="CD284" i="4"/>
  <c r="CC284" i="4"/>
  <c r="CB284" i="4"/>
  <c r="CA284" i="4"/>
  <c r="BZ284" i="4"/>
  <c r="BY284" i="4"/>
  <c r="BX284" i="4"/>
  <c r="BW284" i="4"/>
  <c r="BV284" i="4"/>
  <c r="BU284" i="4"/>
  <c r="BT284" i="4"/>
  <c r="BS284" i="4"/>
  <c r="BR284" i="4"/>
  <c r="BQ284" i="4"/>
  <c r="BP284" i="4"/>
  <c r="BO284" i="4"/>
  <c r="BN284" i="4"/>
  <c r="BM284" i="4"/>
  <c r="BL284" i="4"/>
  <c r="BK284" i="4"/>
  <c r="BJ284" i="4"/>
  <c r="BI284" i="4"/>
  <c r="BH284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DA283" i="4"/>
  <c r="CZ283" i="4"/>
  <c r="CY283" i="4"/>
  <c r="CX283" i="4"/>
  <c r="CW283" i="4"/>
  <c r="CV283" i="4"/>
  <c r="CU283" i="4"/>
  <c r="CT283" i="4"/>
  <c r="CS283" i="4"/>
  <c r="CR283" i="4"/>
  <c r="CQ283" i="4"/>
  <c r="CP283" i="4"/>
  <c r="CO283" i="4"/>
  <c r="CN283" i="4"/>
  <c r="CM283" i="4"/>
  <c r="CL283" i="4"/>
  <c r="CK283" i="4"/>
  <c r="CJ283" i="4"/>
  <c r="CI283" i="4"/>
  <c r="CH283" i="4"/>
  <c r="CG283" i="4"/>
  <c r="CF283" i="4"/>
  <c r="CE283" i="4"/>
  <c r="CD283" i="4"/>
  <c r="CC283" i="4"/>
  <c r="CB283" i="4"/>
  <c r="CA283" i="4"/>
  <c r="BZ283" i="4"/>
  <c r="BY283" i="4"/>
  <c r="BX283" i="4"/>
  <c r="BW283" i="4"/>
  <c r="BV283" i="4"/>
  <c r="BU283" i="4"/>
  <c r="BT283" i="4"/>
  <c r="BS283" i="4"/>
  <c r="BR283" i="4"/>
  <c r="BQ283" i="4"/>
  <c r="BP283" i="4"/>
  <c r="BO283" i="4"/>
  <c r="BN283" i="4"/>
  <c r="BM283" i="4"/>
  <c r="BL283" i="4"/>
  <c r="BK283" i="4"/>
  <c r="BJ283" i="4"/>
  <c r="BI283" i="4"/>
  <c r="BH283" i="4"/>
  <c r="BG283" i="4"/>
  <c r="BF283" i="4"/>
  <c r="BE283" i="4"/>
  <c r="BD283" i="4"/>
  <c r="BC283" i="4"/>
  <c r="BB283" i="4"/>
  <c r="BA283" i="4"/>
  <c r="AZ283" i="4"/>
  <c r="AY283" i="4"/>
  <c r="AX283" i="4"/>
  <c r="AW283" i="4"/>
  <c r="AV283" i="4"/>
  <c r="AU283" i="4"/>
  <c r="AT283" i="4"/>
  <c r="AS283" i="4"/>
  <c r="AR283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CZ282" i="4"/>
  <c r="CY282" i="4"/>
  <c r="CX282" i="4"/>
  <c r="CW282" i="4"/>
  <c r="CV282" i="4"/>
  <c r="CU282" i="4"/>
  <c r="CT282" i="4"/>
  <c r="CS282" i="4"/>
  <c r="CR282" i="4"/>
  <c r="CQ282" i="4"/>
  <c r="CP282" i="4"/>
  <c r="CO282" i="4"/>
  <c r="CN282" i="4"/>
  <c r="CM282" i="4"/>
  <c r="CL282" i="4"/>
  <c r="CK282" i="4"/>
  <c r="CJ282" i="4"/>
  <c r="CI282" i="4"/>
  <c r="CH282" i="4"/>
  <c r="CG282" i="4"/>
  <c r="CF282" i="4"/>
  <c r="CE282" i="4"/>
  <c r="CD282" i="4"/>
  <c r="CC282" i="4"/>
  <c r="CB282" i="4"/>
  <c r="CA282" i="4"/>
  <c r="BZ282" i="4"/>
  <c r="BY282" i="4"/>
  <c r="BX282" i="4"/>
  <c r="BW282" i="4"/>
  <c r="BV282" i="4"/>
  <c r="BU282" i="4"/>
  <c r="BT282" i="4"/>
  <c r="BS282" i="4"/>
  <c r="BR282" i="4"/>
  <c r="BQ282" i="4"/>
  <c r="BP282" i="4"/>
  <c r="BO282" i="4"/>
  <c r="BN282" i="4"/>
  <c r="BM282" i="4"/>
  <c r="BL282" i="4"/>
  <c r="BK282" i="4"/>
  <c r="BJ282" i="4"/>
  <c r="BI282" i="4"/>
  <c r="BH282" i="4"/>
  <c r="BG282" i="4"/>
  <c r="BF282" i="4"/>
  <c r="BE282" i="4"/>
  <c r="BD282" i="4"/>
  <c r="BC282" i="4"/>
  <c r="BB282" i="4"/>
  <c r="BA282" i="4"/>
  <c r="AZ282" i="4"/>
  <c r="AY282" i="4"/>
  <c r="AX282" i="4"/>
  <c r="AW282" i="4"/>
  <c r="AV282" i="4"/>
  <c r="AU282" i="4"/>
  <c r="AT282" i="4"/>
  <c r="AS282" i="4"/>
  <c r="AR282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CY281" i="4"/>
  <c r="CX281" i="4"/>
  <c r="CW281" i="4"/>
  <c r="CV281" i="4"/>
  <c r="CU281" i="4"/>
  <c r="CT281" i="4"/>
  <c r="CS281" i="4"/>
  <c r="CR281" i="4"/>
  <c r="CQ281" i="4"/>
  <c r="CP281" i="4"/>
  <c r="CO281" i="4"/>
  <c r="CN281" i="4"/>
  <c r="CM281" i="4"/>
  <c r="CL281" i="4"/>
  <c r="CK281" i="4"/>
  <c r="CJ281" i="4"/>
  <c r="CI281" i="4"/>
  <c r="CH281" i="4"/>
  <c r="CG281" i="4"/>
  <c r="CF281" i="4"/>
  <c r="CE281" i="4"/>
  <c r="CD281" i="4"/>
  <c r="CC281" i="4"/>
  <c r="CB281" i="4"/>
  <c r="CA281" i="4"/>
  <c r="BZ281" i="4"/>
  <c r="BY281" i="4"/>
  <c r="BX281" i="4"/>
  <c r="BW281" i="4"/>
  <c r="BV281" i="4"/>
  <c r="BU281" i="4"/>
  <c r="BT281" i="4"/>
  <c r="BS281" i="4"/>
  <c r="BR281" i="4"/>
  <c r="BQ281" i="4"/>
  <c r="BP281" i="4"/>
  <c r="BO281" i="4"/>
  <c r="BN281" i="4"/>
  <c r="BM281" i="4"/>
  <c r="BL281" i="4"/>
  <c r="BK281" i="4"/>
  <c r="BJ281" i="4"/>
  <c r="BI281" i="4"/>
  <c r="BH281" i="4"/>
  <c r="BG281" i="4"/>
  <c r="BF281" i="4"/>
  <c r="BE281" i="4"/>
  <c r="BD281" i="4"/>
  <c r="BC281" i="4"/>
  <c r="BB281" i="4"/>
  <c r="BA281" i="4"/>
  <c r="AZ281" i="4"/>
  <c r="AY281" i="4"/>
  <c r="AX281" i="4"/>
  <c r="AW281" i="4"/>
  <c r="AV281" i="4"/>
  <c r="AU281" i="4"/>
  <c r="AT281" i="4"/>
  <c r="AS281" i="4"/>
  <c r="AR281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CX280" i="4"/>
  <c r="CW280" i="4"/>
  <c r="CV280" i="4"/>
  <c r="CU280" i="4"/>
  <c r="CT280" i="4"/>
  <c r="CS280" i="4"/>
  <c r="CR280" i="4"/>
  <c r="CQ280" i="4"/>
  <c r="CP280" i="4"/>
  <c r="CO280" i="4"/>
  <c r="CN280" i="4"/>
  <c r="CM280" i="4"/>
  <c r="CL280" i="4"/>
  <c r="CK280" i="4"/>
  <c r="CJ280" i="4"/>
  <c r="CI280" i="4"/>
  <c r="CH280" i="4"/>
  <c r="CG280" i="4"/>
  <c r="CF280" i="4"/>
  <c r="CE280" i="4"/>
  <c r="CD280" i="4"/>
  <c r="CC280" i="4"/>
  <c r="CB280" i="4"/>
  <c r="CA280" i="4"/>
  <c r="BZ280" i="4"/>
  <c r="BY280" i="4"/>
  <c r="BX280" i="4"/>
  <c r="BW280" i="4"/>
  <c r="BV280" i="4"/>
  <c r="BU280" i="4"/>
  <c r="BT280" i="4"/>
  <c r="BS280" i="4"/>
  <c r="BR280" i="4"/>
  <c r="BQ280" i="4"/>
  <c r="BP280" i="4"/>
  <c r="BO280" i="4"/>
  <c r="BN280" i="4"/>
  <c r="BM280" i="4"/>
  <c r="BL280" i="4"/>
  <c r="BK280" i="4"/>
  <c r="BJ280" i="4"/>
  <c r="BI280" i="4"/>
  <c r="BH280" i="4"/>
  <c r="BG280" i="4"/>
  <c r="BF280" i="4"/>
  <c r="BE280" i="4"/>
  <c r="BD280" i="4"/>
  <c r="BC280" i="4"/>
  <c r="BB280" i="4"/>
  <c r="BA280" i="4"/>
  <c r="AZ280" i="4"/>
  <c r="AY280" i="4"/>
  <c r="AX280" i="4"/>
  <c r="AW280" i="4"/>
  <c r="AV280" i="4"/>
  <c r="AU280" i="4"/>
  <c r="AT280" i="4"/>
  <c r="AS280" i="4"/>
  <c r="AR280" i="4"/>
  <c r="AQ280" i="4"/>
  <c r="AP280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CW279" i="4"/>
  <c r="CV279" i="4"/>
  <c r="CU279" i="4"/>
  <c r="CT279" i="4"/>
  <c r="CS279" i="4"/>
  <c r="CR279" i="4"/>
  <c r="CQ279" i="4"/>
  <c r="CP279" i="4"/>
  <c r="CO279" i="4"/>
  <c r="CN279" i="4"/>
  <c r="CM279" i="4"/>
  <c r="CL279" i="4"/>
  <c r="CK279" i="4"/>
  <c r="CJ279" i="4"/>
  <c r="CI279" i="4"/>
  <c r="CH279" i="4"/>
  <c r="CG279" i="4"/>
  <c r="CF279" i="4"/>
  <c r="CE279" i="4"/>
  <c r="CD279" i="4"/>
  <c r="CC279" i="4"/>
  <c r="CB279" i="4"/>
  <c r="CA279" i="4"/>
  <c r="BZ279" i="4"/>
  <c r="BY279" i="4"/>
  <c r="BX279" i="4"/>
  <c r="BW279" i="4"/>
  <c r="BV279" i="4"/>
  <c r="BU279" i="4"/>
  <c r="BT279" i="4"/>
  <c r="BS279" i="4"/>
  <c r="BR279" i="4"/>
  <c r="BQ279" i="4"/>
  <c r="BP279" i="4"/>
  <c r="BO279" i="4"/>
  <c r="BN279" i="4"/>
  <c r="BM279" i="4"/>
  <c r="BL279" i="4"/>
  <c r="BK279" i="4"/>
  <c r="BJ279" i="4"/>
  <c r="BI279" i="4"/>
  <c r="BH279" i="4"/>
  <c r="BG279" i="4"/>
  <c r="BF279" i="4"/>
  <c r="BE279" i="4"/>
  <c r="BD279" i="4"/>
  <c r="BC279" i="4"/>
  <c r="BB279" i="4"/>
  <c r="BA279" i="4"/>
  <c r="AZ279" i="4"/>
  <c r="AY279" i="4"/>
  <c r="AX279" i="4"/>
  <c r="AW279" i="4"/>
  <c r="AV279" i="4"/>
  <c r="AU279" i="4"/>
  <c r="AT279" i="4"/>
  <c r="AS279" i="4"/>
  <c r="AR279" i="4"/>
  <c r="AQ279" i="4"/>
  <c r="AP279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CV278" i="4"/>
  <c r="CU278" i="4"/>
  <c r="CT278" i="4"/>
  <c r="CS278" i="4"/>
  <c r="CR278" i="4"/>
  <c r="CQ278" i="4"/>
  <c r="CP278" i="4"/>
  <c r="CO278" i="4"/>
  <c r="CN278" i="4"/>
  <c r="CM278" i="4"/>
  <c r="CL278" i="4"/>
  <c r="CK278" i="4"/>
  <c r="CJ278" i="4"/>
  <c r="CI278" i="4"/>
  <c r="CH278" i="4"/>
  <c r="CG278" i="4"/>
  <c r="CF278" i="4"/>
  <c r="CE278" i="4"/>
  <c r="CD278" i="4"/>
  <c r="CC278" i="4"/>
  <c r="CB278" i="4"/>
  <c r="CA278" i="4"/>
  <c r="BZ278" i="4"/>
  <c r="BY278" i="4"/>
  <c r="BX278" i="4"/>
  <c r="BW278" i="4"/>
  <c r="BV278" i="4"/>
  <c r="BU278" i="4"/>
  <c r="BT278" i="4"/>
  <c r="BS278" i="4"/>
  <c r="BR278" i="4"/>
  <c r="BQ278" i="4"/>
  <c r="BP278" i="4"/>
  <c r="BO278" i="4"/>
  <c r="BN278" i="4"/>
  <c r="BM278" i="4"/>
  <c r="BL278" i="4"/>
  <c r="BK278" i="4"/>
  <c r="BJ278" i="4"/>
  <c r="BI278" i="4"/>
  <c r="BH278" i="4"/>
  <c r="BG278" i="4"/>
  <c r="BF278" i="4"/>
  <c r="BE278" i="4"/>
  <c r="BD278" i="4"/>
  <c r="BC278" i="4"/>
  <c r="BB278" i="4"/>
  <c r="BA278" i="4"/>
  <c r="AZ278" i="4"/>
  <c r="AY278" i="4"/>
  <c r="AX278" i="4"/>
  <c r="AW278" i="4"/>
  <c r="AV278" i="4"/>
  <c r="AU278" i="4"/>
  <c r="AT278" i="4"/>
  <c r="AS278" i="4"/>
  <c r="AR278" i="4"/>
  <c r="AQ278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CU277" i="4"/>
  <c r="CT277" i="4"/>
  <c r="CS277" i="4"/>
  <c r="CR277" i="4"/>
  <c r="CQ277" i="4"/>
  <c r="CP277" i="4"/>
  <c r="CO277" i="4"/>
  <c r="CN277" i="4"/>
  <c r="CM277" i="4"/>
  <c r="CL277" i="4"/>
  <c r="CK277" i="4"/>
  <c r="CJ277" i="4"/>
  <c r="CI277" i="4"/>
  <c r="CH277" i="4"/>
  <c r="CG277" i="4"/>
  <c r="CF277" i="4"/>
  <c r="CE277" i="4"/>
  <c r="CD277" i="4"/>
  <c r="CC277" i="4"/>
  <c r="CB277" i="4"/>
  <c r="CA277" i="4"/>
  <c r="BZ277" i="4"/>
  <c r="BY277" i="4"/>
  <c r="BX277" i="4"/>
  <c r="BW277" i="4"/>
  <c r="BV277" i="4"/>
  <c r="BU277" i="4"/>
  <c r="BT277" i="4"/>
  <c r="BS277" i="4"/>
  <c r="BR277" i="4"/>
  <c r="BQ277" i="4"/>
  <c r="BP277" i="4"/>
  <c r="BO277" i="4"/>
  <c r="BN277" i="4"/>
  <c r="BM277" i="4"/>
  <c r="BL277" i="4"/>
  <c r="BK277" i="4"/>
  <c r="BJ277" i="4"/>
  <c r="BI277" i="4"/>
  <c r="BH277" i="4"/>
  <c r="BG277" i="4"/>
  <c r="BF277" i="4"/>
  <c r="BE277" i="4"/>
  <c r="BD277" i="4"/>
  <c r="BC277" i="4"/>
  <c r="BB277" i="4"/>
  <c r="BA277" i="4"/>
  <c r="AZ277" i="4"/>
  <c r="AY277" i="4"/>
  <c r="AX277" i="4"/>
  <c r="AW277" i="4"/>
  <c r="AV277" i="4"/>
  <c r="AU277" i="4"/>
  <c r="AT277" i="4"/>
  <c r="AS277" i="4"/>
  <c r="AR277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CT276" i="4"/>
  <c r="CS276" i="4"/>
  <c r="CR276" i="4"/>
  <c r="CQ276" i="4"/>
  <c r="CP276" i="4"/>
  <c r="CO276" i="4"/>
  <c r="CN276" i="4"/>
  <c r="CM276" i="4"/>
  <c r="CL276" i="4"/>
  <c r="CK276" i="4"/>
  <c r="CJ276" i="4"/>
  <c r="CI276" i="4"/>
  <c r="CH276" i="4"/>
  <c r="CG276" i="4"/>
  <c r="CF276" i="4"/>
  <c r="CE276" i="4"/>
  <c r="CD276" i="4"/>
  <c r="CC276" i="4"/>
  <c r="CB276" i="4"/>
  <c r="CA276" i="4"/>
  <c r="BZ276" i="4"/>
  <c r="BY276" i="4"/>
  <c r="BX276" i="4"/>
  <c r="BW276" i="4"/>
  <c r="BV276" i="4"/>
  <c r="BU276" i="4"/>
  <c r="BT276" i="4"/>
  <c r="BS276" i="4"/>
  <c r="BR276" i="4"/>
  <c r="BQ276" i="4"/>
  <c r="BP276" i="4"/>
  <c r="BO276" i="4"/>
  <c r="BN276" i="4"/>
  <c r="BM276" i="4"/>
  <c r="BL276" i="4"/>
  <c r="BK276" i="4"/>
  <c r="BJ276" i="4"/>
  <c r="BI276" i="4"/>
  <c r="BH276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R276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CS275" i="4"/>
  <c r="CR275" i="4"/>
  <c r="CQ275" i="4"/>
  <c r="CP275" i="4"/>
  <c r="CO275" i="4"/>
  <c r="CN275" i="4"/>
  <c r="CM275" i="4"/>
  <c r="CL275" i="4"/>
  <c r="CK275" i="4"/>
  <c r="CJ275" i="4"/>
  <c r="CI275" i="4"/>
  <c r="CH275" i="4"/>
  <c r="CG275" i="4"/>
  <c r="CF275" i="4"/>
  <c r="CE275" i="4"/>
  <c r="CD275" i="4"/>
  <c r="CC275" i="4"/>
  <c r="CB275" i="4"/>
  <c r="CA275" i="4"/>
  <c r="BZ275" i="4"/>
  <c r="BY275" i="4"/>
  <c r="BX275" i="4"/>
  <c r="BW275" i="4"/>
  <c r="BV275" i="4"/>
  <c r="BU275" i="4"/>
  <c r="BT275" i="4"/>
  <c r="BS275" i="4"/>
  <c r="BR275" i="4"/>
  <c r="BQ275" i="4"/>
  <c r="BP275" i="4"/>
  <c r="BO275" i="4"/>
  <c r="BN275" i="4"/>
  <c r="BM275" i="4"/>
  <c r="BL275" i="4"/>
  <c r="BK275" i="4"/>
  <c r="BJ275" i="4"/>
  <c r="BI275" i="4"/>
  <c r="BH275" i="4"/>
  <c r="BG275" i="4"/>
  <c r="BF275" i="4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CR274" i="4"/>
  <c r="CQ274" i="4"/>
  <c r="CP274" i="4"/>
  <c r="CO274" i="4"/>
  <c r="CN274" i="4"/>
  <c r="CM274" i="4"/>
  <c r="CL274" i="4"/>
  <c r="CK274" i="4"/>
  <c r="CJ274" i="4"/>
  <c r="CI274" i="4"/>
  <c r="CH274" i="4"/>
  <c r="CG274" i="4"/>
  <c r="CF274" i="4"/>
  <c r="CE274" i="4"/>
  <c r="CD274" i="4"/>
  <c r="CC274" i="4"/>
  <c r="CB274" i="4"/>
  <c r="CA274" i="4"/>
  <c r="BZ274" i="4"/>
  <c r="BY274" i="4"/>
  <c r="BX274" i="4"/>
  <c r="BW274" i="4"/>
  <c r="BV274" i="4"/>
  <c r="BU274" i="4"/>
  <c r="BT274" i="4"/>
  <c r="BS274" i="4"/>
  <c r="BR274" i="4"/>
  <c r="BQ274" i="4"/>
  <c r="BP274" i="4"/>
  <c r="BO274" i="4"/>
  <c r="BN274" i="4"/>
  <c r="BM274" i="4"/>
  <c r="BL274" i="4"/>
  <c r="BK274" i="4"/>
  <c r="BJ274" i="4"/>
  <c r="BI274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CQ273" i="4"/>
  <c r="CP273" i="4"/>
  <c r="CO273" i="4"/>
  <c r="CN273" i="4"/>
  <c r="CM273" i="4"/>
  <c r="CL273" i="4"/>
  <c r="CK273" i="4"/>
  <c r="CJ273" i="4"/>
  <c r="CI273" i="4"/>
  <c r="CH273" i="4"/>
  <c r="CG273" i="4"/>
  <c r="CF273" i="4"/>
  <c r="CE273" i="4"/>
  <c r="CD273" i="4"/>
  <c r="CC273" i="4"/>
  <c r="CB273" i="4"/>
  <c r="CA273" i="4"/>
  <c r="BZ273" i="4"/>
  <c r="BY273" i="4"/>
  <c r="BX273" i="4"/>
  <c r="BW273" i="4"/>
  <c r="BV273" i="4"/>
  <c r="BU273" i="4"/>
  <c r="BT273" i="4"/>
  <c r="BS273" i="4"/>
  <c r="BR273" i="4"/>
  <c r="BQ273" i="4"/>
  <c r="BP273" i="4"/>
  <c r="BO273" i="4"/>
  <c r="BN273" i="4"/>
  <c r="BM273" i="4"/>
  <c r="BL273" i="4"/>
  <c r="BK273" i="4"/>
  <c r="BJ273" i="4"/>
  <c r="BI273" i="4"/>
  <c r="BH273" i="4"/>
  <c r="BG273" i="4"/>
  <c r="BF273" i="4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CP272" i="4"/>
  <c r="CO272" i="4"/>
  <c r="CN272" i="4"/>
  <c r="CM272" i="4"/>
  <c r="CL272" i="4"/>
  <c r="CK272" i="4"/>
  <c r="CJ272" i="4"/>
  <c r="CI272" i="4"/>
  <c r="CH272" i="4"/>
  <c r="CG272" i="4"/>
  <c r="CF272" i="4"/>
  <c r="CE272" i="4"/>
  <c r="CD272" i="4"/>
  <c r="CC272" i="4"/>
  <c r="CB272" i="4"/>
  <c r="CA272" i="4"/>
  <c r="BZ272" i="4"/>
  <c r="BY272" i="4"/>
  <c r="BX272" i="4"/>
  <c r="BW272" i="4"/>
  <c r="BV272" i="4"/>
  <c r="BU272" i="4"/>
  <c r="BT272" i="4"/>
  <c r="BS272" i="4"/>
  <c r="BR272" i="4"/>
  <c r="BQ272" i="4"/>
  <c r="BP272" i="4"/>
  <c r="BO272" i="4"/>
  <c r="BN272" i="4"/>
  <c r="BM272" i="4"/>
  <c r="BL272" i="4"/>
  <c r="BK272" i="4"/>
  <c r="BJ272" i="4"/>
  <c r="BI272" i="4"/>
  <c r="BH272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CO271" i="4"/>
  <c r="CN271" i="4"/>
  <c r="CM271" i="4"/>
  <c r="CL271" i="4"/>
  <c r="CK271" i="4"/>
  <c r="CJ271" i="4"/>
  <c r="CI271" i="4"/>
  <c r="CH271" i="4"/>
  <c r="CG271" i="4"/>
  <c r="CF271" i="4"/>
  <c r="CE271" i="4"/>
  <c r="CD271" i="4"/>
  <c r="CC271" i="4"/>
  <c r="CB271" i="4"/>
  <c r="CA271" i="4"/>
  <c r="BZ271" i="4"/>
  <c r="BY271" i="4"/>
  <c r="BX271" i="4"/>
  <c r="BW271" i="4"/>
  <c r="BV271" i="4"/>
  <c r="BU271" i="4"/>
  <c r="BT271" i="4"/>
  <c r="BS271" i="4"/>
  <c r="BR271" i="4"/>
  <c r="BQ271" i="4"/>
  <c r="BP271" i="4"/>
  <c r="BO271" i="4"/>
  <c r="BN271" i="4"/>
  <c r="BM271" i="4"/>
  <c r="BL271" i="4"/>
  <c r="BK271" i="4"/>
  <c r="BJ271" i="4"/>
  <c r="BI271" i="4"/>
  <c r="BH271" i="4"/>
  <c r="BG271" i="4"/>
  <c r="BF271" i="4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CN270" i="4"/>
  <c r="CM270" i="4"/>
  <c r="CL270" i="4"/>
  <c r="CK270" i="4"/>
  <c r="CJ270" i="4"/>
  <c r="CI270" i="4"/>
  <c r="CH270" i="4"/>
  <c r="CG270" i="4"/>
  <c r="CF270" i="4"/>
  <c r="CE270" i="4"/>
  <c r="CD270" i="4"/>
  <c r="CC270" i="4"/>
  <c r="CB270" i="4"/>
  <c r="CA270" i="4"/>
  <c r="BZ270" i="4"/>
  <c r="BY270" i="4"/>
  <c r="BX270" i="4"/>
  <c r="BW270" i="4"/>
  <c r="BV270" i="4"/>
  <c r="BU270" i="4"/>
  <c r="BT270" i="4"/>
  <c r="BS270" i="4"/>
  <c r="BR270" i="4"/>
  <c r="BQ270" i="4"/>
  <c r="BP270" i="4"/>
  <c r="BO270" i="4"/>
  <c r="BN270" i="4"/>
  <c r="BM270" i="4"/>
  <c r="BL270" i="4"/>
  <c r="BK270" i="4"/>
  <c r="BJ270" i="4"/>
  <c r="BI270" i="4"/>
  <c r="BH270" i="4"/>
  <c r="BG270" i="4"/>
  <c r="BF270" i="4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CM269" i="4"/>
  <c r="CL269" i="4"/>
  <c r="CK269" i="4"/>
  <c r="CJ269" i="4"/>
  <c r="CI269" i="4"/>
  <c r="CH269" i="4"/>
  <c r="CG269" i="4"/>
  <c r="CF269" i="4"/>
  <c r="CE269" i="4"/>
  <c r="CD269" i="4"/>
  <c r="CC269" i="4"/>
  <c r="CB269" i="4"/>
  <c r="CA269" i="4"/>
  <c r="BZ269" i="4"/>
  <c r="BY269" i="4"/>
  <c r="BX269" i="4"/>
  <c r="BW269" i="4"/>
  <c r="BV269" i="4"/>
  <c r="BU269" i="4"/>
  <c r="BT269" i="4"/>
  <c r="BS269" i="4"/>
  <c r="BR269" i="4"/>
  <c r="BQ269" i="4"/>
  <c r="BP269" i="4"/>
  <c r="BO269" i="4"/>
  <c r="BN269" i="4"/>
  <c r="BM269" i="4"/>
  <c r="BL269" i="4"/>
  <c r="BK269" i="4"/>
  <c r="BJ269" i="4"/>
  <c r="BI269" i="4"/>
  <c r="BH269" i="4"/>
  <c r="BG269" i="4"/>
  <c r="BF269" i="4"/>
  <c r="BE269" i="4"/>
  <c r="BD269" i="4"/>
  <c r="BC269" i="4"/>
  <c r="BB269" i="4"/>
  <c r="BA269" i="4"/>
  <c r="AZ269" i="4"/>
  <c r="AY269" i="4"/>
  <c r="AX269" i="4"/>
  <c r="AW269" i="4"/>
  <c r="AV269" i="4"/>
  <c r="AU269" i="4"/>
  <c r="AT269" i="4"/>
  <c r="AS269" i="4"/>
  <c r="AR269" i="4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CL268" i="4"/>
  <c r="CK268" i="4"/>
  <c r="CJ268" i="4"/>
  <c r="CI268" i="4"/>
  <c r="CH268" i="4"/>
  <c r="CG268" i="4"/>
  <c r="CF268" i="4"/>
  <c r="CE268" i="4"/>
  <c r="CD268" i="4"/>
  <c r="CC268" i="4"/>
  <c r="CB268" i="4"/>
  <c r="CA268" i="4"/>
  <c r="BZ268" i="4"/>
  <c r="BY268" i="4"/>
  <c r="BX268" i="4"/>
  <c r="BW268" i="4"/>
  <c r="BV268" i="4"/>
  <c r="BU268" i="4"/>
  <c r="BT268" i="4"/>
  <c r="BS268" i="4"/>
  <c r="BR268" i="4"/>
  <c r="BQ268" i="4"/>
  <c r="BP268" i="4"/>
  <c r="BO268" i="4"/>
  <c r="BN268" i="4"/>
  <c r="BM268" i="4"/>
  <c r="BL268" i="4"/>
  <c r="BK268" i="4"/>
  <c r="BJ268" i="4"/>
  <c r="BI268" i="4"/>
  <c r="BH268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CK267" i="4"/>
  <c r="CJ267" i="4"/>
  <c r="CI267" i="4"/>
  <c r="CH267" i="4"/>
  <c r="CG267" i="4"/>
  <c r="CF267" i="4"/>
  <c r="CE267" i="4"/>
  <c r="CD267" i="4"/>
  <c r="CC267" i="4"/>
  <c r="CB267" i="4"/>
  <c r="CA267" i="4"/>
  <c r="BZ267" i="4"/>
  <c r="BY267" i="4"/>
  <c r="BX267" i="4"/>
  <c r="BW267" i="4"/>
  <c r="BV267" i="4"/>
  <c r="BU267" i="4"/>
  <c r="BT267" i="4"/>
  <c r="BS267" i="4"/>
  <c r="BR267" i="4"/>
  <c r="BQ267" i="4"/>
  <c r="BP267" i="4"/>
  <c r="BO267" i="4"/>
  <c r="BN267" i="4"/>
  <c r="BM267" i="4"/>
  <c r="BL267" i="4"/>
  <c r="BK267" i="4"/>
  <c r="BJ267" i="4"/>
  <c r="BI267" i="4"/>
  <c r="BH267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CJ266" i="4"/>
  <c r="CI266" i="4"/>
  <c r="CH266" i="4"/>
  <c r="CG266" i="4"/>
  <c r="CF266" i="4"/>
  <c r="CE266" i="4"/>
  <c r="CD266" i="4"/>
  <c r="CC266" i="4"/>
  <c r="CB266" i="4"/>
  <c r="CA266" i="4"/>
  <c r="BZ266" i="4"/>
  <c r="BY266" i="4"/>
  <c r="BX266" i="4"/>
  <c r="BW266" i="4"/>
  <c r="BV266" i="4"/>
  <c r="BU266" i="4"/>
  <c r="BT266" i="4"/>
  <c r="BS266" i="4"/>
  <c r="BR266" i="4"/>
  <c r="BQ266" i="4"/>
  <c r="BP266" i="4"/>
  <c r="BO266" i="4"/>
  <c r="BN266" i="4"/>
  <c r="BM266" i="4"/>
  <c r="BL266" i="4"/>
  <c r="BK266" i="4"/>
  <c r="BJ266" i="4"/>
  <c r="BI266" i="4"/>
  <c r="BH266" i="4"/>
  <c r="BG266" i="4"/>
  <c r="BF266" i="4"/>
  <c r="BE266" i="4"/>
  <c r="BD266" i="4"/>
  <c r="BC266" i="4"/>
  <c r="BB266" i="4"/>
  <c r="BA266" i="4"/>
  <c r="AZ266" i="4"/>
  <c r="AY266" i="4"/>
  <c r="AX266" i="4"/>
  <c r="AW266" i="4"/>
  <c r="AV266" i="4"/>
  <c r="AU266" i="4"/>
  <c r="AT266" i="4"/>
  <c r="AS266" i="4"/>
  <c r="AR266" i="4"/>
  <c r="AQ266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CI265" i="4"/>
  <c r="CH265" i="4"/>
  <c r="CG265" i="4"/>
  <c r="CF265" i="4"/>
  <c r="CE265" i="4"/>
  <c r="CD265" i="4"/>
  <c r="CC265" i="4"/>
  <c r="CB265" i="4"/>
  <c r="CA265" i="4"/>
  <c r="BZ265" i="4"/>
  <c r="BY265" i="4"/>
  <c r="BX265" i="4"/>
  <c r="BW265" i="4"/>
  <c r="BV265" i="4"/>
  <c r="BU265" i="4"/>
  <c r="BT265" i="4"/>
  <c r="BS265" i="4"/>
  <c r="BR265" i="4"/>
  <c r="BQ265" i="4"/>
  <c r="BP265" i="4"/>
  <c r="BO265" i="4"/>
  <c r="BN265" i="4"/>
  <c r="BM265" i="4"/>
  <c r="BL265" i="4"/>
  <c r="BK265" i="4"/>
  <c r="BJ265" i="4"/>
  <c r="BI265" i="4"/>
  <c r="BH265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AU265" i="4"/>
  <c r="AT265" i="4"/>
  <c r="AS265" i="4"/>
  <c r="AR265" i="4"/>
  <c r="AQ265" i="4"/>
  <c r="AP265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CH264" i="4"/>
  <c r="CG264" i="4"/>
  <c r="CF264" i="4"/>
  <c r="CE264" i="4"/>
  <c r="CD264" i="4"/>
  <c r="CC264" i="4"/>
  <c r="CB264" i="4"/>
  <c r="CA264" i="4"/>
  <c r="BZ264" i="4"/>
  <c r="BY264" i="4"/>
  <c r="BX264" i="4"/>
  <c r="BW264" i="4"/>
  <c r="BV264" i="4"/>
  <c r="BU264" i="4"/>
  <c r="BT264" i="4"/>
  <c r="BS264" i="4"/>
  <c r="BR264" i="4"/>
  <c r="BQ264" i="4"/>
  <c r="BP264" i="4"/>
  <c r="BO264" i="4"/>
  <c r="BN264" i="4"/>
  <c r="BM264" i="4"/>
  <c r="BL264" i="4"/>
  <c r="BK264" i="4"/>
  <c r="BJ264" i="4"/>
  <c r="BI264" i="4"/>
  <c r="BH264" i="4"/>
  <c r="BG264" i="4"/>
  <c r="BF264" i="4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AS264" i="4"/>
  <c r="AR264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CG263" i="4"/>
  <c r="CF263" i="4"/>
  <c r="CE263" i="4"/>
  <c r="CD263" i="4"/>
  <c r="CC263" i="4"/>
  <c r="CB263" i="4"/>
  <c r="CA263" i="4"/>
  <c r="BZ263" i="4"/>
  <c r="BY263" i="4"/>
  <c r="BX263" i="4"/>
  <c r="BW263" i="4"/>
  <c r="BV263" i="4"/>
  <c r="BU263" i="4"/>
  <c r="BT263" i="4"/>
  <c r="BS263" i="4"/>
  <c r="BR263" i="4"/>
  <c r="BQ263" i="4"/>
  <c r="BP263" i="4"/>
  <c r="BO263" i="4"/>
  <c r="BN263" i="4"/>
  <c r="BM263" i="4"/>
  <c r="BL263" i="4"/>
  <c r="BK263" i="4"/>
  <c r="BJ263" i="4"/>
  <c r="BI263" i="4"/>
  <c r="BH263" i="4"/>
  <c r="BG263" i="4"/>
  <c r="BF263" i="4"/>
  <c r="BE263" i="4"/>
  <c r="BD263" i="4"/>
  <c r="BC263" i="4"/>
  <c r="BB263" i="4"/>
  <c r="BA263" i="4"/>
  <c r="AZ263" i="4"/>
  <c r="AY263" i="4"/>
  <c r="AX263" i="4"/>
  <c r="AW263" i="4"/>
  <c r="AV263" i="4"/>
  <c r="AU263" i="4"/>
  <c r="AT263" i="4"/>
  <c r="AS263" i="4"/>
  <c r="AR263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CF262" i="4"/>
  <c r="CE262" i="4"/>
  <c r="CD262" i="4"/>
  <c r="CC262" i="4"/>
  <c r="CB262" i="4"/>
  <c r="CA262" i="4"/>
  <c r="BZ262" i="4"/>
  <c r="BY262" i="4"/>
  <c r="BX262" i="4"/>
  <c r="BW262" i="4"/>
  <c r="BV262" i="4"/>
  <c r="BU262" i="4"/>
  <c r="BT262" i="4"/>
  <c r="BS262" i="4"/>
  <c r="BR262" i="4"/>
  <c r="BQ262" i="4"/>
  <c r="BP262" i="4"/>
  <c r="BO262" i="4"/>
  <c r="BN262" i="4"/>
  <c r="BM262" i="4"/>
  <c r="BL262" i="4"/>
  <c r="BK262" i="4"/>
  <c r="BJ262" i="4"/>
  <c r="BI262" i="4"/>
  <c r="BH262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AU262" i="4"/>
  <c r="AT262" i="4"/>
  <c r="AS262" i="4"/>
  <c r="AR262" i="4"/>
  <c r="AQ262" i="4"/>
  <c r="AP262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CE261" i="4"/>
  <c r="CD261" i="4"/>
  <c r="CC261" i="4"/>
  <c r="CB261" i="4"/>
  <c r="CA261" i="4"/>
  <c r="BZ261" i="4"/>
  <c r="BY261" i="4"/>
  <c r="BX261" i="4"/>
  <c r="BW261" i="4"/>
  <c r="BV261" i="4"/>
  <c r="BU261" i="4"/>
  <c r="BT261" i="4"/>
  <c r="BS261" i="4"/>
  <c r="BR261" i="4"/>
  <c r="BQ261" i="4"/>
  <c r="BP261" i="4"/>
  <c r="BO261" i="4"/>
  <c r="BN261" i="4"/>
  <c r="BM261" i="4"/>
  <c r="BL261" i="4"/>
  <c r="BK261" i="4"/>
  <c r="BJ261" i="4"/>
  <c r="BI261" i="4"/>
  <c r="BH261" i="4"/>
  <c r="BG261" i="4"/>
  <c r="BF261" i="4"/>
  <c r="BE261" i="4"/>
  <c r="BD261" i="4"/>
  <c r="BC261" i="4"/>
  <c r="BB261" i="4"/>
  <c r="BA261" i="4"/>
  <c r="AZ261" i="4"/>
  <c r="AY261" i="4"/>
  <c r="AX261" i="4"/>
  <c r="AW261" i="4"/>
  <c r="AV261" i="4"/>
  <c r="AU261" i="4"/>
  <c r="AT261" i="4"/>
  <c r="AS261" i="4"/>
  <c r="AR261" i="4"/>
  <c r="AQ261" i="4"/>
  <c r="AP261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CD260" i="4"/>
  <c r="CC260" i="4"/>
  <c r="CB260" i="4"/>
  <c r="CA260" i="4"/>
  <c r="BZ260" i="4"/>
  <c r="BY260" i="4"/>
  <c r="BX260" i="4"/>
  <c r="BW260" i="4"/>
  <c r="BV260" i="4"/>
  <c r="BU260" i="4"/>
  <c r="BT260" i="4"/>
  <c r="BS260" i="4"/>
  <c r="BR260" i="4"/>
  <c r="BQ260" i="4"/>
  <c r="BP260" i="4"/>
  <c r="BO260" i="4"/>
  <c r="BN260" i="4"/>
  <c r="BM260" i="4"/>
  <c r="BL260" i="4"/>
  <c r="BK260" i="4"/>
  <c r="BJ260" i="4"/>
  <c r="BI260" i="4"/>
  <c r="BH260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R260" i="4"/>
  <c r="AQ260" i="4"/>
  <c r="AP260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CC259" i="4"/>
  <c r="CB259" i="4"/>
  <c r="CA259" i="4"/>
  <c r="BZ259" i="4"/>
  <c r="BY259" i="4"/>
  <c r="BX259" i="4"/>
  <c r="BW259" i="4"/>
  <c r="BV259" i="4"/>
  <c r="BU259" i="4"/>
  <c r="BT259" i="4"/>
  <c r="BS259" i="4"/>
  <c r="BR259" i="4"/>
  <c r="BQ259" i="4"/>
  <c r="BP259" i="4"/>
  <c r="BO259" i="4"/>
  <c r="BN259" i="4"/>
  <c r="BM259" i="4"/>
  <c r="BL259" i="4"/>
  <c r="BK259" i="4"/>
  <c r="BJ259" i="4"/>
  <c r="BI259" i="4"/>
  <c r="BH259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CB258" i="4"/>
  <c r="CA258" i="4"/>
  <c r="BZ258" i="4"/>
  <c r="BY258" i="4"/>
  <c r="BX258" i="4"/>
  <c r="BW258" i="4"/>
  <c r="BV258" i="4"/>
  <c r="BU258" i="4"/>
  <c r="BT258" i="4"/>
  <c r="BS258" i="4"/>
  <c r="BR258" i="4"/>
  <c r="BQ258" i="4"/>
  <c r="BP258" i="4"/>
  <c r="BO258" i="4"/>
  <c r="BN258" i="4"/>
  <c r="BM258" i="4"/>
  <c r="BL258" i="4"/>
  <c r="BK258" i="4"/>
  <c r="BJ258" i="4"/>
  <c r="BI258" i="4"/>
  <c r="BH258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CA257" i="4"/>
  <c r="BZ257" i="4"/>
  <c r="BY257" i="4"/>
  <c r="BX257" i="4"/>
  <c r="BW257" i="4"/>
  <c r="BV257" i="4"/>
  <c r="BU257" i="4"/>
  <c r="BT257" i="4"/>
  <c r="BS257" i="4"/>
  <c r="BR257" i="4"/>
  <c r="BQ257" i="4"/>
  <c r="BP257" i="4"/>
  <c r="BO257" i="4"/>
  <c r="BN257" i="4"/>
  <c r="BM257" i="4"/>
  <c r="BL257" i="4"/>
  <c r="BK257" i="4"/>
  <c r="BJ257" i="4"/>
  <c r="BI257" i="4"/>
  <c r="BH257" i="4"/>
  <c r="BG257" i="4"/>
  <c r="BF257" i="4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/>
  <c r="AR257" i="4"/>
  <c r="AQ257" i="4"/>
  <c r="AP257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BZ256" i="4"/>
  <c r="BY256" i="4"/>
  <c r="BX256" i="4"/>
  <c r="BW256" i="4"/>
  <c r="BV256" i="4"/>
  <c r="BU256" i="4"/>
  <c r="BT256" i="4"/>
  <c r="BS256" i="4"/>
  <c r="BR256" i="4"/>
  <c r="BQ256" i="4"/>
  <c r="BP256" i="4"/>
  <c r="BO256" i="4"/>
  <c r="BN256" i="4"/>
  <c r="BM256" i="4"/>
  <c r="BL256" i="4"/>
  <c r="BK256" i="4"/>
  <c r="BJ256" i="4"/>
  <c r="BI256" i="4"/>
  <c r="BH256" i="4"/>
  <c r="BG256" i="4"/>
  <c r="BF256" i="4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BY255" i="4"/>
  <c r="BX255" i="4"/>
  <c r="BW255" i="4"/>
  <c r="BV255" i="4"/>
  <c r="BU255" i="4"/>
  <c r="BT255" i="4"/>
  <c r="BS255" i="4"/>
  <c r="BR255" i="4"/>
  <c r="BQ255" i="4"/>
  <c r="BP255" i="4"/>
  <c r="BO255" i="4"/>
  <c r="BN255" i="4"/>
  <c r="BM255" i="4"/>
  <c r="BL255" i="4"/>
  <c r="BK255" i="4"/>
  <c r="BJ255" i="4"/>
  <c r="BI255" i="4"/>
  <c r="BH255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BX254" i="4"/>
  <c r="BW254" i="4"/>
  <c r="BV254" i="4"/>
  <c r="BU254" i="4"/>
  <c r="BT254" i="4"/>
  <c r="BS254" i="4"/>
  <c r="BR254" i="4"/>
  <c r="BQ254" i="4"/>
  <c r="BP254" i="4"/>
  <c r="BO254" i="4"/>
  <c r="BN254" i="4"/>
  <c r="BM254" i="4"/>
  <c r="BL254" i="4"/>
  <c r="BK254" i="4"/>
  <c r="BJ254" i="4"/>
  <c r="BI254" i="4"/>
  <c r="BH254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AQ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BW253" i="4"/>
  <c r="BV253" i="4"/>
  <c r="BU253" i="4"/>
  <c r="BT253" i="4"/>
  <c r="BS253" i="4"/>
  <c r="BR253" i="4"/>
  <c r="BQ253" i="4"/>
  <c r="BP253" i="4"/>
  <c r="BO253" i="4"/>
  <c r="BN253" i="4"/>
  <c r="BM253" i="4"/>
  <c r="BL253" i="4"/>
  <c r="BK253" i="4"/>
  <c r="BJ253" i="4"/>
  <c r="BI253" i="4"/>
  <c r="BH253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BV252" i="4"/>
  <c r="BU252" i="4"/>
  <c r="BT252" i="4"/>
  <c r="BS252" i="4"/>
  <c r="BR252" i="4"/>
  <c r="BQ252" i="4"/>
  <c r="BP252" i="4"/>
  <c r="BO252" i="4"/>
  <c r="BN252" i="4"/>
  <c r="BM252" i="4"/>
  <c r="BL252" i="4"/>
  <c r="BK252" i="4"/>
  <c r="BJ252" i="4"/>
  <c r="BI252" i="4"/>
  <c r="BH252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AQ252" i="4"/>
  <c r="AP252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BU251" i="4"/>
  <c r="BT251" i="4"/>
  <c r="BS251" i="4"/>
  <c r="BR251" i="4"/>
  <c r="BQ251" i="4"/>
  <c r="BP251" i="4"/>
  <c r="BO251" i="4"/>
  <c r="BN251" i="4"/>
  <c r="BM251" i="4"/>
  <c r="BL251" i="4"/>
  <c r="BK251" i="4"/>
  <c r="BJ251" i="4"/>
  <c r="BI251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BT250" i="4"/>
  <c r="BS250" i="4"/>
  <c r="BR250" i="4"/>
  <c r="BQ250" i="4"/>
  <c r="BP250" i="4"/>
  <c r="BO250" i="4"/>
  <c r="BN250" i="4"/>
  <c r="BM250" i="4"/>
  <c r="BL250" i="4"/>
  <c r="BK250" i="4"/>
  <c r="BJ250" i="4"/>
  <c r="BI250" i="4"/>
  <c r="BH250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BS249" i="4"/>
  <c r="BR249" i="4"/>
  <c r="BQ249" i="4"/>
  <c r="BP249" i="4"/>
  <c r="BO249" i="4"/>
  <c r="BN249" i="4"/>
  <c r="BM249" i="4"/>
  <c r="BL249" i="4"/>
  <c r="BK249" i="4"/>
  <c r="BJ249" i="4"/>
  <c r="BI249" i="4"/>
  <c r="BH249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BR248" i="4"/>
  <c r="BQ248" i="4"/>
  <c r="BP248" i="4"/>
  <c r="BO248" i="4"/>
  <c r="BN248" i="4"/>
  <c r="BM248" i="4"/>
  <c r="BL248" i="4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BQ247" i="4"/>
  <c r="BP247" i="4"/>
  <c r="BO247" i="4"/>
  <c r="BN247" i="4"/>
  <c r="BM247" i="4"/>
  <c r="BL247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BP246" i="4"/>
  <c r="BO246" i="4"/>
  <c r="BN246" i="4"/>
  <c r="BM246" i="4"/>
  <c r="BL246" i="4"/>
  <c r="BK246" i="4"/>
  <c r="BJ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BO245" i="4"/>
  <c r="BN245" i="4"/>
  <c r="BM245" i="4"/>
  <c r="BL245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BN244" i="4"/>
  <c r="BM244" i="4"/>
  <c r="BL244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BM243" i="4"/>
  <c r="BL243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BL242" i="4"/>
  <c r="BK242" i="4"/>
  <c r="BJ242" i="4"/>
  <c r="BI242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BK241" i="4"/>
  <c r="BJ241" i="4"/>
  <c r="BI241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BJ240" i="4"/>
  <c r="BI240" i="4"/>
  <c r="BH240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BI239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L190" i="4"/>
  <c r="K190" i="4"/>
  <c r="J190" i="4"/>
  <c r="I190" i="4"/>
  <c r="H190" i="4"/>
  <c r="G190" i="4"/>
  <c r="F190" i="4"/>
  <c r="E190" i="4"/>
  <c r="D190" i="4"/>
  <c r="C190" i="4"/>
  <c r="B190" i="4"/>
  <c r="K189" i="4"/>
  <c r="J189" i="4"/>
  <c r="I189" i="4"/>
  <c r="H189" i="4"/>
  <c r="G189" i="4"/>
  <c r="F189" i="4"/>
  <c r="E189" i="4"/>
  <c r="D189" i="4"/>
  <c r="C189" i="4"/>
  <c r="B189" i="4"/>
  <c r="J188" i="4"/>
  <c r="I188" i="4"/>
  <c r="H188" i="4"/>
  <c r="G188" i="4"/>
  <c r="F188" i="4"/>
  <c r="E188" i="4"/>
  <c r="D188" i="4"/>
  <c r="C188" i="4"/>
  <c r="B188" i="4"/>
  <c r="I187" i="4"/>
  <c r="H187" i="4"/>
  <c r="G187" i="4"/>
  <c r="F187" i="4"/>
  <c r="E187" i="4"/>
  <c r="D187" i="4"/>
  <c r="C187" i="4"/>
  <c r="B187" i="4"/>
  <c r="H186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F184" i="4"/>
  <c r="E184" i="4"/>
  <c r="D184" i="4"/>
  <c r="C184" i="4"/>
  <c r="B184" i="4"/>
  <c r="E183" i="4"/>
  <c r="D183" i="4"/>
  <c r="C183" i="4"/>
  <c r="B183" i="4"/>
  <c r="D182" i="4"/>
  <c r="C182" i="4"/>
  <c r="B182" i="4"/>
  <c r="C181" i="4"/>
  <c r="B181" i="4"/>
  <c r="B180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L170" i="4"/>
  <c r="K170" i="4"/>
  <c r="J170" i="4"/>
  <c r="I170" i="4"/>
  <c r="H170" i="4"/>
  <c r="G170" i="4"/>
  <c r="F170" i="4"/>
  <c r="E170" i="4"/>
  <c r="D170" i="4"/>
  <c r="C170" i="4"/>
  <c r="B170" i="4"/>
  <c r="K169" i="4"/>
  <c r="J169" i="4"/>
  <c r="I169" i="4"/>
  <c r="H169" i="4"/>
  <c r="G169" i="4"/>
  <c r="F169" i="4"/>
  <c r="E169" i="4"/>
  <c r="D169" i="4"/>
  <c r="C169" i="4"/>
  <c r="B169" i="4"/>
  <c r="J168" i="4"/>
  <c r="I168" i="4"/>
  <c r="H168" i="4"/>
  <c r="G168" i="4"/>
  <c r="F168" i="4"/>
  <c r="E168" i="4"/>
  <c r="D168" i="4"/>
  <c r="C168" i="4"/>
  <c r="B168" i="4"/>
  <c r="I167" i="4"/>
  <c r="H167" i="4"/>
  <c r="G167" i="4"/>
  <c r="F167" i="4"/>
  <c r="E167" i="4"/>
  <c r="D167" i="4"/>
  <c r="C167" i="4"/>
  <c r="B167" i="4"/>
  <c r="H166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F164" i="4"/>
  <c r="E164" i="4"/>
  <c r="D164" i="4"/>
  <c r="C164" i="4"/>
  <c r="B164" i="4"/>
  <c r="E163" i="4"/>
  <c r="D163" i="4"/>
  <c r="C163" i="4"/>
  <c r="B163" i="4"/>
  <c r="D162" i="4"/>
  <c r="C162" i="4"/>
  <c r="B162" i="4"/>
  <c r="C161" i="4"/>
  <c r="B161" i="4"/>
  <c r="B160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L151" i="4"/>
  <c r="K151" i="4"/>
  <c r="J151" i="4"/>
  <c r="I151" i="4"/>
  <c r="H151" i="4"/>
  <c r="G151" i="4"/>
  <c r="F151" i="4"/>
  <c r="E151" i="4"/>
  <c r="D151" i="4"/>
  <c r="C151" i="4"/>
  <c r="B151" i="4"/>
  <c r="K150" i="4"/>
  <c r="J150" i="4"/>
  <c r="I150" i="4"/>
  <c r="H150" i="4"/>
  <c r="G150" i="4"/>
  <c r="F150" i="4"/>
  <c r="E150" i="4"/>
  <c r="D150" i="4"/>
  <c r="C150" i="4"/>
  <c r="B150" i="4"/>
  <c r="J149" i="4"/>
  <c r="I149" i="4"/>
  <c r="H149" i="4"/>
  <c r="G149" i="4"/>
  <c r="F149" i="4"/>
  <c r="E149" i="4"/>
  <c r="D149" i="4"/>
  <c r="C149" i="4"/>
  <c r="B149" i="4"/>
  <c r="I148" i="4"/>
  <c r="H148" i="4"/>
  <c r="G148" i="4"/>
  <c r="F148" i="4"/>
  <c r="E148" i="4"/>
  <c r="D148" i="4"/>
  <c r="C148" i="4"/>
  <c r="B148" i="4"/>
  <c r="H147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F145" i="4"/>
  <c r="E145" i="4"/>
  <c r="D145" i="4"/>
  <c r="C145" i="4"/>
  <c r="B145" i="4"/>
  <c r="E144" i="4"/>
  <c r="D144" i="4"/>
  <c r="C144" i="4"/>
  <c r="B144" i="4"/>
  <c r="D143" i="4"/>
  <c r="C143" i="4"/>
  <c r="B143" i="4"/>
  <c r="C142" i="4"/>
  <c r="B142" i="4"/>
  <c r="B141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L133" i="4"/>
  <c r="K133" i="4"/>
  <c r="J133" i="4"/>
  <c r="I133" i="4"/>
  <c r="H133" i="4"/>
  <c r="G133" i="4"/>
  <c r="F133" i="4"/>
  <c r="E133" i="4"/>
  <c r="D133" i="4"/>
  <c r="C133" i="4"/>
  <c r="B133" i="4"/>
  <c r="K132" i="4"/>
  <c r="J132" i="4"/>
  <c r="I132" i="4"/>
  <c r="H132" i="4"/>
  <c r="G132" i="4"/>
  <c r="F132" i="4"/>
  <c r="E132" i="4"/>
  <c r="D132" i="4"/>
  <c r="C132" i="4"/>
  <c r="B132" i="4"/>
  <c r="J131" i="4"/>
  <c r="I131" i="4"/>
  <c r="H131" i="4"/>
  <c r="G131" i="4"/>
  <c r="F131" i="4"/>
  <c r="E131" i="4"/>
  <c r="D131" i="4"/>
  <c r="C131" i="4"/>
  <c r="B131" i="4"/>
  <c r="I130" i="4"/>
  <c r="H130" i="4"/>
  <c r="G130" i="4"/>
  <c r="F130" i="4"/>
  <c r="E130" i="4"/>
  <c r="D130" i="4"/>
  <c r="C130" i="4"/>
  <c r="B130" i="4"/>
  <c r="H129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F127" i="4"/>
  <c r="E127" i="4"/>
  <c r="D127" i="4"/>
  <c r="C127" i="4"/>
  <c r="B127" i="4"/>
  <c r="E126" i="4"/>
  <c r="D126" i="4"/>
  <c r="C126" i="4"/>
  <c r="B126" i="4"/>
  <c r="D125" i="4"/>
  <c r="C125" i="4"/>
  <c r="B125" i="4"/>
  <c r="C124" i="4"/>
  <c r="B124" i="4"/>
  <c r="B123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L110" i="4"/>
  <c r="K110" i="4"/>
  <c r="J110" i="4"/>
  <c r="I110" i="4"/>
  <c r="H110" i="4"/>
  <c r="G110" i="4"/>
  <c r="F110" i="4"/>
  <c r="E110" i="4"/>
  <c r="D110" i="4"/>
  <c r="C110" i="4"/>
  <c r="B110" i="4"/>
  <c r="K109" i="4"/>
  <c r="J109" i="4"/>
  <c r="I109" i="4"/>
  <c r="H109" i="4"/>
  <c r="G109" i="4"/>
  <c r="F109" i="4"/>
  <c r="E109" i="4"/>
  <c r="D109" i="4"/>
  <c r="C109" i="4"/>
  <c r="B109" i="4"/>
  <c r="J108" i="4"/>
  <c r="I108" i="4"/>
  <c r="H108" i="4"/>
  <c r="G108" i="4"/>
  <c r="F108" i="4"/>
  <c r="E108" i="4"/>
  <c r="D108" i="4"/>
  <c r="C108" i="4"/>
  <c r="B108" i="4"/>
  <c r="I107" i="4"/>
  <c r="H107" i="4"/>
  <c r="G107" i="4"/>
  <c r="F107" i="4"/>
  <c r="E107" i="4"/>
  <c r="D107" i="4"/>
  <c r="C107" i="4"/>
  <c r="B107" i="4"/>
  <c r="H106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F104" i="4"/>
  <c r="E104" i="4"/>
  <c r="D104" i="4"/>
  <c r="C104" i="4"/>
  <c r="B104" i="4"/>
  <c r="E103" i="4"/>
  <c r="D103" i="4"/>
  <c r="C103" i="4"/>
  <c r="B103" i="4"/>
  <c r="D102" i="4"/>
  <c r="C102" i="4"/>
  <c r="B102" i="4"/>
  <c r="C101" i="4"/>
  <c r="B101" i="4"/>
  <c r="B100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M93" i="4"/>
  <c r="L93" i="4"/>
  <c r="K93" i="4"/>
  <c r="J93" i="4"/>
  <c r="I93" i="4"/>
  <c r="H93" i="4"/>
  <c r="G93" i="4"/>
  <c r="F93" i="4"/>
  <c r="E93" i="4"/>
  <c r="D93" i="4"/>
  <c r="C93" i="4"/>
  <c r="B93" i="4"/>
  <c r="L92" i="4"/>
  <c r="K92" i="4"/>
  <c r="J92" i="4"/>
  <c r="I92" i="4"/>
  <c r="H92" i="4"/>
  <c r="G92" i="4"/>
  <c r="F92" i="4"/>
  <c r="E92" i="4"/>
  <c r="D92" i="4"/>
  <c r="C92" i="4"/>
  <c r="B92" i="4"/>
  <c r="K91" i="4"/>
  <c r="J91" i="4"/>
  <c r="I91" i="4"/>
  <c r="H91" i="4"/>
  <c r="G91" i="4"/>
  <c r="F91" i="4"/>
  <c r="E91" i="4"/>
  <c r="D91" i="4"/>
  <c r="C91" i="4"/>
  <c r="B91" i="4"/>
  <c r="J90" i="4"/>
  <c r="I90" i="4"/>
  <c r="H90" i="4"/>
  <c r="G90" i="4"/>
  <c r="F90" i="4"/>
  <c r="E90" i="4"/>
  <c r="D90" i="4"/>
  <c r="C90" i="4"/>
  <c r="B90" i="4"/>
  <c r="I89" i="4"/>
  <c r="H89" i="4"/>
  <c r="G89" i="4"/>
  <c r="F89" i="4"/>
  <c r="E89" i="4"/>
  <c r="D89" i="4"/>
  <c r="C89" i="4"/>
  <c r="B89" i="4"/>
  <c r="H88" i="4"/>
  <c r="G88" i="4"/>
  <c r="F88" i="4"/>
  <c r="E88" i="4"/>
  <c r="D88" i="4"/>
  <c r="C88" i="4"/>
  <c r="B88" i="4"/>
  <c r="G87" i="4"/>
  <c r="F87" i="4"/>
  <c r="E87" i="4"/>
  <c r="D87" i="4"/>
  <c r="C87" i="4"/>
  <c r="B87" i="4"/>
  <c r="F86" i="4"/>
  <c r="E86" i="4"/>
  <c r="D86" i="4"/>
  <c r="C86" i="4"/>
  <c r="B86" i="4"/>
  <c r="E85" i="4"/>
  <c r="D85" i="4"/>
  <c r="C85" i="4"/>
  <c r="B85" i="4"/>
  <c r="D84" i="4"/>
  <c r="C84" i="4"/>
  <c r="B84" i="4"/>
  <c r="C83" i="4"/>
  <c r="B83" i="4"/>
  <c r="B82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M73" i="4"/>
  <c r="L73" i="4"/>
  <c r="K73" i="4"/>
  <c r="J73" i="4"/>
  <c r="I73" i="4"/>
  <c r="H73" i="4"/>
  <c r="G73" i="4"/>
  <c r="F73" i="4"/>
  <c r="E73" i="4"/>
  <c r="D73" i="4"/>
  <c r="C73" i="4"/>
  <c r="B73" i="4"/>
  <c r="L72" i="4"/>
  <c r="K72" i="4"/>
  <c r="J72" i="4"/>
  <c r="I72" i="4"/>
  <c r="H72" i="4"/>
  <c r="G72" i="4"/>
  <c r="F72" i="4"/>
  <c r="E72" i="4"/>
  <c r="D72" i="4"/>
  <c r="C72" i="4"/>
  <c r="B72" i="4"/>
  <c r="K71" i="4"/>
  <c r="J71" i="4"/>
  <c r="I71" i="4"/>
  <c r="H71" i="4"/>
  <c r="G71" i="4"/>
  <c r="F71" i="4"/>
  <c r="E71" i="4"/>
  <c r="D71" i="4"/>
  <c r="C71" i="4"/>
  <c r="B71" i="4"/>
  <c r="J70" i="4"/>
  <c r="I70" i="4"/>
  <c r="H70" i="4"/>
  <c r="G70" i="4"/>
  <c r="F70" i="4"/>
  <c r="E70" i="4"/>
  <c r="D70" i="4"/>
  <c r="C70" i="4"/>
  <c r="B70" i="4"/>
  <c r="I69" i="4"/>
  <c r="H69" i="4"/>
  <c r="G69" i="4"/>
  <c r="F69" i="4"/>
  <c r="E69" i="4"/>
  <c r="D69" i="4"/>
  <c r="C69" i="4"/>
  <c r="B69" i="4"/>
  <c r="H68" i="4"/>
  <c r="G68" i="4"/>
  <c r="F68" i="4"/>
  <c r="E68" i="4"/>
  <c r="D68" i="4"/>
  <c r="C68" i="4"/>
  <c r="B68" i="4"/>
  <c r="G67" i="4"/>
  <c r="F67" i="4"/>
  <c r="E67" i="4"/>
  <c r="D67" i="4"/>
  <c r="C67" i="4"/>
  <c r="B67" i="4"/>
  <c r="F66" i="4"/>
  <c r="E66" i="4"/>
  <c r="D66" i="4"/>
  <c r="C66" i="4"/>
  <c r="B66" i="4"/>
  <c r="E65" i="4"/>
  <c r="D65" i="4"/>
  <c r="C65" i="4"/>
  <c r="B65" i="4"/>
  <c r="D64" i="4"/>
  <c r="C64" i="4"/>
  <c r="B64" i="4"/>
  <c r="C63" i="4"/>
  <c r="B63" i="4"/>
  <c r="B62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M50" i="4"/>
  <c r="L50" i="4"/>
  <c r="K50" i="4"/>
  <c r="J50" i="4"/>
  <c r="I50" i="4"/>
  <c r="H50" i="4"/>
  <c r="G50" i="4"/>
  <c r="F50" i="4"/>
  <c r="E50" i="4"/>
  <c r="D50" i="4"/>
  <c r="C50" i="4"/>
  <c r="B50" i="4"/>
  <c r="L49" i="4"/>
  <c r="K49" i="4"/>
  <c r="J49" i="4"/>
  <c r="I49" i="4"/>
  <c r="H49" i="4"/>
  <c r="G49" i="4"/>
  <c r="F49" i="4"/>
  <c r="E49" i="4"/>
  <c r="D49" i="4"/>
  <c r="C49" i="4"/>
  <c r="B49" i="4"/>
  <c r="K48" i="4"/>
  <c r="J48" i="4"/>
  <c r="I48" i="4"/>
  <c r="H48" i="4"/>
  <c r="G48" i="4"/>
  <c r="F48" i="4"/>
  <c r="E48" i="4"/>
  <c r="D48" i="4"/>
  <c r="C48" i="4"/>
  <c r="B48" i="4"/>
  <c r="J47" i="4"/>
  <c r="I47" i="4"/>
  <c r="H47" i="4"/>
  <c r="G47" i="4"/>
  <c r="F47" i="4"/>
  <c r="E47" i="4"/>
  <c r="D47" i="4"/>
  <c r="C47" i="4"/>
  <c r="B47" i="4"/>
  <c r="I46" i="4"/>
  <c r="H46" i="4"/>
  <c r="G46" i="4"/>
  <c r="F46" i="4"/>
  <c r="E46" i="4"/>
  <c r="D46" i="4"/>
  <c r="C46" i="4"/>
  <c r="B46" i="4"/>
  <c r="H45" i="4"/>
  <c r="G45" i="4"/>
  <c r="F45" i="4"/>
  <c r="E45" i="4"/>
  <c r="D45" i="4"/>
  <c r="C45" i="4"/>
  <c r="B45" i="4"/>
  <c r="G44" i="4"/>
  <c r="F44" i="4"/>
  <c r="E44" i="4"/>
  <c r="D44" i="4"/>
  <c r="C44" i="4"/>
  <c r="B44" i="4"/>
  <c r="F43" i="4"/>
  <c r="E43" i="4"/>
  <c r="D43" i="4"/>
  <c r="C43" i="4"/>
  <c r="B43" i="4"/>
  <c r="E42" i="4"/>
  <c r="D42" i="4"/>
  <c r="C42" i="4"/>
  <c r="B42" i="4"/>
  <c r="D41" i="4"/>
  <c r="C41" i="4"/>
  <c r="B41" i="4"/>
  <c r="C40" i="4"/>
  <c r="B40" i="4"/>
  <c r="B39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L28" i="4"/>
  <c r="K28" i="4"/>
  <c r="J28" i="4"/>
  <c r="I28" i="4"/>
  <c r="H28" i="4"/>
  <c r="G28" i="4"/>
  <c r="F28" i="4"/>
  <c r="E28" i="4"/>
  <c r="D28" i="4"/>
  <c r="C28" i="4"/>
  <c r="B28" i="4"/>
  <c r="K27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I25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G23" i="4"/>
  <c r="F23" i="4"/>
  <c r="E23" i="4"/>
  <c r="D23" i="4"/>
  <c r="C23" i="4"/>
  <c r="B23" i="4"/>
  <c r="F22" i="4"/>
  <c r="E22" i="4"/>
  <c r="D22" i="4"/>
  <c r="C22" i="4"/>
  <c r="B22" i="4"/>
  <c r="E21" i="4"/>
  <c r="D21" i="4"/>
  <c r="C21" i="4"/>
  <c r="B21" i="4"/>
  <c r="D20" i="4"/>
  <c r="C20" i="4"/>
  <c r="B20" i="4"/>
  <c r="C19" i="4"/>
  <c r="B19" i="4"/>
  <c r="B18" i="4"/>
  <c r="C14" i="4"/>
  <c r="C13" i="4"/>
  <c r="C12" i="4"/>
  <c r="C11" i="4"/>
  <c r="C10" i="4"/>
  <c r="C9" i="4"/>
  <c r="C8" i="4"/>
  <c r="C7" i="4"/>
  <c r="C6" i="4"/>
  <c r="B184" i="3"/>
  <c r="B185" i="3" s="1"/>
  <c r="B183" i="3"/>
  <c r="D181" i="3"/>
  <c r="C181" i="3"/>
  <c r="B181" i="3"/>
  <c r="D180" i="3"/>
  <c r="D179" i="3"/>
  <c r="F156" i="3"/>
  <c r="H156" i="3" s="1"/>
  <c r="S148" i="3"/>
  <c r="R148" i="3"/>
  <c r="Q148" i="3"/>
  <c r="M148" i="3"/>
  <c r="L148" i="3"/>
  <c r="K148" i="3"/>
  <c r="G148" i="3"/>
  <c r="F148" i="3"/>
  <c r="E148" i="3"/>
  <c r="S147" i="3"/>
  <c r="R147" i="3"/>
  <c r="Q147" i="3"/>
  <c r="M147" i="3"/>
  <c r="L147" i="3"/>
  <c r="K147" i="3"/>
  <c r="G147" i="3"/>
  <c r="F147" i="3"/>
  <c r="E147" i="3"/>
  <c r="S146" i="3"/>
  <c r="R146" i="3"/>
  <c r="Q146" i="3"/>
  <c r="M146" i="3"/>
  <c r="L146" i="3"/>
  <c r="K146" i="3"/>
  <c r="G146" i="3"/>
  <c r="F146" i="3"/>
  <c r="E146" i="3"/>
  <c r="S145" i="3"/>
  <c r="R145" i="3"/>
  <c r="Q145" i="3"/>
  <c r="M145" i="3"/>
  <c r="L145" i="3"/>
  <c r="K145" i="3"/>
  <c r="G145" i="3"/>
  <c r="F145" i="3"/>
  <c r="E145" i="3"/>
  <c r="S144" i="3"/>
  <c r="R144" i="3"/>
  <c r="Q144" i="3"/>
  <c r="M144" i="3"/>
  <c r="L144" i="3"/>
  <c r="K144" i="3"/>
  <c r="G144" i="3"/>
  <c r="F144" i="3"/>
  <c r="E144" i="3"/>
  <c r="S143" i="3"/>
  <c r="R143" i="3"/>
  <c r="Q143" i="3"/>
  <c r="M143" i="3"/>
  <c r="L143" i="3"/>
  <c r="K143" i="3"/>
  <c r="G143" i="3"/>
  <c r="F143" i="3"/>
  <c r="E143" i="3"/>
  <c r="S142" i="3"/>
  <c r="R142" i="3"/>
  <c r="Q142" i="3"/>
  <c r="M142" i="3"/>
  <c r="L142" i="3"/>
  <c r="K142" i="3"/>
  <c r="G142" i="3"/>
  <c r="F142" i="3"/>
  <c r="E142" i="3"/>
  <c r="S141" i="3"/>
  <c r="R141" i="3"/>
  <c r="Q141" i="3"/>
  <c r="M141" i="3"/>
  <c r="L141" i="3"/>
  <c r="K141" i="3"/>
  <c r="G141" i="3"/>
  <c r="F141" i="3"/>
  <c r="E141" i="3"/>
  <c r="S140" i="3"/>
  <c r="R140" i="3"/>
  <c r="Q140" i="3"/>
  <c r="M140" i="3"/>
  <c r="L140" i="3"/>
  <c r="K140" i="3"/>
  <c r="G140" i="3"/>
  <c r="F140" i="3"/>
  <c r="E140" i="3"/>
  <c r="S139" i="3"/>
  <c r="R139" i="3"/>
  <c r="Q139" i="3"/>
  <c r="M139" i="3"/>
  <c r="L139" i="3"/>
  <c r="K139" i="3"/>
  <c r="G139" i="3"/>
  <c r="F139" i="3"/>
  <c r="E139" i="3"/>
  <c r="S138" i="3"/>
  <c r="R138" i="3"/>
  <c r="Q138" i="3"/>
  <c r="M138" i="3"/>
  <c r="L138" i="3"/>
  <c r="K138" i="3"/>
  <c r="G138" i="3"/>
  <c r="F138" i="3"/>
  <c r="E138" i="3"/>
  <c r="S137" i="3"/>
  <c r="R137" i="3"/>
  <c r="Q137" i="3"/>
  <c r="M137" i="3"/>
  <c r="L137" i="3"/>
  <c r="K137" i="3"/>
  <c r="G137" i="3"/>
  <c r="F137" i="3"/>
  <c r="E137" i="3"/>
  <c r="S136" i="3"/>
  <c r="R136" i="3"/>
  <c r="Q136" i="3"/>
  <c r="M136" i="3"/>
  <c r="L136" i="3"/>
  <c r="K136" i="3"/>
  <c r="G136" i="3"/>
  <c r="F136" i="3"/>
  <c r="E136" i="3"/>
  <c r="S135" i="3"/>
  <c r="R135" i="3"/>
  <c r="Q135" i="3"/>
  <c r="M135" i="3"/>
  <c r="L135" i="3"/>
  <c r="K135" i="3"/>
  <c r="G135" i="3"/>
  <c r="F135" i="3"/>
  <c r="E135" i="3"/>
  <c r="S134" i="3"/>
  <c r="R134" i="3"/>
  <c r="Q134" i="3"/>
  <c r="M134" i="3"/>
  <c r="L134" i="3"/>
  <c r="K134" i="3"/>
  <c r="G134" i="3"/>
  <c r="F134" i="3"/>
  <c r="E134" i="3"/>
  <c r="S133" i="3"/>
  <c r="R133" i="3"/>
  <c r="Q133" i="3"/>
  <c r="M133" i="3"/>
  <c r="L133" i="3"/>
  <c r="K133" i="3"/>
  <c r="G133" i="3"/>
  <c r="F133" i="3"/>
  <c r="E133" i="3"/>
  <c r="S132" i="3"/>
  <c r="R132" i="3"/>
  <c r="Q132" i="3"/>
  <c r="M132" i="3"/>
  <c r="L132" i="3"/>
  <c r="K132" i="3"/>
  <c r="G132" i="3"/>
  <c r="F132" i="3"/>
  <c r="E132" i="3"/>
  <c r="S131" i="3"/>
  <c r="R131" i="3"/>
  <c r="Q131" i="3"/>
  <c r="M131" i="3"/>
  <c r="L131" i="3"/>
  <c r="K131" i="3"/>
  <c r="G131" i="3"/>
  <c r="F131" i="3"/>
  <c r="E131" i="3"/>
  <c r="S130" i="3"/>
  <c r="R130" i="3"/>
  <c r="Q130" i="3"/>
  <c r="M130" i="3"/>
  <c r="L130" i="3"/>
  <c r="K130" i="3"/>
  <c r="G130" i="3"/>
  <c r="F130" i="3"/>
  <c r="E130" i="3"/>
  <c r="S129" i="3"/>
  <c r="R129" i="3"/>
  <c r="Q129" i="3"/>
  <c r="M129" i="3"/>
  <c r="L129" i="3"/>
  <c r="K129" i="3"/>
  <c r="G129" i="3"/>
  <c r="F129" i="3"/>
  <c r="E129" i="3"/>
  <c r="S128" i="3"/>
  <c r="R128" i="3"/>
  <c r="Q128" i="3"/>
  <c r="M128" i="3"/>
  <c r="L128" i="3"/>
  <c r="K128" i="3"/>
  <c r="G128" i="3"/>
  <c r="F128" i="3"/>
  <c r="E128" i="3"/>
  <c r="S127" i="3"/>
  <c r="R127" i="3"/>
  <c r="Q127" i="3"/>
  <c r="M127" i="3"/>
  <c r="L127" i="3"/>
  <c r="K127" i="3"/>
  <c r="G127" i="3"/>
  <c r="F127" i="3"/>
  <c r="E127" i="3"/>
  <c r="S126" i="3"/>
  <c r="R126" i="3"/>
  <c r="Q126" i="3"/>
  <c r="M126" i="3"/>
  <c r="L126" i="3"/>
  <c r="K126" i="3"/>
  <c r="G126" i="3"/>
  <c r="F126" i="3"/>
  <c r="E126" i="3"/>
  <c r="S125" i="3"/>
  <c r="R125" i="3"/>
  <c r="Q125" i="3"/>
  <c r="M125" i="3"/>
  <c r="L125" i="3"/>
  <c r="K125" i="3"/>
  <c r="G125" i="3"/>
  <c r="F125" i="3"/>
  <c r="E125" i="3"/>
  <c r="S124" i="3"/>
  <c r="R124" i="3"/>
  <c r="Q124" i="3"/>
  <c r="M124" i="3"/>
  <c r="L124" i="3"/>
  <c r="K124" i="3"/>
  <c r="G124" i="3"/>
  <c r="F124" i="3"/>
  <c r="E124" i="3"/>
  <c r="S123" i="3"/>
  <c r="R123" i="3"/>
  <c r="Q123" i="3"/>
  <c r="M123" i="3"/>
  <c r="L123" i="3"/>
  <c r="K123" i="3"/>
  <c r="G123" i="3"/>
  <c r="F123" i="3"/>
  <c r="E123" i="3"/>
  <c r="S122" i="3"/>
  <c r="R122" i="3"/>
  <c r="Q122" i="3"/>
  <c r="M122" i="3"/>
  <c r="L122" i="3"/>
  <c r="K122" i="3"/>
  <c r="G122" i="3"/>
  <c r="F122" i="3"/>
  <c r="E122" i="3"/>
  <c r="S121" i="3"/>
  <c r="R121" i="3"/>
  <c r="Q121" i="3"/>
  <c r="M121" i="3"/>
  <c r="L121" i="3"/>
  <c r="K121" i="3"/>
  <c r="G121" i="3"/>
  <c r="F121" i="3"/>
  <c r="E121" i="3"/>
  <c r="S120" i="3"/>
  <c r="R120" i="3"/>
  <c r="Q120" i="3"/>
  <c r="M120" i="3"/>
  <c r="L120" i="3"/>
  <c r="K120" i="3"/>
  <c r="G120" i="3"/>
  <c r="F120" i="3"/>
  <c r="E120" i="3"/>
  <c r="S119" i="3"/>
  <c r="R119" i="3"/>
  <c r="Q119" i="3"/>
  <c r="M119" i="3"/>
  <c r="L119" i="3"/>
  <c r="K119" i="3"/>
  <c r="G119" i="3"/>
  <c r="F119" i="3"/>
  <c r="E119" i="3"/>
  <c r="S118" i="3"/>
  <c r="R118" i="3"/>
  <c r="Q118" i="3"/>
  <c r="M118" i="3"/>
  <c r="L118" i="3"/>
  <c r="K118" i="3"/>
  <c r="G118" i="3"/>
  <c r="F118" i="3"/>
  <c r="E118" i="3"/>
  <c r="S117" i="3"/>
  <c r="R117" i="3"/>
  <c r="Q117" i="3"/>
  <c r="M117" i="3"/>
  <c r="L117" i="3"/>
  <c r="K117" i="3"/>
  <c r="G117" i="3"/>
  <c r="F117" i="3"/>
  <c r="E117" i="3"/>
  <c r="S116" i="3"/>
  <c r="R116" i="3"/>
  <c r="Q116" i="3"/>
  <c r="M116" i="3"/>
  <c r="L116" i="3"/>
  <c r="K116" i="3"/>
  <c r="G116" i="3"/>
  <c r="F116" i="3"/>
  <c r="E116" i="3"/>
  <c r="S115" i="3"/>
  <c r="R115" i="3"/>
  <c r="Q115" i="3"/>
  <c r="M115" i="3"/>
  <c r="L115" i="3"/>
  <c r="K115" i="3"/>
  <c r="G115" i="3"/>
  <c r="F115" i="3"/>
  <c r="E115" i="3"/>
  <c r="S114" i="3"/>
  <c r="R114" i="3"/>
  <c r="Q114" i="3"/>
  <c r="M114" i="3"/>
  <c r="L114" i="3"/>
  <c r="K114" i="3"/>
  <c r="G114" i="3"/>
  <c r="F114" i="3"/>
  <c r="E114" i="3"/>
  <c r="S113" i="3"/>
  <c r="R113" i="3"/>
  <c r="Q113" i="3"/>
  <c r="M113" i="3"/>
  <c r="L113" i="3"/>
  <c r="K113" i="3"/>
  <c r="G113" i="3"/>
  <c r="F113" i="3"/>
  <c r="E113" i="3"/>
  <c r="S112" i="3"/>
  <c r="R112" i="3"/>
  <c r="Q112" i="3"/>
  <c r="M112" i="3"/>
  <c r="L112" i="3"/>
  <c r="K112" i="3"/>
  <c r="G112" i="3"/>
  <c r="F112" i="3"/>
  <c r="E112" i="3"/>
  <c r="S111" i="3"/>
  <c r="R111" i="3"/>
  <c r="Q111" i="3"/>
  <c r="M111" i="3"/>
  <c r="L111" i="3"/>
  <c r="K111" i="3"/>
  <c r="G111" i="3"/>
  <c r="F111" i="3"/>
  <c r="E111" i="3"/>
  <c r="S110" i="3"/>
  <c r="R110" i="3"/>
  <c r="Q110" i="3"/>
  <c r="M110" i="3"/>
  <c r="L110" i="3"/>
  <c r="K110" i="3"/>
  <c r="G110" i="3"/>
  <c r="F110" i="3"/>
  <c r="E110" i="3"/>
  <c r="S109" i="3"/>
  <c r="R109" i="3"/>
  <c r="Q109" i="3"/>
  <c r="M109" i="3"/>
  <c r="L109" i="3"/>
  <c r="K109" i="3"/>
  <c r="G109" i="3"/>
  <c r="F109" i="3"/>
  <c r="E109" i="3"/>
  <c r="S108" i="3"/>
  <c r="R108" i="3"/>
  <c r="Q108" i="3"/>
  <c r="M108" i="3"/>
  <c r="L108" i="3"/>
  <c r="K108" i="3"/>
  <c r="G108" i="3"/>
  <c r="F108" i="3"/>
  <c r="E108" i="3"/>
  <c r="S107" i="3"/>
  <c r="R107" i="3"/>
  <c r="Q107" i="3"/>
  <c r="M107" i="3"/>
  <c r="L107" i="3"/>
  <c r="K107" i="3"/>
  <c r="G107" i="3"/>
  <c r="F107" i="3"/>
  <c r="E107" i="3"/>
  <c r="S106" i="3"/>
  <c r="R106" i="3"/>
  <c r="Q106" i="3"/>
  <c r="M106" i="3"/>
  <c r="L106" i="3"/>
  <c r="K106" i="3"/>
  <c r="G106" i="3"/>
  <c r="F106" i="3"/>
  <c r="E106" i="3"/>
  <c r="S105" i="3"/>
  <c r="R105" i="3"/>
  <c r="Q105" i="3"/>
  <c r="M105" i="3"/>
  <c r="L105" i="3"/>
  <c r="K105" i="3"/>
  <c r="G105" i="3"/>
  <c r="F105" i="3"/>
  <c r="E105" i="3"/>
  <c r="S104" i="3"/>
  <c r="R104" i="3"/>
  <c r="Q104" i="3"/>
  <c r="M104" i="3"/>
  <c r="L104" i="3"/>
  <c r="K104" i="3"/>
  <c r="G104" i="3"/>
  <c r="F104" i="3"/>
  <c r="E104" i="3"/>
  <c r="S103" i="3"/>
  <c r="R103" i="3"/>
  <c r="Q103" i="3"/>
  <c r="M103" i="3"/>
  <c r="L103" i="3"/>
  <c r="K103" i="3"/>
  <c r="G103" i="3"/>
  <c r="F103" i="3"/>
  <c r="E103" i="3"/>
  <c r="S102" i="3"/>
  <c r="R102" i="3"/>
  <c r="Q102" i="3"/>
  <c r="M102" i="3"/>
  <c r="L102" i="3"/>
  <c r="K102" i="3"/>
  <c r="G102" i="3"/>
  <c r="F102" i="3"/>
  <c r="E102" i="3"/>
  <c r="S101" i="3"/>
  <c r="R101" i="3"/>
  <c r="Q101" i="3"/>
  <c r="M101" i="3"/>
  <c r="L101" i="3"/>
  <c r="K101" i="3"/>
  <c r="G101" i="3"/>
  <c r="F101" i="3"/>
  <c r="E101" i="3"/>
  <c r="S100" i="3"/>
  <c r="R100" i="3"/>
  <c r="Q100" i="3"/>
  <c r="M100" i="3"/>
  <c r="L100" i="3"/>
  <c r="K100" i="3"/>
  <c r="G100" i="3"/>
  <c r="F100" i="3"/>
  <c r="E100" i="3"/>
  <c r="S99" i="3"/>
  <c r="R99" i="3"/>
  <c r="Q99" i="3"/>
  <c r="M99" i="3"/>
  <c r="L99" i="3"/>
  <c r="K99" i="3"/>
  <c r="G99" i="3"/>
  <c r="F99" i="3"/>
  <c r="E99" i="3"/>
  <c r="S98" i="3"/>
  <c r="R98" i="3"/>
  <c r="Q98" i="3"/>
  <c r="M98" i="3"/>
  <c r="L98" i="3"/>
  <c r="K98" i="3"/>
  <c r="G98" i="3"/>
  <c r="F98" i="3"/>
  <c r="E98" i="3"/>
  <c r="S97" i="3"/>
  <c r="R97" i="3"/>
  <c r="Q97" i="3"/>
  <c r="M97" i="3"/>
  <c r="L97" i="3"/>
  <c r="K97" i="3"/>
  <c r="G97" i="3"/>
  <c r="F97" i="3"/>
  <c r="E97" i="3"/>
  <c r="S96" i="3"/>
  <c r="R96" i="3"/>
  <c r="Q96" i="3"/>
  <c r="M96" i="3"/>
  <c r="L96" i="3"/>
  <c r="K96" i="3"/>
  <c r="G96" i="3"/>
  <c r="F96" i="3"/>
  <c r="E96" i="3"/>
  <c r="S95" i="3"/>
  <c r="R95" i="3"/>
  <c r="Q95" i="3"/>
  <c r="M95" i="3"/>
  <c r="L95" i="3"/>
  <c r="K95" i="3"/>
  <c r="G95" i="3"/>
  <c r="F95" i="3"/>
  <c r="E95" i="3"/>
  <c r="S94" i="3"/>
  <c r="R94" i="3"/>
  <c r="Q94" i="3"/>
  <c r="M94" i="3"/>
  <c r="L94" i="3"/>
  <c r="K94" i="3"/>
  <c r="G94" i="3"/>
  <c r="F94" i="3"/>
  <c r="E94" i="3"/>
  <c r="S93" i="3"/>
  <c r="R93" i="3"/>
  <c r="Q93" i="3"/>
  <c r="M93" i="3"/>
  <c r="L93" i="3"/>
  <c r="K93" i="3"/>
  <c r="G93" i="3"/>
  <c r="F93" i="3"/>
  <c r="E93" i="3"/>
  <c r="S92" i="3"/>
  <c r="R92" i="3"/>
  <c r="Q92" i="3"/>
  <c r="M92" i="3"/>
  <c r="L92" i="3"/>
  <c r="K92" i="3"/>
  <c r="G92" i="3"/>
  <c r="F92" i="3"/>
  <c r="E92" i="3"/>
  <c r="S91" i="3"/>
  <c r="R91" i="3"/>
  <c r="Q91" i="3"/>
  <c r="M91" i="3"/>
  <c r="L91" i="3"/>
  <c r="K91" i="3"/>
  <c r="G91" i="3"/>
  <c r="F91" i="3"/>
  <c r="E91" i="3"/>
  <c r="S90" i="3"/>
  <c r="R90" i="3"/>
  <c r="Q90" i="3"/>
  <c r="M90" i="3"/>
  <c r="L90" i="3"/>
  <c r="K90" i="3"/>
  <c r="G90" i="3"/>
  <c r="F90" i="3"/>
  <c r="E90" i="3"/>
  <c r="S89" i="3"/>
  <c r="R89" i="3"/>
  <c r="Q89" i="3"/>
  <c r="M89" i="3"/>
  <c r="L89" i="3"/>
  <c r="K89" i="3"/>
  <c r="G89" i="3"/>
  <c r="F89" i="3"/>
  <c r="E89" i="3"/>
  <c r="S88" i="3"/>
  <c r="R88" i="3"/>
  <c r="Q88" i="3"/>
  <c r="M88" i="3"/>
  <c r="L88" i="3"/>
  <c r="K88" i="3"/>
  <c r="G88" i="3"/>
  <c r="F88" i="3"/>
  <c r="E88" i="3"/>
  <c r="S87" i="3"/>
  <c r="R87" i="3"/>
  <c r="Q87" i="3"/>
  <c r="M87" i="3"/>
  <c r="L87" i="3"/>
  <c r="K87" i="3"/>
  <c r="G87" i="3"/>
  <c r="F87" i="3"/>
  <c r="E87" i="3"/>
  <c r="S86" i="3"/>
  <c r="R86" i="3"/>
  <c r="Q86" i="3"/>
  <c r="M86" i="3"/>
  <c r="L86" i="3"/>
  <c r="K86" i="3"/>
  <c r="G86" i="3"/>
  <c r="F86" i="3"/>
  <c r="E86" i="3"/>
  <c r="S85" i="3"/>
  <c r="R85" i="3"/>
  <c r="Q85" i="3"/>
  <c r="M85" i="3"/>
  <c r="L85" i="3"/>
  <c r="K85" i="3"/>
  <c r="G85" i="3"/>
  <c r="F85" i="3"/>
  <c r="E85" i="3"/>
  <c r="S84" i="3"/>
  <c r="R84" i="3"/>
  <c r="Q84" i="3"/>
  <c r="M84" i="3"/>
  <c r="L84" i="3"/>
  <c r="K84" i="3"/>
  <c r="G84" i="3"/>
  <c r="F84" i="3"/>
  <c r="E84" i="3"/>
  <c r="S83" i="3"/>
  <c r="R83" i="3"/>
  <c r="Q83" i="3"/>
  <c r="M83" i="3"/>
  <c r="L83" i="3"/>
  <c r="K83" i="3"/>
  <c r="G83" i="3"/>
  <c r="F83" i="3"/>
  <c r="E83" i="3"/>
  <c r="S82" i="3"/>
  <c r="R82" i="3"/>
  <c r="Q82" i="3"/>
  <c r="M82" i="3"/>
  <c r="L82" i="3"/>
  <c r="K82" i="3"/>
  <c r="G82" i="3"/>
  <c r="F82" i="3"/>
  <c r="E82" i="3"/>
  <c r="S81" i="3"/>
  <c r="R81" i="3"/>
  <c r="Q81" i="3"/>
  <c r="M81" i="3"/>
  <c r="L81" i="3"/>
  <c r="K81" i="3"/>
  <c r="G81" i="3"/>
  <c r="F81" i="3"/>
  <c r="E81" i="3"/>
  <c r="S80" i="3"/>
  <c r="R80" i="3"/>
  <c r="Q80" i="3"/>
  <c r="M80" i="3"/>
  <c r="L80" i="3"/>
  <c r="K80" i="3"/>
  <c r="G80" i="3"/>
  <c r="F80" i="3"/>
  <c r="E80" i="3"/>
  <c r="S79" i="3"/>
  <c r="R79" i="3"/>
  <c r="Q79" i="3"/>
  <c r="M79" i="3"/>
  <c r="L79" i="3"/>
  <c r="K79" i="3"/>
  <c r="G79" i="3"/>
  <c r="F79" i="3"/>
  <c r="E79" i="3"/>
  <c r="S78" i="3"/>
  <c r="R78" i="3"/>
  <c r="Q78" i="3"/>
  <c r="M78" i="3"/>
  <c r="L78" i="3"/>
  <c r="K78" i="3"/>
  <c r="G78" i="3"/>
  <c r="F78" i="3"/>
  <c r="E78" i="3"/>
  <c r="S77" i="3"/>
  <c r="R77" i="3"/>
  <c r="Q77" i="3"/>
  <c r="M77" i="3"/>
  <c r="L77" i="3"/>
  <c r="K77" i="3"/>
  <c r="G77" i="3"/>
  <c r="F77" i="3"/>
  <c r="E77" i="3"/>
  <c r="S76" i="3"/>
  <c r="R76" i="3"/>
  <c r="Q76" i="3"/>
  <c r="M76" i="3"/>
  <c r="L76" i="3"/>
  <c r="K76" i="3"/>
  <c r="G76" i="3"/>
  <c r="F76" i="3"/>
  <c r="E76" i="3"/>
  <c r="S75" i="3"/>
  <c r="R75" i="3"/>
  <c r="Q75" i="3"/>
  <c r="M75" i="3"/>
  <c r="L75" i="3"/>
  <c r="K75" i="3"/>
  <c r="G75" i="3"/>
  <c r="F75" i="3"/>
  <c r="E75" i="3"/>
  <c r="S74" i="3"/>
  <c r="R74" i="3"/>
  <c r="Q74" i="3"/>
  <c r="M74" i="3"/>
  <c r="L74" i="3"/>
  <c r="K74" i="3"/>
  <c r="G74" i="3"/>
  <c r="F74" i="3"/>
  <c r="E74" i="3"/>
  <c r="S73" i="3"/>
  <c r="R73" i="3"/>
  <c r="Q73" i="3"/>
  <c r="M73" i="3"/>
  <c r="L73" i="3"/>
  <c r="K73" i="3"/>
  <c r="G73" i="3"/>
  <c r="F73" i="3"/>
  <c r="E73" i="3"/>
  <c r="S72" i="3"/>
  <c r="R72" i="3"/>
  <c r="Q72" i="3"/>
  <c r="M72" i="3"/>
  <c r="L72" i="3"/>
  <c r="K72" i="3"/>
  <c r="G72" i="3"/>
  <c r="F72" i="3"/>
  <c r="E72" i="3"/>
  <c r="S71" i="3"/>
  <c r="R71" i="3"/>
  <c r="D153" i="3" s="1"/>
  <c r="Q71" i="3"/>
  <c r="M71" i="3"/>
  <c r="L71" i="3"/>
  <c r="K71" i="3"/>
  <c r="G71" i="3"/>
  <c r="F71" i="3"/>
  <c r="E71" i="3"/>
  <c r="H64" i="3"/>
  <c r="F64" i="3"/>
  <c r="S56" i="3"/>
  <c r="R56" i="3"/>
  <c r="Q56" i="3"/>
  <c r="M56" i="3"/>
  <c r="L56" i="3"/>
  <c r="K56" i="3"/>
  <c r="G56" i="3"/>
  <c r="F56" i="3"/>
  <c r="E56" i="3"/>
  <c r="S55" i="3"/>
  <c r="R55" i="3"/>
  <c r="Q55" i="3"/>
  <c r="M55" i="3"/>
  <c r="L55" i="3"/>
  <c r="K55" i="3"/>
  <c r="G55" i="3"/>
  <c r="F55" i="3"/>
  <c r="E55" i="3"/>
  <c r="S54" i="3"/>
  <c r="R54" i="3"/>
  <c r="Q54" i="3"/>
  <c r="M54" i="3"/>
  <c r="L54" i="3"/>
  <c r="K54" i="3"/>
  <c r="G54" i="3"/>
  <c r="F54" i="3"/>
  <c r="E54" i="3"/>
  <c r="S53" i="3"/>
  <c r="R53" i="3"/>
  <c r="Q53" i="3"/>
  <c r="M53" i="3"/>
  <c r="L53" i="3"/>
  <c r="K53" i="3"/>
  <c r="G53" i="3"/>
  <c r="F53" i="3"/>
  <c r="E53" i="3"/>
  <c r="S52" i="3"/>
  <c r="R52" i="3"/>
  <c r="Q52" i="3"/>
  <c r="M52" i="3"/>
  <c r="L52" i="3"/>
  <c r="K52" i="3"/>
  <c r="G52" i="3"/>
  <c r="F52" i="3"/>
  <c r="E52" i="3"/>
  <c r="S51" i="3"/>
  <c r="R51" i="3"/>
  <c r="Q51" i="3"/>
  <c r="M51" i="3"/>
  <c r="L51" i="3"/>
  <c r="K51" i="3"/>
  <c r="G51" i="3"/>
  <c r="F51" i="3"/>
  <c r="E51" i="3"/>
  <c r="S50" i="3"/>
  <c r="R50" i="3"/>
  <c r="Q50" i="3"/>
  <c r="M50" i="3"/>
  <c r="L50" i="3"/>
  <c r="K50" i="3"/>
  <c r="G50" i="3"/>
  <c r="F50" i="3"/>
  <c r="E50" i="3"/>
  <c r="S49" i="3"/>
  <c r="R49" i="3"/>
  <c r="Q49" i="3"/>
  <c r="M49" i="3"/>
  <c r="L49" i="3"/>
  <c r="K49" i="3"/>
  <c r="G49" i="3"/>
  <c r="F49" i="3"/>
  <c r="E49" i="3"/>
  <c r="S48" i="3"/>
  <c r="R48" i="3"/>
  <c r="Q48" i="3"/>
  <c r="M48" i="3"/>
  <c r="L48" i="3"/>
  <c r="K48" i="3"/>
  <c r="G48" i="3"/>
  <c r="F48" i="3"/>
  <c r="E48" i="3"/>
  <c r="S47" i="3"/>
  <c r="R47" i="3"/>
  <c r="Q47" i="3"/>
  <c r="M47" i="3"/>
  <c r="L47" i="3"/>
  <c r="K47" i="3"/>
  <c r="G47" i="3"/>
  <c r="F47" i="3"/>
  <c r="E47" i="3"/>
  <c r="S46" i="3"/>
  <c r="R46" i="3"/>
  <c r="Q46" i="3"/>
  <c r="M46" i="3"/>
  <c r="L46" i="3"/>
  <c r="K46" i="3"/>
  <c r="G46" i="3"/>
  <c r="F46" i="3"/>
  <c r="E46" i="3"/>
  <c r="S45" i="3"/>
  <c r="R45" i="3"/>
  <c r="Q45" i="3"/>
  <c r="M45" i="3"/>
  <c r="L45" i="3"/>
  <c r="K45" i="3"/>
  <c r="G45" i="3"/>
  <c r="F45" i="3"/>
  <c r="E45" i="3"/>
  <c r="S44" i="3"/>
  <c r="R44" i="3"/>
  <c r="Q44" i="3"/>
  <c r="M44" i="3"/>
  <c r="L44" i="3"/>
  <c r="K44" i="3"/>
  <c r="G44" i="3"/>
  <c r="F44" i="3"/>
  <c r="E44" i="3"/>
  <c r="S43" i="3"/>
  <c r="R43" i="3"/>
  <c r="Q43" i="3"/>
  <c r="M43" i="3"/>
  <c r="L43" i="3"/>
  <c r="K43" i="3"/>
  <c r="G43" i="3"/>
  <c r="F43" i="3"/>
  <c r="E43" i="3"/>
  <c r="S42" i="3"/>
  <c r="R42" i="3"/>
  <c r="Q42" i="3"/>
  <c r="M42" i="3"/>
  <c r="L42" i="3"/>
  <c r="K42" i="3"/>
  <c r="G42" i="3"/>
  <c r="F42" i="3"/>
  <c r="E42" i="3"/>
  <c r="S41" i="3"/>
  <c r="R41" i="3"/>
  <c r="Q41" i="3"/>
  <c r="M41" i="3"/>
  <c r="L41" i="3"/>
  <c r="K41" i="3"/>
  <c r="G41" i="3"/>
  <c r="F41" i="3"/>
  <c r="E41" i="3"/>
  <c r="S40" i="3"/>
  <c r="R40" i="3"/>
  <c r="Q40" i="3"/>
  <c r="M40" i="3"/>
  <c r="L40" i="3"/>
  <c r="K40" i="3"/>
  <c r="G40" i="3"/>
  <c r="F40" i="3"/>
  <c r="E40" i="3"/>
  <c r="S39" i="3"/>
  <c r="R39" i="3"/>
  <c r="Q39" i="3"/>
  <c r="M39" i="3"/>
  <c r="L39" i="3"/>
  <c r="K39" i="3"/>
  <c r="G39" i="3"/>
  <c r="F39" i="3"/>
  <c r="E39" i="3"/>
  <c r="S38" i="3"/>
  <c r="R38" i="3"/>
  <c r="Q38" i="3"/>
  <c r="M38" i="3"/>
  <c r="L38" i="3"/>
  <c r="K38" i="3"/>
  <c r="G38" i="3"/>
  <c r="F38" i="3"/>
  <c r="E38" i="3"/>
  <c r="S37" i="3"/>
  <c r="R37" i="3"/>
  <c r="Q37" i="3"/>
  <c r="M37" i="3"/>
  <c r="L37" i="3"/>
  <c r="K37" i="3"/>
  <c r="G37" i="3"/>
  <c r="F37" i="3"/>
  <c r="E37" i="3"/>
  <c r="S36" i="3"/>
  <c r="R36" i="3"/>
  <c r="Q36" i="3"/>
  <c r="M36" i="3"/>
  <c r="L36" i="3"/>
  <c r="K36" i="3"/>
  <c r="G36" i="3"/>
  <c r="F36" i="3"/>
  <c r="E36" i="3"/>
  <c r="S35" i="3"/>
  <c r="R35" i="3"/>
  <c r="Q35" i="3"/>
  <c r="M35" i="3"/>
  <c r="L35" i="3"/>
  <c r="K35" i="3"/>
  <c r="G35" i="3"/>
  <c r="F35" i="3"/>
  <c r="E35" i="3"/>
  <c r="S34" i="3"/>
  <c r="R34" i="3"/>
  <c r="Q34" i="3"/>
  <c r="M34" i="3"/>
  <c r="L34" i="3"/>
  <c r="K34" i="3"/>
  <c r="G34" i="3"/>
  <c r="F34" i="3"/>
  <c r="E34" i="3"/>
  <c r="S33" i="3"/>
  <c r="R33" i="3"/>
  <c r="Q33" i="3"/>
  <c r="M33" i="3"/>
  <c r="L33" i="3"/>
  <c r="K33" i="3"/>
  <c r="G33" i="3"/>
  <c r="F33" i="3"/>
  <c r="E33" i="3"/>
  <c r="S32" i="3"/>
  <c r="R32" i="3"/>
  <c r="Q32" i="3"/>
  <c r="M32" i="3"/>
  <c r="L32" i="3"/>
  <c r="K32" i="3"/>
  <c r="G32" i="3"/>
  <c r="F32" i="3"/>
  <c r="E32" i="3"/>
  <c r="S31" i="3"/>
  <c r="R31" i="3"/>
  <c r="Q31" i="3"/>
  <c r="M31" i="3"/>
  <c r="L31" i="3"/>
  <c r="K31" i="3"/>
  <c r="G31" i="3"/>
  <c r="F31" i="3"/>
  <c r="E31" i="3"/>
  <c r="S30" i="3"/>
  <c r="R30" i="3"/>
  <c r="Q30" i="3"/>
  <c r="M30" i="3"/>
  <c r="L30" i="3"/>
  <c r="K30" i="3"/>
  <c r="G30" i="3"/>
  <c r="F30" i="3"/>
  <c r="E30" i="3"/>
  <c r="S29" i="3"/>
  <c r="R29" i="3"/>
  <c r="Q29" i="3"/>
  <c r="M29" i="3"/>
  <c r="L29" i="3"/>
  <c r="K29" i="3"/>
  <c r="G29" i="3"/>
  <c r="F29" i="3"/>
  <c r="E29" i="3"/>
  <c r="S28" i="3"/>
  <c r="R28" i="3"/>
  <c r="Q28" i="3"/>
  <c r="M28" i="3"/>
  <c r="L28" i="3"/>
  <c r="K28" i="3"/>
  <c r="G28" i="3"/>
  <c r="F28" i="3"/>
  <c r="E28" i="3"/>
  <c r="S27" i="3"/>
  <c r="R27" i="3"/>
  <c r="Q27" i="3"/>
  <c r="M27" i="3"/>
  <c r="L27" i="3"/>
  <c r="K27" i="3"/>
  <c r="G27" i="3"/>
  <c r="F27" i="3"/>
  <c r="E27" i="3"/>
  <c r="S26" i="3"/>
  <c r="R26" i="3"/>
  <c r="Q26" i="3"/>
  <c r="M26" i="3"/>
  <c r="L26" i="3"/>
  <c r="K26" i="3"/>
  <c r="G26" i="3"/>
  <c r="F26" i="3"/>
  <c r="E26" i="3"/>
  <c r="S25" i="3"/>
  <c r="R25" i="3"/>
  <c r="Q25" i="3"/>
  <c r="M25" i="3"/>
  <c r="L25" i="3"/>
  <c r="K25" i="3"/>
  <c r="G25" i="3"/>
  <c r="F25" i="3"/>
  <c r="E25" i="3"/>
  <c r="S24" i="3"/>
  <c r="R24" i="3"/>
  <c r="Q24" i="3"/>
  <c r="M24" i="3"/>
  <c r="L24" i="3"/>
  <c r="K24" i="3"/>
  <c r="G24" i="3"/>
  <c r="F24" i="3"/>
  <c r="E24" i="3"/>
  <c r="S23" i="3"/>
  <c r="R23" i="3"/>
  <c r="Q23" i="3"/>
  <c r="M23" i="3"/>
  <c r="L23" i="3"/>
  <c r="K23" i="3"/>
  <c r="G23" i="3"/>
  <c r="F23" i="3"/>
  <c r="E23" i="3"/>
  <c r="S22" i="3"/>
  <c r="R22" i="3"/>
  <c r="Q22" i="3"/>
  <c r="M22" i="3"/>
  <c r="L22" i="3"/>
  <c r="K22" i="3"/>
  <c r="G22" i="3"/>
  <c r="F22" i="3"/>
  <c r="E22" i="3"/>
  <c r="S21" i="3"/>
  <c r="R21" i="3"/>
  <c r="Q21" i="3"/>
  <c r="M21" i="3"/>
  <c r="L21" i="3"/>
  <c r="K21" i="3"/>
  <c r="G21" i="3"/>
  <c r="F21" i="3"/>
  <c r="E21" i="3"/>
  <c r="S20" i="3"/>
  <c r="R20" i="3"/>
  <c r="Q20" i="3"/>
  <c r="M20" i="3"/>
  <c r="L20" i="3"/>
  <c r="K20" i="3"/>
  <c r="G20" i="3"/>
  <c r="F20" i="3"/>
  <c r="E20" i="3"/>
  <c r="S19" i="3"/>
  <c r="R19" i="3"/>
  <c r="Q19" i="3"/>
  <c r="M19" i="3"/>
  <c r="L19" i="3"/>
  <c r="K19" i="3"/>
  <c r="G19" i="3"/>
  <c r="F19" i="3"/>
  <c r="E19" i="3"/>
  <c r="S18" i="3"/>
  <c r="R18" i="3"/>
  <c r="Q18" i="3"/>
  <c r="M18" i="3"/>
  <c r="L18" i="3"/>
  <c r="K18" i="3"/>
  <c r="G18" i="3"/>
  <c r="F18" i="3"/>
  <c r="E18" i="3"/>
  <c r="S17" i="3"/>
  <c r="R17" i="3"/>
  <c r="Q17" i="3"/>
  <c r="M17" i="3"/>
  <c r="L17" i="3"/>
  <c r="K17" i="3"/>
  <c r="G17" i="3"/>
  <c r="F17" i="3"/>
  <c r="E17" i="3"/>
  <c r="S16" i="3"/>
  <c r="R16" i="3"/>
  <c r="Q16" i="3"/>
  <c r="M16" i="3"/>
  <c r="L16" i="3"/>
  <c r="K16" i="3"/>
  <c r="G16" i="3"/>
  <c r="F16" i="3"/>
  <c r="E16" i="3"/>
  <c r="S15" i="3"/>
  <c r="R15" i="3"/>
  <c r="Q15" i="3"/>
  <c r="M15" i="3"/>
  <c r="L15" i="3"/>
  <c r="K15" i="3"/>
  <c r="G15" i="3"/>
  <c r="F15" i="3"/>
  <c r="E15" i="3"/>
  <c r="S14" i="3"/>
  <c r="R14" i="3"/>
  <c r="Q14" i="3"/>
  <c r="M14" i="3"/>
  <c r="L14" i="3"/>
  <c r="K14" i="3"/>
  <c r="G14" i="3"/>
  <c r="F14" i="3"/>
  <c r="E14" i="3"/>
  <c r="S13" i="3"/>
  <c r="R13" i="3"/>
  <c r="Q13" i="3"/>
  <c r="M13" i="3"/>
  <c r="L13" i="3"/>
  <c r="K13" i="3"/>
  <c r="G13" i="3"/>
  <c r="F13" i="3"/>
  <c r="E13" i="3"/>
  <c r="S12" i="3"/>
  <c r="R12" i="3"/>
  <c r="Q12" i="3"/>
  <c r="M12" i="3"/>
  <c r="L12" i="3"/>
  <c r="K12" i="3"/>
  <c r="G12" i="3"/>
  <c r="F12" i="3"/>
  <c r="E12" i="3"/>
  <c r="S11" i="3"/>
  <c r="R11" i="3"/>
  <c r="Q11" i="3"/>
  <c r="M11" i="3"/>
  <c r="L11" i="3"/>
  <c r="K11" i="3"/>
  <c r="G11" i="3"/>
  <c r="F11" i="3"/>
  <c r="E11" i="3"/>
  <c r="S10" i="3"/>
  <c r="R10" i="3"/>
  <c r="Q10" i="3"/>
  <c r="M10" i="3"/>
  <c r="L10" i="3"/>
  <c r="K10" i="3"/>
  <c r="G10" i="3"/>
  <c r="F10" i="3"/>
  <c r="E10" i="3"/>
  <c r="S9" i="3"/>
  <c r="R9" i="3"/>
  <c r="Q9" i="3"/>
  <c r="M9" i="3"/>
  <c r="L9" i="3"/>
  <c r="K9" i="3"/>
  <c r="G9" i="3"/>
  <c r="E59" i="3" s="1"/>
  <c r="F9" i="3"/>
  <c r="E9" i="3"/>
  <c r="S8" i="3"/>
  <c r="R8" i="3"/>
  <c r="Q8" i="3"/>
  <c r="C61" i="3" s="1"/>
  <c r="M8" i="3"/>
  <c r="L8" i="3"/>
  <c r="K8" i="3"/>
  <c r="G8" i="3"/>
  <c r="F8" i="3"/>
  <c r="E8" i="3"/>
  <c r="C59" i="3" s="1"/>
  <c r="I66" i="2"/>
  <c r="J66" i="2" s="1"/>
  <c r="H66" i="2"/>
  <c r="G66" i="2"/>
  <c r="F66" i="2"/>
  <c r="E66" i="2"/>
  <c r="K66" i="2" s="1"/>
  <c r="D66" i="2"/>
  <c r="C66" i="2"/>
  <c r="B66" i="2"/>
  <c r="L66" i="2" s="1"/>
  <c r="L65" i="2"/>
  <c r="M65" i="2" s="1"/>
  <c r="K65" i="2"/>
  <c r="I65" i="2"/>
  <c r="J65" i="2" s="1"/>
  <c r="H65" i="2"/>
  <c r="G65" i="2"/>
  <c r="F65" i="2"/>
  <c r="E65" i="2"/>
  <c r="D65" i="2"/>
  <c r="C65" i="2"/>
  <c r="B65" i="2"/>
  <c r="I64" i="2"/>
  <c r="J64" i="2" s="1"/>
  <c r="H64" i="2"/>
  <c r="G64" i="2"/>
  <c r="F64" i="2"/>
  <c r="E64" i="2"/>
  <c r="K64" i="2" s="1"/>
  <c r="D64" i="2"/>
  <c r="C64" i="2"/>
  <c r="B64" i="2"/>
  <c r="L64" i="2" s="1"/>
  <c r="M64" i="2" s="1"/>
  <c r="J63" i="2"/>
  <c r="I63" i="2"/>
  <c r="H63" i="2"/>
  <c r="G63" i="2"/>
  <c r="F63" i="2"/>
  <c r="E63" i="2"/>
  <c r="D63" i="2"/>
  <c r="C63" i="2"/>
  <c r="B63" i="2"/>
  <c r="L63" i="2" s="1"/>
  <c r="O62" i="2"/>
  <c r="M62" i="2"/>
  <c r="K62" i="2"/>
  <c r="I62" i="2"/>
  <c r="J62" i="2" s="1"/>
  <c r="H62" i="2"/>
  <c r="G62" i="2"/>
  <c r="F62" i="2"/>
  <c r="E62" i="2"/>
  <c r="D62" i="2"/>
  <c r="C62" i="2"/>
  <c r="N62" i="2" s="1"/>
  <c r="B62" i="2"/>
  <c r="L62" i="2" s="1"/>
  <c r="L61" i="2"/>
  <c r="I61" i="2"/>
  <c r="J61" i="2" s="1"/>
  <c r="H61" i="2"/>
  <c r="G61" i="2"/>
  <c r="F61" i="2"/>
  <c r="E61" i="2"/>
  <c r="K61" i="2" s="1"/>
  <c r="M61" i="2" s="1"/>
  <c r="D61" i="2"/>
  <c r="C61" i="2"/>
  <c r="B61" i="2"/>
  <c r="J55" i="2"/>
  <c r="I55" i="2"/>
  <c r="H55" i="2"/>
  <c r="G55" i="2"/>
  <c r="F55" i="2"/>
  <c r="E55" i="2"/>
  <c r="K55" i="2" s="1"/>
  <c r="D55" i="2"/>
  <c r="C55" i="2"/>
  <c r="B55" i="2"/>
  <c r="L55" i="2" s="1"/>
  <c r="L54" i="2"/>
  <c r="M54" i="2" s="1"/>
  <c r="K54" i="2"/>
  <c r="I54" i="2"/>
  <c r="J54" i="2" s="1"/>
  <c r="H54" i="2"/>
  <c r="G54" i="2"/>
  <c r="F54" i="2"/>
  <c r="E54" i="2"/>
  <c r="D54" i="2"/>
  <c r="C54" i="2"/>
  <c r="B54" i="2"/>
  <c r="I53" i="2"/>
  <c r="J53" i="2" s="1"/>
  <c r="H53" i="2"/>
  <c r="G53" i="2"/>
  <c r="F53" i="2"/>
  <c r="E53" i="2"/>
  <c r="D53" i="2"/>
  <c r="C53" i="2"/>
  <c r="B53" i="2"/>
  <c r="L53" i="2" s="1"/>
  <c r="L52" i="2"/>
  <c r="I52" i="2"/>
  <c r="J52" i="2" s="1"/>
  <c r="H52" i="2"/>
  <c r="G52" i="2"/>
  <c r="F52" i="2"/>
  <c r="E52" i="2"/>
  <c r="K52" i="2" s="1"/>
  <c r="M52" i="2" s="1"/>
  <c r="D52" i="2"/>
  <c r="C52" i="2"/>
  <c r="B52" i="2"/>
  <c r="J51" i="2"/>
  <c r="I51" i="2"/>
  <c r="H51" i="2"/>
  <c r="G51" i="2"/>
  <c r="F51" i="2"/>
  <c r="E51" i="2"/>
  <c r="K51" i="2" s="1"/>
  <c r="D51" i="2"/>
  <c r="C51" i="2"/>
  <c r="B51" i="2"/>
  <c r="L51" i="2" s="1"/>
  <c r="I45" i="2"/>
  <c r="C45" i="2"/>
  <c r="I44" i="2"/>
  <c r="G44" i="2"/>
  <c r="G43" i="2"/>
  <c r="E43" i="2"/>
  <c r="K43" i="2" s="1"/>
  <c r="E42" i="2"/>
  <c r="C42" i="2"/>
  <c r="I41" i="2"/>
  <c r="C41" i="2"/>
  <c r="L33" i="2"/>
  <c r="M33" i="2" s="1"/>
  <c r="K33" i="2"/>
  <c r="I33" i="2"/>
  <c r="J33" i="2" s="1"/>
  <c r="H33" i="2"/>
  <c r="G33" i="2"/>
  <c r="F33" i="2"/>
  <c r="E33" i="2"/>
  <c r="D33" i="2"/>
  <c r="C33" i="2"/>
  <c r="O33" i="2" s="1"/>
  <c r="B33" i="2"/>
  <c r="I32" i="2"/>
  <c r="J32" i="2" s="1"/>
  <c r="H32" i="2"/>
  <c r="G32" i="2"/>
  <c r="F32" i="2"/>
  <c r="E32" i="2"/>
  <c r="K32" i="2" s="1"/>
  <c r="D32" i="2"/>
  <c r="C32" i="2"/>
  <c r="B32" i="2"/>
  <c r="L32" i="2" s="1"/>
  <c r="M32" i="2" s="1"/>
  <c r="L31" i="2"/>
  <c r="I31" i="2"/>
  <c r="H31" i="2"/>
  <c r="J31" i="2" s="1"/>
  <c r="G31" i="2"/>
  <c r="F31" i="2"/>
  <c r="E31" i="2"/>
  <c r="K31" i="2" s="1"/>
  <c r="M31" i="2" s="1"/>
  <c r="D31" i="2"/>
  <c r="C31" i="2"/>
  <c r="B31" i="2"/>
  <c r="J30" i="2"/>
  <c r="I30" i="2"/>
  <c r="H30" i="2"/>
  <c r="G30" i="2"/>
  <c r="F30" i="2"/>
  <c r="E30" i="2"/>
  <c r="K30" i="2" s="1"/>
  <c r="D30" i="2"/>
  <c r="C30" i="2"/>
  <c r="N30" i="2" s="1"/>
  <c r="B30" i="2"/>
  <c r="L30" i="2" s="1"/>
  <c r="M30" i="2" s="1"/>
  <c r="L29" i="2"/>
  <c r="M29" i="2" s="1"/>
  <c r="K29" i="2"/>
  <c r="I29" i="2"/>
  <c r="J29" i="2" s="1"/>
  <c r="H29" i="2"/>
  <c r="G29" i="2"/>
  <c r="F29" i="2"/>
  <c r="E29" i="2"/>
  <c r="D29" i="2"/>
  <c r="C29" i="2"/>
  <c r="O29" i="2" s="1"/>
  <c r="B29" i="2"/>
  <c r="I28" i="2"/>
  <c r="J28" i="2" s="1"/>
  <c r="H28" i="2"/>
  <c r="G28" i="2"/>
  <c r="F28" i="2"/>
  <c r="E28" i="2"/>
  <c r="K28" i="2" s="1"/>
  <c r="D28" i="2"/>
  <c r="C28" i="2"/>
  <c r="B28" i="2"/>
  <c r="L28" i="2" s="1"/>
  <c r="L27" i="2"/>
  <c r="I27" i="2"/>
  <c r="H27" i="2"/>
  <c r="J27" i="2" s="1"/>
  <c r="G27" i="2"/>
  <c r="F27" i="2"/>
  <c r="E27" i="2"/>
  <c r="K27" i="2" s="1"/>
  <c r="D27" i="2"/>
  <c r="C27" i="2"/>
  <c r="B27" i="2"/>
  <c r="J26" i="2"/>
  <c r="I26" i="2"/>
  <c r="H26" i="2"/>
  <c r="G26" i="2"/>
  <c r="F26" i="2"/>
  <c r="E26" i="2"/>
  <c r="K26" i="2" s="1"/>
  <c r="D26" i="2"/>
  <c r="C26" i="2"/>
  <c r="B26" i="2"/>
  <c r="L26" i="2" s="1"/>
  <c r="M26" i="2" s="1"/>
  <c r="L21" i="2"/>
  <c r="M21" i="2" s="1"/>
  <c r="K21" i="2"/>
  <c r="I21" i="2"/>
  <c r="J21" i="2" s="1"/>
  <c r="H21" i="2"/>
  <c r="G21" i="2"/>
  <c r="F21" i="2"/>
  <c r="E21" i="2"/>
  <c r="D21" i="2"/>
  <c r="C21" i="2"/>
  <c r="O21" i="2" s="1"/>
  <c r="B21" i="2"/>
  <c r="I20" i="2"/>
  <c r="J20" i="2" s="1"/>
  <c r="H20" i="2"/>
  <c r="G20" i="2"/>
  <c r="F20" i="2"/>
  <c r="E20" i="2"/>
  <c r="K20" i="2" s="1"/>
  <c r="D20" i="2"/>
  <c r="C20" i="2"/>
  <c r="B20" i="2"/>
  <c r="L20" i="2" s="1"/>
  <c r="M20" i="2" s="1"/>
  <c r="L19" i="2"/>
  <c r="M19" i="2" s="1"/>
  <c r="I19" i="2"/>
  <c r="H19" i="2"/>
  <c r="J19" i="2" s="1"/>
  <c r="G19" i="2"/>
  <c r="F19" i="2"/>
  <c r="E19" i="2"/>
  <c r="K19" i="2" s="1"/>
  <c r="D19" i="2"/>
  <c r="C19" i="2"/>
  <c r="B19" i="2"/>
  <c r="J18" i="2"/>
  <c r="I18" i="2"/>
  <c r="H18" i="2"/>
  <c r="G18" i="2"/>
  <c r="F18" i="2"/>
  <c r="E18" i="2"/>
  <c r="K18" i="2" s="1"/>
  <c r="D18" i="2"/>
  <c r="C18" i="2"/>
  <c r="N18" i="2" s="1"/>
  <c r="B18" i="2"/>
  <c r="L18" i="2" s="1"/>
  <c r="M18" i="2" s="1"/>
  <c r="L17" i="2"/>
  <c r="M17" i="2" s="1"/>
  <c r="K17" i="2"/>
  <c r="I17" i="2"/>
  <c r="J17" i="2" s="1"/>
  <c r="H17" i="2"/>
  <c r="G17" i="2"/>
  <c r="F17" i="2"/>
  <c r="E17" i="2"/>
  <c r="D17" i="2"/>
  <c r="C17" i="2"/>
  <c r="O17" i="2" s="1"/>
  <c r="B17" i="2"/>
  <c r="I16" i="2"/>
  <c r="J16" i="2" s="1"/>
  <c r="H16" i="2"/>
  <c r="G16" i="2"/>
  <c r="F16" i="2"/>
  <c r="E16" i="2"/>
  <c r="K16" i="2" s="1"/>
  <c r="D16" i="2"/>
  <c r="C16" i="2"/>
  <c r="B16" i="2"/>
  <c r="L16" i="2" s="1"/>
  <c r="L15" i="2"/>
  <c r="I15" i="2"/>
  <c r="H15" i="2"/>
  <c r="J15" i="2" s="1"/>
  <c r="G15" i="2"/>
  <c r="F15" i="2"/>
  <c r="E15" i="2"/>
  <c r="K15" i="2" s="1"/>
  <c r="D15" i="2"/>
  <c r="C15" i="2"/>
  <c r="B15" i="2"/>
  <c r="J14" i="2"/>
  <c r="I14" i="2"/>
  <c r="H14" i="2"/>
  <c r="G14" i="2"/>
  <c r="F14" i="2"/>
  <c r="E14" i="2"/>
  <c r="K14" i="2" s="1"/>
  <c r="D14" i="2"/>
  <c r="C14" i="2"/>
  <c r="B14" i="2"/>
  <c r="L14" i="2" s="1"/>
  <c r="M14" i="2" s="1"/>
  <c r="I7" i="2"/>
  <c r="J7" i="2" s="1"/>
  <c r="H7" i="2"/>
  <c r="G7" i="2"/>
  <c r="F7" i="2"/>
  <c r="E7" i="2"/>
  <c r="K7" i="2" s="1"/>
  <c r="D7" i="2"/>
  <c r="C7" i="2"/>
  <c r="B7" i="2"/>
  <c r="L7" i="2" s="1"/>
  <c r="M7" i="2" s="1"/>
  <c r="L6" i="2"/>
  <c r="I6" i="2"/>
  <c r="H6" i="2"/>
  <c r="J6" i="2" s="1"/>
  <c r="G6" i="2"/>
  <c r="F6" i="2"/>
  <c r="E6" i="2"/>
  <c r="K6" i="2" s="1"/>
  <c r="D6" i="2"/>
  <c r="C6" i="2"/>
  <c r="B6" i="2"/>
  <c r="E143" i="1"/>
  <c r="D143" i="1"/>
  <c r="G142" i="1"/>
  <c r="D142" i="1"/>
  <c r="E141" i="1"/>
  <c r="D141" i="1"/>
  <c r="G140" i="1"/>
  <c r="D140" i="1"/>
  <c r="E139" i="1"/>
  <c r="D139" i="1"/>
  <c r="G138" i="1"/>
  <c r="D138" i="1"/>
  <c r="E137" i="1"/>
  <c r="D137" i="1"/>
  <c r="G136" i="1"/>
  <c r="D136" i="1"/>
  <c r="E135" i="1"/>
  <c r="D135" i="1"/>
  <c r="G134" i="1"/>
  <c r="D134" i="1"/>
  <c r="E133" i="1"/>
  <c r="D133" i="1"/>
  <c r="G132" i="1"/>
  <c r="D132" i="1"/>
  <c r="E131" i="1"/>
  <c r="D131" i="1"/>
  <c r="G130" i="1"/>
  <c r="D130" i="1"/>
  <c r="E129" i="1"/>
  <c r="D129" i="1"/>
  <c r="G128" i="1"/>
  <c r="D128" i="1"/>
  <c r="E127" i="1"/>
  <c r="D127" i="1"/>
  <c r="H45" i="2" s="1"/>
  <c r="G126" i="1"/>
  <c r="D126" i="1"/>
  <c r="E125" i="1"/>
  <c r="D125" i="1"/>
  <c r="G124" i="1"/>
  <c r="D124" i="1"/>
  <c r="E123" i="1"/>
  <c r="D123" i="1"/>
  <c r="G122" i="1"/>
  <c r="D122" i="1"/>
  <c r="E121" i="1"/>
  <c r="D121" i="1"/>
  <c r="G120" i="1"/>
  <c r="D120" i="1"/>
  <c r="E119" i="1"/>
  <c r="D119" i="1"/>
  <c r="G118" i="1"/>
  <c r="D118" i="1"/>
  <c r="E117" i="1"/>
  <c r="D117" i="1"/>
  <c r="G116" i="1"/>
  <c r="D116" i="1"/>
  <c r="E115" i="1"/>
  <c r="D115" i="1"/>
  <c r="G114" i="1"/>
  <c r="D114" i="1"/>
  <c r="E113" i="1"/>
  <c r="D113" i="1"/>
  <c r="G112" i="1"/>
  <c r="D112" i="1"/>
  <c r="E111" i="1"/>
  <c r="D111" i="1"/>
  <c r="F44" i="2" s="1"/>
  <c r="G110" i="1"/>
  <c r="D110" i="1"/>
  <c r="E109" i="1"/>
  <c r="D109" i="1"/>
  <c r="G108" i="1"/>
  <c r="D108" i="1"/>
  <c r="E107" i="1"/>
  <c r="D107" i="1"/>
  <c r="G106" i="1"/>
  <c r="D106" i="1"/>
  <c r="E105" i="1"/>
  <c r="D105" i="1"/>
  <c r="G104" i="1"/>
  <c r="D104" i="1"/>
  <c r="E103" i="1"/>
  <c r="D103" i="1"/>
  <c r="G102" i="1"/>
  <c r="D102" i="1"/>
  <c r="E101" i="1"/>
  <c r="D101" i="1"/>
  <c r="G100" i="1"/>
  <c r="D100" i="1"/>
  <c r="E99" i="1"/>
  <c r="D99" i="1"/>
  <c r="G98" i="1"/>
  <c r="D98" i="1"/>
  <c r="E97" i="1"/>
  <c r="D97" i="1"/>
  <c r="G96" i="1"/>
  <c r="D96" i="1"/>
  <c r="B43" i="2" s="1"/>
  <c r="L43" i="2" s="1"/>
  <c r="E95" i="1"/>
  <c r="D95" i="1"/>
  <c r="G94" i="1"/>
  <c r="D94" i="1"/>
  <c r="E93" i="1"/>
  <c r="D93" i="1"/>
  <c r="G92" i="1"/>
  <c r="D92" i="1"/>
  <c r="E91" i="1"/>
  <c r="D91" i="1"/>
  <c r="G90" i="1"/>
  <c r="D90" i="1"/>
  <c r="E89" i="1"/>
  <c r="D89" i="1"/>
  <c r="G88" i="1"/>
  <c r="D88" i="1"/>
  <c r="E87" i="1"/>
  <c r="D87" i="1"/>
  <c r="G86" i="1"/>
  <c r="D86" i="1"/>
  <c r="E85" i="1"/>
  <c r="D85" i="1"/>
  <c r="G84" i="1"/>
  <c r="D84" i="1"/>
  <c r="E83" i="1"/>
  <c r="D83" i="1"/>
  <c r="G82" i="1"/>
  <c r="D82" i="1"/>
  <c r="E81" i="1"/>
  <c r="D81" i="1"/>
  <c r="G80" i="1"/>
  <c r="D80" i="1"/>
  <c r="E79" i="1"/>
  <c r="D79" i="1"/>
  <c r="G78" i="1"/>
  <c r="D78" i="1"/>
  <c r="E77" i="1"/>
  <c r="D77" i="1"/>
  <c r="G76" i="1"/>
  <c r="D76" i="1"/>
  <c r="H42" i="2" s="1"/>
  <c r="E75" i="1"/>
  <c r="D75" i="1"/>
  <c r="G74" i="1"/>
  <c r="D74" i="1"/>
  <c r="E73" i="1"/>
  <c r="D73" i="1"/>
  <c r="G72" i="1"/>
  <c r="D72" i="1"/>
  <c r="E71" i="1"/>
  <c r="D71" i="1"/>
  <c r="G70" i="1"/>
  <c r="D70" i="1"/>
  <c r="E69" i="1"/>
  <c r="D69" i="1"/>
  <c r="G68" i="1"/>
  <c r="D68" i="1"/>
  <c r="E67" i="1"/>
  <c r="D67" i="1"/>
  <c r="G66" i="1"/>
  <c r="D66" i="1"/>
  <c r="E65" i="1"/>
  <c r="D65" i="1"/>
  <c r="G64" i="1"/>
  <c r="D64" i="1"/>
  <c r="E63" i="1"/>
  <c r="D63" i="1"/>
  <c r="G62" i="1"/>
  <c r="D62" i="1"/>
  <c r="E61" i="1"/>
  <c r="D61" i="1"/>
  <c r="H41" i="2" s="1"/>
  <c r="G60" i="1"/>
  <c r="D60" i="1"/>
  <c r="E59" i="1"/>
  <c r="D59" i="1"/>
  <c r="G58" i="1"/>
  <c r="D58" i="1"/>
  <c r="E57" i="1"/>
  <c r="D57" i="1"/>
  <c r="G56" i="1"/>
  <c r="D56" i="1"/>
  <c r="E55" i="1"/>
  <c r="D55" i="1"/>
  <c r="G54" i="1"/>
  <c r="E54" i="1"/>
  <c r="D54" i="1"/>
  <c r="D53" i="1"/>
  <c r="G52" i="1"/>
  <c r="E52" i="1"/>
  <c r="D52" i="1"/>
  <c r="D51" i="1"/>
  <c r="G50" i="1"/>
  <c r="E50" i="1"/>
  <c r="D50" i="1"/>
  <c r="D49" i="1"/>
  <c r="D48" i="1"/>
  <c r="G47" i="1"/>
  <c r="D47" i="1"/>
  <c r="D46" i="1"/>
  <c r="E46" i="1" s="1"/>
  <c r="D45" i="1"/>
  <c r="F40" i="2" s="1"/>
  <c r="G44" i="1"/>
  <c r="E44" i="1"/>
  <c r="D44" i="1"/>
  <c r="D40" i="2" s="1"/>
  <c r="E43" i="1"/>
  <c r="D43" i="1"/>
  <c r="G42" i="1"/>
  <c r="E42" i="1"/>
  <c r="D42" i="1"/>
  <c r="D41" i="1"/>
  <c r="D40" i="1"/>
  <c r="G39" i="1"/>
  <c r="D39" i="1"/>
  <c r="D38" i="1"/>
  <c r="D37" i="1"/>
  <c r="D36" i="1"/>
  <c r="D35" i="1"/>
  <c r="D34" i="1"/>
  <c r="K33" i="1"/>
  <c r="J33" i="1"/>
  <c r="D33" i="1"/>
  <c r="G33" i="1" s="1"/>
  <c r="L32" i="1"/>
  <c r="D32" i="1"/>
  <c r="L31" i="1"/>
  <c r="G31" i="1"/>
  <c r="E31" i="1"/>
  <c r="D31" i="1"/>
  <c r="D30" i="1"/>
  <c r="E30" i="1" s="1"/>
  <c r="G29" i="1"/>
  <c r="E29" i="1"/>
  <c r="D29" i="1"/>
  <c r="D28" i="1"/>
  <c r="G27" i="1"/>
  <c r="E27" i="1"/>
  <c r="D27" i="1"/>
  <c r="D26" i="1"/>
  <c r="G25" i="1"/>
  <c r="D25" i="1"/>
  <c r="D24" i="1"/>
  <c r="F39" i="2" s="1"/>
  <c r="G23" i="1"/>
  <c r="E23" i="1"/>
  <c r="D23" i="1"/>
  <c r="D22" i="1"/>
  <c r="G22" i="1" s="1"/>
  <c r="D21" i="1"/>
  <c r="G20" i="1"/>
  <c r="E20" i="1"/>
  <c r="D20" i="1"/>
  <c r="E19" i="1"/>
  <c r="D19" i="1"/>
  <c r="J18" i="1"/>
  <c r="G18" i="1"/>
  <c r="E18" i="1"/>
  <c r="D18" i="1"/>
  <c r="D17" i="1"/>
  <c r="G16" i="1"/>
  <c r="E16" i="1"/>
  <c r="D16" i="1"/>
  <c r="D15" i="1"/>
  <c r="D14" i="1"/>
  <c r="G13" i="1"/>
  <c r="E13" i="1"/>
  <c r="D13" i="1"/>
  <c r="E12" i="1"/>
  <c r="D12" i="1"/>
  <c r="G11" i="1"/>
  <c r="E11" i="1"/>
  <c r="D11" i="1"/>
  <c r="D10" i="1"/>
  <c r="D9" i="1"/>
  <c r="G8" i="1"/>
  <c r="D8" i="1"/>
  <c r="D7" i="1"/>
  <c r="J54" i="1" s="1"/>
  <c r="J6" i="1"/>
  <c r="D6" i="1"/>
  <c r="D38" i="2" s="1"/>
  <c r="O64" i="2" l="1"/>
  <c r="N64" i="2"/>
  <c r="O19" i="2"/>
  <c r="N19" i="2"/>
  <c r="O54" i="2"/>
  <c r="O20" i="2"/>
  <c r="N20" i="2"/>
  <c r="O32" i="2"/>
  <c r="N32" i="2"/>
  <c r="O52" i="2"/>
  <c r="N52" i="2"/>
  <c r="M55" i="2"/>
  <c r="O55" i="2" s="1"/>
  <c r="M66" i="2"/>
  <c r="N66" i="2" s="1"/>
  <c r="M43" i="2"/>
  <c r="M6" i="2"/>
  <c r="O66" i="2"/>
  <c r="N7" i="2"/>
  <c r="O7" i="2"/>
  <c r="O31" i="2"/>
  <c r="N31" i="2"/>
  <c r="O14" i="2"/>
  <c r="M15" i="2"/>
  <c r="N26" i="2"/>
  <c r="M27" i="2"/>
  <c r="J41" i="2"/>
  <c r="J45" i="2"/>
  <c r="N65" i="2"/>
  <c r="M16" i="2"/>
  <c r="M28" i="2"/>
  <c r="M51" i="2"/>
  <c r="O61" i="2"/>
  <c r="N61" i="2"/>
  <c r="O51" i="2"/>
  <c r="B38" i="2"/>
  <c r="L38" i="2" s="1"/>
  <c r="D39" i="2"/>
  <c r="B42" i="2"/>
  <c r="L42" i="2" s="1"/>
  <c r="D43" i="2"/>
  <c r="O65" i="2"/>
  <c r="C60" i="3"/>
  <c r="D152" i="3"/>
  <c r="EH183" i="4"/>
  <c r="DZ183" i="4"/>
  <c r="DR183" i="4"/>
  <c r="DJ183" i="4"/>
  <c r="DB183" i="4"/>
  <c r="CT183" i="4"/>
  <c r="CL183" i="4"/>
  <c r="CD183" i="4"/>
  <c r="BV183" i="4"/>
  <c r="BN183" i="4"/>
  <c r="BF183" i="4"/>
  <c r="AX183" i="4"/>
  <c r="AP183" i="4"/>
  <c r="AH183" i="4"/>
  <c r="Z183" i="4"/>
  <c r="R183" i="4"/>
  <c r="J183" i="4"/>
  <c r="EG183" i="4"/>
  <c r="DY183" i="4"/>
  <c r="DQ183" i="4"/>
  <c r="DI183" i="4"/>
  <c r="DA183" i="4"/>
  <c r="CS183" i="4"/>
  <c r="CK183" i="4"/>
  <c r="CC183" i="4"/>
  <c r="BU183" i="4"/>
  <c r="BM183" i="4"/>
  <c r="BE183" i="4"/>
  <c r="AW183" i="4"/>
  <c r="AO183" i="4"/>
  <c r="AG183" i="4"/>
  <c r="Y183" i="4"/>
  <c r="Q183" i="4"/>
  <c r="I183" i="4"/>
  <c r="EF183" i="4"/>
  <c r="DX183" i="4"/>
  <c r="DP183" i="4"/>
  <c r="DH183" i="4"/>
  <c r="CZ183" i="4"/>
  <c r="CR183" i="4"/>
  <c r="CJ183" i="4"/>
  <c r="CB183" i="4"/>
  <c r="BT183" i="4"/>
  <c r="BL183" i="4"/>
  <c r="BD183" i="4"/>
  <c r="AV183" i="4"/>
  <c r="AN183" i="4"/>
  <c r="AF183" i="4"/>
  <c r="X183" i="4"/>
  <c r="P183" i="4"/>
  <c r="H183" i="4"/>
  <c r="EE183" i="4"/>
  <c r="DW183" i="4"/>
  <c r="DO183" i="4"/>
  <c r="DG183" i="4"/>
  <c r="CY183" i="4"/>
  <c r="CQ183" i="4"/>
  <c r="CI183" i="4"/>
  <c r="CA183" i="4"/>
  <c r="BS183" i="4"/>
  <c r="BK183" i="4"/>
  <c r="BC183" i="4"/>
  <c r="AU183" i="4"/>
  <c r="AM183" i="4"/>
  <c r="AE183" i="4"/>
  <c r="W183" i="4"/>
  <c r="O183" i="4"/>
  <c r="G183" i="4"/>
  <c r="EC183" i="4"/>
  <c r="DU183" i="4"/>
  <c r="DM183" i="4"/>
  <c r="DE183" i="4"/>
  <c r="CW183" i="4"/>
  <c r="CO183" i="4"/>
  <c r="CG183" i="4"/>
  <c r="BY183" i="4"/>
  <c r="BQ183" i="4"/>
  <c r="BI183" i="4"/>
  <c r="BA183" i="4"/>
  <c r="AS183" i="4"/>
  <c r="AK183" i="4"/>
  <c r="AC183" i="4"/>
  <c r="U183" i="4"/>
  <c r="M183" i="4"/>
  <c r="EB183" i="4"/>
  <c r="DT183" i="4"/>
  <c r="DL183" i="4"/>
  <c r="DD183" i="4"/>
  <c r="CV183" i="4"/>
  <c r="CN183" i="4"/>
  <c r="CF183" i="4"/>
  <c r="BX183" i="4"/>
  <c r="BP183" i="4"/>
  <c r="BH183" i="4"/>
  <c r="AZ183" i="4"/>
  <c r="AR183" i="4"/>
  <c r="AJ183" i="4"/>
  <c r="AB183" i="4"/>
  <c r="T183" i="4"/>
  <c r="L183" i="4"/>
  <c r="DK183" i="4"/>
  <c r="CE183" i="4"/>
  <c r="AY183" i="4"/>
  <c r="S183" i="4"/>
  <c r="N21" i="4"/>
  <c r="F21" i="4"/>
  <c r="DF183" i="4"/>
  <c r="BZ183" i="4"/>
  <c r="AT183" i="4"/>
  <c r="N183" i="4"/>
  <c r="M21" i="4"/>
  <c r="EI183" i="4"/>
  <c r="DC183" i="4"/>
  <c r="BW183" i="4"/>
  <c r="AQ183" i="4"/>
  <c r="K183" i="4"/>
  <c r="L21" i="4"/>
  <c r="ED183" i="4"/>
  <c r="CX183" i="4"/>
  <c r="BR183" i="4"/>
  <c r="AL183" i="4"/>
  <c r="F183" i="4"/>
  <c r="S21" i="4"/>
  <c r="K21" i="4"/>
  <c r="EA183" i="4"/>
  <c r="CU183" i="4"/>
  <c r="BO183" i="4"/>
  <c r="AI183" i="4"/>
  <c r="R21" i="4"/>
  <c r="J21" i="4"/>
  <c r="DV183" i="4"/>
  <c r="CP183" i="4"/>
  <c r="BJ183" i="4"/>
  <c r="AD183" i="4"/>
  <c r="Q21" i="4"/>
  <c r="I21" i="4"/>
  <c r="DS183" i="4"/>
  <c r="CM183" i="4"/>
  <c r="BG183" i="4"/>
  <c r="AA183" i="4"/>
  <c r="P21" i="4"/>
  <c r="H21" i="4"/>
  <c r="DN183" i="4"/>
  <c r="CH183" i="4"/>
  <c r="BB183" i="4"/>
  <c r="V183" i="4"/>
  <c r="O21" i="4"/>
  <c r="G21" i="4"/>
  <c r="EF207" i="4"/>
  <c r="DX207" i="4"/>
  <c r="DP207" i="4"/>
  <c r="DH207" i="4"/>
  <c r="CZ207" i="4"/>
  <c r="CR207" i="4"/>
  <c r="CJ207" i="4"/>
  <c r="CB207" i="4"/>
  <c r="BT207" i="4"/>
  <c r="BL207" i="4"/>
  <c r="BD207" i="4"/>
  <c r="AV207" i="4"/>
  <c r="AN207" i="4"/>
  <c r="AF207" i="4"/>
  <c r="EE207" i="4"/>
  <c r="DW207" i="4"/>
  <c r="DO207" i="4"/>
  <c r="DG207" i="4"/>
  <c r="CY207" i="4"/>
  <c r="CQ207" i="4"/>
  <c r="CI207" i="4"/>
  <c r="CA207" i="4"/>
  <c r="BS207" i="4"/>
  <c r="BK207" i="4"/>
  <c r="BC207" i="4"/>
  <c r="AU207" i="4"/>
  <c r="AM207" i="4"/>
  <c r="AE207" i="4"/>
  <c r="ED207" i="4"/>
  <c r="DV207" i="4"/>
  <c r="DN207" i="4"/>
  <c r="DF207" i="4"/>
  <c r="CX207" i="4"/>
  <c r="CP207" i="4"/>
  <c r="CH207" i="4"/>
  <c r="BZ207" i="4"/>
  <c r="BR207" i="4"/>
  <c r="BJ207" i="4"/>
  <c r="BB207" i="4"/>
  <c r="AT207" i="4"/>
  <c r="AL207" i="4"/>
  <c r="AD207" i="4"/>
  <c r="EC207" i="4"/>
  <c r="DU207" i="4"/>
  <c r="DM207" i="4"/>
  <c r="DE207" i="4"/>
  <c r="CW207" i="4"/>
  <c r="CO207" i="4"/>
  <c r="CG207" i="4"/>
  <c r="BY207" i="4"/>
  <c r="BQ207" i="4"/>
  <c r="BI207" i="4"/>
  <c r="BA207" i="4"/>
  <c r="AS207" i="4"/>
  <c r="AK207" i="4"/>
  <c r="EI207" i="4"/>
  <c r="EA207" i="4"/>
  <c r="DS207" i="4"/>
  <c r="DK207" i="4"/>
  <c r="DC207" i="4"/>
  <c r="CU207" i="4"/>
  <c r="CM207" i="4"/>
  <c r="CE207" i="4"/>
  <c r="BW207" i="4"/>
  <c r="BO207" i="4"/>
  <c r="BG207" i="4"/>
  <c r="AY207" i="4"/>
  <c r="AQ207" i="4"/>
  <c r="AI207" i="4"/>
  <c r="EH207" i="4"/>
  <c r="DZ207" i="4"/>
  <c r="DR207" i="4"/>
  <c r="DJ207" i="4"/>
  <c r="DB207" i="4"/>
  <c r="CT207" i="4"/>
  <c r="CL207" i="4"/>
  <c r="CD207" i="4"/>
  <c r="BV207" i="4"/>
  <c r="BN207" i="4"/>
  <c r="BF207" i="4"/>
  <c r="AX207" i="4"/>
  <c r="AP207" i="4"/>
  <c r="AH207" i="4"/>
  <c r="DQ207" i="4"/>
  <c r="CK207" i="4"/>
  <c r="BE207" i="4"/>
  <c r="DL207" i="4"/>
  <c r="CF207" i="4"/>
  <c r="AZ207" i="4"/>
  <c r="DI207" i="4"/>
  <c r="CC207" i="4"/>
  <c r="AW207" i="4"/>
  <c r="DD207" i="4"/>
  <c r="BX207" i="4"/>
  <c r="AR207" i="4"/>
  <c r="EG207" i="4"/>
  <c r="DA207" i="4"/>
  <c r="BU207" i="4"/>
  <c r="AO207" i="4"/>
  <c r="EB207" i="4"/>
  <c r="CV207" i="4"/>
  <c r="BP207" i="4"/>
  <c r="AJ207" i="4"/>
  <c r="DY207" i="4"/>
  <c r="CS207" i="4"/>
  <c r="BM207" i="4"/>
  <c r="AG207" i="4"/>
  <c r="DT207" i="4"/>
  <c r="CN207" i="4"/>
  <c r="BH207" i="4"/>
  <c r="R48" i="4"/>
  <c r="Q48" i="4"/>
  <c r="P48" i="4"/>
  <c r="O48" i="4"/>
  <c r="N48" i="4"/>
  <c r="U48" i="4"/>
  <c r="M48" i="4"/>
  <c r="T48" i="4"/>
  <c r="L48" i="4"/>
  <c r="S48" i="4"/>
  <c r="EG209" i="4"/>
  <c r="DY209" i="4"/>
  <c r="DQ209" i="4"/>
  <c r="DI209" i="4"/>
  <c r="DA209" i="4"/>
  <c r="CS209" i="4"/>
  <c r="CK209" i="4"/>
  <c r="EI209" i="4"/>
  <c r="DZ209" i="4"/>
  <c r="DP209" i="4"/>
  <c r="DG209" i="4"/>
  <c r="CX209" i="4"/>
  <c r="CO209" i="4"/>
  <c r="CF209" i="4"/>
  <c r="BX209" i="4"/>
  <c r="BP209" i="4"/>
  <c r="BH209" i="4"/>
  <c r="AZ209" i="4"/>
  <c r="AR209" i="4"/>
  <c r="AJ209" i="4"/>
  <c r="EH209" i="4"/>
  <c r="DX209" i="4"/>
  <c r="DO209" i="4"/>
  <c r="DF209" i="4"/>
  <c r="CW209" i="4"/>
  <c r="CN209" i="4"/>
  <c r="CE209" i="4"/>
  <c r="BW209" i="4"/>
  <c r="BO209" i="4"/>
  <c r="BG209" i="4"/>
  <c r="AY209" i="4"/>
  <c r="AQ209" i="4"/>
  <c r="AI209" i="4"/>
  <c r="EF209" i="4"/>
  <c r="DW209" i="4"/>
  <c r="DN209" i="4"/>
  <c r="DE209" i="4"/>
  <c r="CV209" i="4"/>
  <c r="CM209" i="4"/>
  <c r="CD209" i="4"/>
  <c r="BV209" i="4"/>
  <c r="BN209" i="4"/>
  <c r="BF209" i="4"/>
  <c r="AX209" i="4"/>
  <c r="AP209" i="4"/>
  <c r="AH209" i="4"/>
  <c r="EE209" i="4"/>
  <c r="DV209" i="4"/>
  <c r="DM209" i="4"/>
  <c r="DD209" i="4"/>
  <c r="CU209" i="4"/>
  <c r="CL209" i="4"/>
  <c r="CC209" i="4"/>
  <c r="BU209" i="4"/>
  <c r="BM209" i="4"/>
  <c r="BE209" i="4"/>
  <c r="AW209" i="4"/>
  <c r="AO209" i="4"/>
  <c r="AG209" i="4"/>
  <c r="EC209" i="4"/>
  <c r="DT209" i="4"/>
  <c r="DK209" i="4"/>
  <c r="DB209" i="4"/>
  <c r="CR209" i="4"/>
  <c r="CI209" i="4"/>
  <c r="CA209" i="4"/>
  <c r="BS209" i="4"/>
  <c r="BK209" i="4"/>
  <c r="BC209" i="4"/>
  <c r="AU209" i="4"/>
  <c r="AM209" i="4"/>
  <c r="EB209" i="4"/>
  <c r="DS209" i="4"/>
  <c r="DJ209" i="4"/>
  <c r="CZ209" i="4"/>
  <c r="CQ209" i="4"/>
  <c r="CH209" i="4"/>
  <c r="BZ209" i="4"/>
  <c r="BR209" i="4"/>
  <c r="BJ209" i="4"/>
  <c r="BB209" i="4"/>
  <c r="AT209" i="4"/>
  <c r="AL209" i="4"/>
  <c r="DL209" i="4"/>
  <c r="CB209" i="4"/>
  <c r="AV209" i="4"/>
  <c r="DH209" i="4"/>
  <c r="BY209" i="4"/>
  <c r="AS209" i="4"/>
  <c r="DC209" i="4"/>
  <c r="BT209" i="4"/>
  <c r="AN209" i="4"/>
  <c r="CY209" i="4"/>
  <c r="BQ209" i="4"/>
  <c r="AK209" i="4"/>
  <c r="ED209" i="4"/>
  <c r="CT209" i="4"/>
  <c r="BL209" i="4"/>
  <c r="AF209" i="4"/>
  <c r="EA209" i="4"/>
  <c r="CP209" i="4"/>
  <c r="BI209" i="4"/>
  <c r="DU209" i="4"/>
  <c r="CJ209" i="4"/>
  <c r="BD209" i="4"/>
  <c r="CG209" i="4"/>
  <c r="BA209" i="4"/>
  <c r="R50" i="4"/>
  <c r="Q50" i="4"/>
  <c r="P50" i="4"/>
  <c r="O50" i="4"/>
  <c r="N50" i="4"/>
  <c r="DR209" i="4"/>
  <c r="U50" i="4"/>
  <c r="T50" i="4"/>
  <c r="S50" i="4"/>
  <c r="EE214" i="4"/>
  <c r="DW214" i="4"/>
  <c r="DO214" i="4"/>
  <c r="DG214" i="4"/>
  <c r="CY214" i="4"/>
  <c r="CQ214" i="4"/>
  <c r="CI214" i="4"/>
  <c r="CA214" i="4"/>
  <c r="BS214" i="4"/>
  <c r="BK214" i="4"/>
  <c r="BC214" i="4"/>
  <c r="AU214" i="4"/>
  <c r="AM214" i="4"/>
  <c r="EA214" i="4"/>
  <c r="DR214" i="4"/>
  <c r="DI214" i="4"/>
  <c r="CZ214" i="4"/>
  <c r="CP214" i="4"/>
  <c r="CG214" i="4"/>
  <c r="BX214" i="4"/>
  <c r="BO214" i="4"/>
  <c r="BF214" i="4"/>
  <c r="AW214" i="4"/>
  <c r="AN214" i="4"/>
  <c r="EG214" i="4"/>
  <c r="DX214" i="4"/>
  <c r="ED214" i="4"/>
  <c r="DS214" i="4"/>
  <c r="DH214" i="4"/>
  <c r="CW214" i="4"/>
  <c r="CM214" i="4"/>
  <c r="CC214" i="4"/>
  <c r="BR214" i="4"/>
  <c r="BH214" i="4"/>
  <c r="AX214" i="4"/>
  <c r="AL214" i="4"/>
  <c r="EC214" i="4"/>
  <c r="DQ214" i="4"/>
  <c r="DF214" i="4"/>
  <c r="CV214" i="4"/>
  <c r="CL214" i="4"/>
  <c r="CB214" i="4"/>
  <c r="BQ214" i="4"/>
  <c r="BG214" i="4"/>
  <c r="AV214" i="4"/>
  <c r="AK214" i="4"/>
  <c r="EB214" i="4"/>
  <c r="DP214" i="4"/>
  <c r="DE214" i="4"/>
  <c r="CU214" i="4"/>
  <c r="CK214" i="4"/>
  <c r="BZ214" i="4"/>
  <c r="BP214" i="4"/>
  <c r="BE214" i="4"/>
  <c r="AT214" i="4"/>
  <c r="DY214" i="4"/>
  <c r="DM214" i="4"/>
  <c r="DC214" i="4"/>
  <c r="CS214" i="4"/>
  <c r="CH214" i="4"/>
  <c r="BW214" i="4"/>
  <c r="BM214" i="4"/>
  <c r="BB214" i="4"/>
  <c r="AR214" i="4"/>
  <c r="EI214" i="4"/>
  <c r="DV214" i="4"/>
  <c r="DL214" i="4"/>
  <c r="DB214" i="4"/>
  <c r="CR214" i="4"/>
  <c r="CF214" i="4"/>
  <c r="BV214" i="4"/>
  <c r="BL214" i="4"/>
  <c r="BA214" i="4"/>
  <c r="AQ214" i="4"/>
  <c r="EF214" i="4"/>
  <c r="DT214" i="4"/>
  <c r="DJ214" i="4"/>
  <c r="CX214" i="4"/>
  <c r="CN214" i="4"/>
  <c r="CD214" i="4"/>
  <c r="BT214" i="4"/>
  <c r="BI214" i="4"/>
  <c r="AY214" i="4"/>
  <c r="AO214" i="4"/>
  <c r="DK214" i="4"/>
  <c r="BU214" i="4"/>
  <c r="DD214" i="4"/>
  <c r="BN214" i="4"/>
  <c r="DA214" i="4"/>
  <c r="BJ214" i="4"/>
  <c r="CT214" i="4"/>
  <c r="BD214" i="4"/>
  <c r="EH214" i="4"/>
  <c r="CO214" i="4"/>
  <c r="AZ214" i="4"/>
  <c r="DZ214" i="4"/>
  <c r="CJ214" i="4"/>
  <c r="AS214" i="4"/>
  <c r="DU214" i="4"/>
  <c r="CE214" i="4"/>
  <c r="AP214" i="4"/>
  <c r="DN214" i="4"/>
  <c r="BY214" i="4"/>
  <c r="U55" i="4"/>
  <c r="T55" i="4"/>
  <c r="S55" i="4"/>
  <c r="EB222" i="4"/>
  <c r="DT222" i="4"/>
  <c r="DL222" i="4"/>
  <c r="DD222" i="4"/>
  <c r="CV222" i="4"/>
  <c r="CN222" i="4"/>
  <c r="CF222" i="4"/>
  <c r="BX222" i="4"/>
  <c r="BP222" i="4"/>
  <c r="BH222" i="4"/>
  <c r="AZ222" i="4"/>
  <c r="EI222" i="4"/>
  <c r="EA222" i="4"/>
  <c r="DS222" i="4"/>
  <c r="DK222" i="4"/>
  <c r="EH222" i="4"/>
  <c r="DZ222" i="4"/>
  <c r="DR222" i="4"/>
  <c r="DJ222" i="4"/>
  <c r="DB222" i="4"/>
  <c r="CT222" i="4"/>
  <c r="CL222" i="4"/>
  <c r="CD222" i="4"/>
  <c r="BV222" i="4"/>
  <c r="BN222" i="4"/>
  <c r="BF222" i="4"/>
  <c r="AX222" i="4"/>
  <c r="EG222" i="4"/>
  <c r="DY222" i="4"/>
  <c r="DQ222" i="4"/>
  <c r="DI222" i="4"/>
  <c r="DA222" i="4"/>
  <c r="CS222" i="4"/>
  <c r="CK222" i="4"/>
  <c r="CC222" i="4"/>
  <c r="BU222" i="4"/>
  <c r="BM222" i="4"/>
  <c r="BE222" i="4"/>
  <c r="AW222" i="4"/>
  <c r="EE222" i="4"/>
  <c r="DW222" i="4"/>
  <c r="DO222" i="4"/>
  <c r="DG222" i="4"/>
  <c r="CY222" i="4"/>
  <c r="CQ222" i="4"/>
  <c r="CI222" i="4"/>
  <c r="CA222" i="4"/>
  <c r="BS222" i="4"/>
  <c r="BK222" i="4"/>
  <c r="BC222" i="4"/>
  <c r="AU222" i="4"/>
  <c r="EF222" i="4"/>
  <c r="DM222" i="4"/>
  <c r="CU222" i="4"/>
  <c r="CE222" i="4"/>
  <c r="BO222" i="4"/>
  <c r="AY222" i="4"/>
  <c r="ED222" i="4"/>
  <c r="DH222" i="4"/>
  <c r="CR222" i="4"/>
  <c r="CB222" i="4"/>
  <c r="BL222" i="4"/>
  <c r="AV222" i="4"/>
  <c r="EC222" i="4"/>
  <c r="DF222" i="4"/>
  <c r="CP222" i="4"/>
  <c r="BZ222" i="4"/>
  <c r="BJ222" i="4"/>
  <c r="AT222" i="4"/>
  <c r="DX222" i="4"/>
  <c r="DE222" i="4"/>
  <c r="CO222" i="4"/>
  <c r="BY222" i="4"/>
  <c r="BI222" i="4"/>
  <c r="AS222" i="4"/>
  <c r="DU222" i="4"/>
  <c r="CZ222" i="4"/>
  <c r="CJ222" i="4"/>
  <c r="BT222" i="4"/>
  <c r="BD222" i="4"/>
  <c r="DP222" i="4"/>
  <c r="CX222" i="4"/>
  <c r="CH222" i="4"/>
  <c r="BR222" i="4"/>
  <c r="BB222" i="4"/>
  <c r="CM222" i="4"/>
  <c r="CG222" i="4"/>
  <c r="BW222" i="4"/>
  <c r="BQ222" i="4"/>
  <c r="DV222" i="4"/>
  <c r="BG222" i="4"/>
  <c r="DN222" i="4"/>
  <c r="BA222" i="4"/>
  <c r="CW222" i="4"/>
  <c r="DC222" i="4"/>
  <c r="M66" i="4"/>
  <c r="L66" i="4"/>
  <c r="K66" i="4"/>
  <c r="R66" i="4"/>
  <c r="J66" i="4"/>
  <c r="Q66" i="4"/>
  <c r="I66" i="4"/>
  <c r="P66" i="4"/>
  <c r="H66" i="4"/>
  <c r="O66" i="4"/>
  <c r="G66" i="4"/>
  <c r="N66" i="4"/>
  <c r="E10" i="1"/>
  <c r="ED190" i="4"/>
  <c r="DV190" i="4"/>
  <c r="DN190" i="4"/>
  <c r="DF190" i="4"/>
  <c r="CX190" i="4"/>
  <c r="CP190" i="4"/>
  <c r="CH190" i="4"/>
  <c r="BZ190" i="4"/>
  <c r="BR190" i="4"/>
  <c r="BJ190" i="4"/>
  <c r="BB190" i="4"/>
  <c r="AT190" i="4"/>
  <c r="AL190" i="4"/>
  <c r="AD190" i="4"/>
  <c r="V190" i="4"/>
  <c r="N190" i="4"/>
  <c r="EC190" i="4"/>
  <c r="DU190" i="4"/>
  <c r="DM190" i="4"/>
  <c r="DE190" i="4"/>
  <c r="CW190" i="4"/>
  <c r="CO190" i="4"/>
  <c r="CG190" i="4"/>
  <c r="BY190" i="4"/>
  <c r="BQ190" i="4"/>
  <c r="BI190" i="4"/>
  <c r="BA190" i="4"/>
  <c r="AS190" i="4"/>
  <c r="AK190" i="4"/>
  <c r="AC190" i="4"/>
  <c r="U190" i="4"/>
  <c r="M190" i="4"/>
  <c r="EF190" i="4"/>
  <c r="DX190" i="4"/>
  <c r="DP190" i="4"/>
  <c r="DH190" i="4"/>
  <c r="CZ190" i="4"/>
  <c r="CR190" i="4"/>
  <c r="CJ190" i="4"/>
  <c r="CB190" i="4"/>
  <c r="BT190" i="4"/>
  <c r="BL190" i="4"/>
  <c r="BD190" i="4"/>
  <c r="AV190" i="4"/>
  <c r="AN190" i="4"/>
  <c r="AF190" i="4"/>
  <c r="X190" i="4"/>
  <c r="P190" i="4"/>
  <c r="EB190" i="4"/>
  <c r="DQ190" i="4"/>
  <c r="DC190" i="4"/>
  <c r="CQ190" i="4"/>
  <c r="CD190" i="4"/>
  <c r="BP190" i="4"/>
  <c r="BE190" i="4"/>
  <c r="AQ190" i="4"/>
  <c r="AE190" i="4"/>
  <c r="R190" i="4"/>
  <c r="EA190" i="4"/>
  <c r="DO190" i="4"/>
  <c r="DB190" i="4"/>
  <c r="CN190" i="4"/>
  <c r="CC190" i="4"/>
  <c r="BO190" i="4"/>
  <c r="BC190" i="4"/>
  <c r="AP190" i="4"/>
  <c r="AB190" i="4"/>
  <c r="Q190" i="4"/>
  <c r="DZ190" i="4"/>
  <c r="DL190" i="4"/>
  <c r="DA190" i="4"/>
  <c r="CM190" i="4"/>
  <c r="CA190" i="4"/>
  <c r="BN190" i="4"/>
  <c r="AZ190" i="4"/>
  <c r="AO190" i="4"/>
  <c r="AA190" i="4"/>
  <c r="O190" i="4"/>
  <c r="DY190" i="4"/>
  <c r="DK190" i="4"/>
  <c r="CY190" i="4"/>
  <c r="CL190" i="4"/>
  <c r="BX190" i="4"/>
  <c r="BM190" i="4"/>
  <c r="AY190" i="4"/>
  <c r="AM190" i="4"/>
  <c r="Z190" i="4"/>
  <c r="EI190" i="4"/>
  <c r="DW190" i="4"/>
  <c r="DJ190" i="4"/>
  <c r="CV190" i="4"/>
  <c r="CK190" i="4"/>
  <c r="BW190" i="4"/>
  <c r="BK190" i="4"/>
  <c r="AX190" i="4"/>
  <c r="AJ190" i="4"/>
  <c r="Y190" i="4"/>
  <c r="EH190" i="4"/>
  <c r="DT190" i="4"/>
  <c r="DI190" i="4"/>
  <c r="CU190" i="4"/>
  <c r="CI190" i="4"/>
  <c r="BV190" i="4"/>
  <c r="BH190" i="4"/>
  <c r="AW190" i="4"/>
  <c r="AI190" i="4"/>
  <c r="W190" i="4"/>
  <c r="EG190" i="4"/>
  <c r="DS190" i="4"/>
  <c r="DG190" i="4"/>
  <c r="CT190" i="4"/>
  <c r="CF190" i="4"/>
  <c r="BU190" i="4"/>
  <c r="BG190" i="4"/>
  <c r="AU190" i="4"/>
  <c r="AH190" i="4"/>
  <c r="T190" i="4"/>
  <c r="BF190" i="4"/>
  <c r="P28" i="4"/>
  <c r="AR190" i="4"/>
  <c r="O28" i="4"/>
  <c r="EE190" i="4"/>
  <c r="AG190" i="4"/>
  <c r="N28" i="4"/>
  <c r="DR190" i="4"/>
  <c r="S190" i="4"/>
  <c r="M28" i="4"/>
  <c r="DD190" i="4"/>
  <c r="CS190" i="4"/>
  <c r="S28" i="4"/>
  <c r="CE190" i="4"/>
  <c r="R28" i="4"/>
  <c r="BS190" i="4"/>
  <c r="Q28" i="4"/>
  <c r="EI211" i="4"/>
  <c r="EA211" i="4"/>
  <c r="DS211" i="4"/>
  <c r="DK211" i="4"/>
  <c r="DC211" i="4"/>
  <c r="CU211" i="4"/>
  <c r="CM211" i="4"/>
  <c r="CE211" i="4"/>
  <c r="BW211" i="4"/>
  <c r="BO211" i="4"/>
  <c r="BG211" i="4"/>
  <c r="AY211" i="4"/>
  <c r="AQ211" i="4"/>
  <c r="AI211" i="4"/>
  <c r="EE211" i="4"/>
  <c r="DV211" i="4"/>
  <c r="DM211" i="4"/>
  <c r="DD211" i="4"/>
  <c r="CT211" i="4"/>
  <c r="CK211" i="4"/>
  <c r="CB211" i="4"/>
  <c r="BS211" i="4"/>
  <c r="BJ211" i="4"/>
  <c r="BA211" i="4"/>
  <c r="AR211" i="4"/>
  <c r="AH211" i="4"/>
  <c r="ED211" i="4"/>
  <c r="DU211" i="4"/>
  <c r="DL211" i="4"/>
  <c r="DB211" i="4"/>
  <c r="CS211" i="4"/>
  <c r="CJ211" i="4"/>
  <c r="CA211" i="4"/>
  <c r="BR211" i="4"/>
  <c r="BI211" i="4"/>
  <c r="AZ211" i="4"/>
  <c r="AP211" i="4"/>
  <c r="EC211" i="4"/>
  <c r="DT211" i="4"/>
  <c r="DJ211" i="4"/>
  <c r="DA211" i="4"/>
  <c r="CR211" i="4"/>
  <c r="CI211" i="4"/>
  <c r="BZ211" i="4"/>
  <c r="BQ211" i="4"/>
  <c r="BH211" i="4"/>
  <c r="AX211" i="4"/>
  <c r="AO211" i="4"/>
  <c r="DZ211" i="4"/>
  <c r="DQ211" i="4"/>
  <c r="DH211" i="4"/>
  <c r="CY211" i="4"/>
  <c r="CP211" i="4"/>
  <c r="CG211" i="4"/>
  <c r="BX211" i="4"/>
  <c r="EF211" i="4"/>
  <c r="DW211" i="4"/>
  <c r="DN211" i="4"/>
  <c r="DE211" i="4"/>
  <c r="CV211" i="4"/>
  <c r="CL211" i="4"/>
  <c r="CC211" i="4"/>
  <c r="BT211" i="4"/>
  <c r="BK211" i="4"/>
  <c r="BB211" i="4"/>
  <c r="AS211" i="4"/>
  <c r="AJ211" i="4"/>
  <c r="DO211" i="4"/>
  <c r="CO211" i="4"/>
  <c r="BP211" i="4"/>
  <c r="AW211" i="4"/>
  <c r="EH211" i="4"/>
  <c r="DI211" i="4"/>
  <c r="CN211" i="4"/>
  <c r="BN211" i="4"/>
  <c r="AV211" i="4"/>
  <c r="EG211" i="4"/>
  <c r="DG211" i="4"/>
  <c r="CH211" i="4"/>
  <c r="BM211" i="4"/>
  <c r="AU211" i="4"/>
  <c r="EB211" i="4"/>
  <c r="DF211" i="4"/>
  <c r="CF211" i="4"/>
  <c r="BL211" i="4"/>
  <c r="AT211" i="4"/>
  <c r="DY211" i="4"/>
  <c r="CZ211" i="4"/>
  <c r="CD211" i="4"/>
  <c r="BF211" i="4"/>
  <c r="AN211" i="4"/>
  <c r="DX211" i="4"/>
  <c r="CX211" i="4"/>
  <c r="BY211" i="4"/>
  <c r="BE211" i="4"/>
  <c r="AM211" i="4"/>
  <c r="DR211" i="4"/>
  <c r="CW211" i="4"/>
  <c r="BV211" i="4"/>
  <c r="BD211" i="4"/>
  <c r="AL211" i="4"/>
  <c r="BU211" i="4"/>
  <c r="BC211" i="4"/>
  <c r="AK211" i="4"/>
  <c r="DP211" i="4"/>
  <c r="CQ211" i="4"/>
  <c r="R52" i="4"/>
  <c r="Q52" i="4"/>
  <c r="P52" i="4"/>
  <c r="U52" i="4"/>
  <c r="T52" i="4"/>
  <c r="S52" i="4"/>
  <c r="E49" i="1"/>
  <c r="E152" i="3"/>
  <c r="H8" i="2"/>
  <c r="EF180" i="4"/>
  <c r="DX180" i="4"/>
  <c r="DP180" i="4"/>
  <c r="DH180" i="4"/>
  <c r="CZ180" i="4"/>
  <c r="CR180" i="4"/>
  <c r="CJ180" i="4"/>
  <c r="CB180" i="4"/>
  <c r="BT180" i="4"/>
  <c r="BL180" i="4"/>
  <c r="BD180" i="4"/>
  <c r="AV180" i="4"/>
  <c r="AN180" i="4"/>
  <c r="AF180" i="4"/>
  <c r="X180" i="4"/>
  <c r="P180" i="4"/>
  <c r="H180" i="4"/>
  <c r="EE180" i="4"/>
  <c r="DW180" i="4"/>
  <c r="DO180" i="4"/>
  <c r="DG180" i="4"/>
  <c r="CY180" i="4"/>
  <c r="CQ180" i="4"/>
  <c r="CI180" i="4"/>
  <c r="CA180" i="4"/>
  <c r="BS180" i="4"/>
  <c r="BK180" i="4"/>
  <c r="BC180" i="4"/>
  <c r="AU180" i="4"/>
  <c r="AM180" i="4"/>
  <c r="AE180" i="4"/>
  <c r="W180" i="4"/>
  <c r="O180" i="4"/>
  <c r="G180" i="4"/>
  <c r="ED180" i="4"/>
  <c r="DV180" i="4"/>
  <c r="DN180" i="4"/>
  <c r="DF180" i="4"/>
  <c r="CX180" i="4"/>
  <c r="CP180" i="4"/>
  <c r="CH180" i="4"/>
  <c r="BZ180" i="4"/>
  <c r="BR180" i="4"/>
  <c r="BJ180" i="4"/>
  <c r="BB180" i="4"/>
  <c r="AT180" i="4"/>
  <c r="AL180" i="4"/>
  <c r="AD180" i="4"/>
  <c r="V180" i="4"/>
  <c r="N180" i="4"/>
  <c r="F180" i="4"/>
  <c r="EI180" i="4"/>
  <c r="EA180" i="4"/>
  <c r="DS180" i="4"/>
  <c r="DK180" i="4"/>
  <c r="DC180" i="4"/>
  <c r="CU180" i="4"/>
  <c r="CM180" i="4"/>
  <c r="CE180" i="4"/>
  <c r="BW180" i="4"/>
  <c r="BO180" i="4"/>
  <c r="BG180" i="4"/>
  <c r="AY180" i="4"/>
  <c r="AQ180" i="4"/>
  <c r="AI180" i="4"/>
  <c r="AA180" i="4"/>
  <c r="S180" i="4"/>
  <c r="K180" i="4"/>
  <c r="C180" i="4"/>
  <c r="EH180" i="4"/>
  <c r="DZ180" i="4"/>
  <c r="DR180" i="4"/>
  <c r="DJ180" i="4"/>
  <c r="DB180" i="4"/>
  <c r="CT180" i="4"/>
  <c r="CL180" i="4"/>
  <c r="CD180" i="4"/>
  <c r="BV180" i="4"/>
  <c r="BN180" i="4"/>
  <c r="BF180" i="4"/>
  <c r="AX180" i="4"/>
  <c r="AP180" i="4"/>
  <c r="AH180" i="4"/>
  <c r="Z180" i="4"/>
  <c r="R180" i="4"/>
  <c r="J180" i="4"/>
  <c r="DT180" i="4"/>
  <c r="CW180" i="4"/>
  <c r="CC180" i="4"/>
  <c r="BH180" i="4"/>
  <c r="AK180" i="4"/>
  <c r="Q180" i="4"/>
  <c r="L18" i="4"/>
  <c r="D18" i="4"/>
  <c r="DQ180" i="4"/>
  <c r="CV180" i="4"/>
  <c r="BY180" i="4"/>
  <c r="BE180" i="4"/>
  <c r="AJ180" i="4"/>
  <c r="M180" i="4"/>
  <c r="S18" i="4"/>
  <c r="K18" i="4"/>
  <c r="C18" i="4"/>
  <c r="DM180" i="4"/>
  <c r="CS180" i="4"/>
  <c r="BX180" i="4"/>
  <c r="BA180" i="4"/>
  <c r="AG180" i="4"/>
  <c r="L180" i="4"/>
  <c r="R18" i="4"/>
  <c r="J18" i="4"/>
  <c r="EG180" i="4"/>
  <c r="DL180" i="4"/>
  <c r="CO180" i="4"/>
  <c r="BU180" i="4"/>
  <c r="AZ180" i="4"/>
  <c r="AC180" i="4"/>
  <c r="I180" i="4"/>
  <c r="Q18" i="4"/>
  <c r="I18" i="4"/>
  <c r="EC180" i="4"/>
  <c r="DI180" i="4"/>
  <c r="CN180" i="4"/>
  <c r="BQ180" i="4"/>
  <c r="AW180" i="4"/>
  <c r="AB180" i="4"/>
  <c r="E180" i="4"/>
  <c r="P18" i="4"/>
  <c r="H18" i="4"/>
  <c r="EB180" i="4"/>
  <c r="DE180" i="4"/>
  <c r="CK180" i="4"/>
  <c r="BP180" i="4"/>
  <c r="AS180" i="4"/>
  <c r="Y180" i="4"/>
  <c r="D180" i="4"/>
  <c r="O18" i="4"/>
  <c r="G18" i="4"/>
  <c r="DY180" i="4"/>
  <c r="DD180" i="4"/>
  <c r="CG180" i="4"/>
  <c r="BM180" i="4"/>
  <c r="AR180" i="4"/>
  <c r="U180" i="4"/>
  <c r="N18" i="4"/>
  <c r="F18" i="4"/>
  <c r="DU180" i="4"/>
  <c r="DA180" i="4"/>
  <c r="CF180" i="4"/>
  <c r="BI180" i="4"/>
  <c r="AO180" i="4"/>
  <c r="T180" i="4"/>
  <c r="M18" i="4"/>
  <c r="E18" i="4"/>
  <c r="EG188" i="4"/>
  <c r="DY188" i="4"/>
  <c r="DQ188" i="4"/>
  <c r="DI188" i="4"/>
  <c r="DA188" i="4"/>
  <c r="CS188" i="4"/>
  <c r="CK188" i="4"/>
  <c r="CC188" i="4"/>
  <c r="BU188" i="4"/>
  <c r="BM188" i="4"/>
  <c r="BE188" i="4"/>
  <c r="AW188" i="4"/>
  <c r="AO188" i="4"/>
  <c r="AG188" i="4"/>
  <c r="Y188" i="4"/>
  <c r="Q188" i="4"/>
  <c r="EB188" i="4"/>
  <c r="DT188" i="4"/>
  <c r="DL188" i="4"/>
  <c r="DD188" i="4"/>
  <c r="CV188" i="4"/>
  <c r="CN188" i="4"/>
  <c r="CF188" i="4"/>
  <c r="BX188" i="4"/>
  <c r="BP188" i="4"/>
  <c r="BH188" i="4"/>
  <c r="AZ188" i="4"/>
  <c r="AR188" i="4"/>
  <c r="AJ188" i="4"/>
  <c r="AB188" i="4"/>
  <c r="T188" i="4"/>
  <c r="L188" i="4"/>
  <c r="EF188" i="4"/>
  <c r="DV188" i="4"/>
  <c r="DK188" i="4"/>
  <c r="CZ188" i="4"/>
  <c r="CP188" i="4"/>
  <c r="CE188" i="4"/>
  <c r="BT188" i="4"/>
  <c r="BJ188" i="4"/>
  <c r="AY188" i="4"/>
  <c r="AN188" i="4"/>
  <c r="AD188" i="4"/>
  <c r="S188" i="4"/>
  <c r="EE188" i="4"/>
  <c r="DU188" i="4"/>
  <c r="DJ188" i="4"/>
  <c r="CY188" i="4"/>
  <c r="CO188" i="4"/>
  <c r="CD188" i="4"/>
  <c r="BS188" i="4"/>
  <c r="BI188" i="4"/>
  <c r="AX188" i="4"/>
  <c r="AM188" i="4"/>
  <c r="AC188" i="4"/>
  <c r="R188" i="4"/>
  <c r="ED188" i="4"/>
  <c r="DS188" i="4"/>
  <c r="DH188" i="4"/>
  <c r="CX188" i="4"/>
  <c r="CM188" i="4"/>
  <c r="CB188" i="4"/>
  <c r="BR188" i="4"/>
  <c r="BG188" i="4"/>
  <c r="AV188" i="4"/>
  <c r="AL188" i="4"/>
  <c r="AA188" i="4"/>
  <c r="P188" i="4"/>
  <c r="EC188" i="4"/>
  <c r="DR188" i="4"/>
  <c r="DG188" i="4"/>
  <c r="CW188" i="4"/>
  <c r="CL188" i="4"/>
  <c r="CA188" i="4"/>
  <c r="BQ188" i="4"/>
  <c r="BF188" i="4"/>
  <c r="AU188" i="4"/>
  <c r="AK188" i="4"/>
  <c r="Z188" i="4"/>
  <c r="O188" i="4"/>
  <c r="EA188" i="4"/>
  <c r="DP188" i="4"/>
  <c r="DF188" i="4"/>
  <c r="CU188" i="4"/>
  <c r="CJ188" i="4"/>
  <c r="BZ188" i="4"/>
  <c r="BO188" i="4"/>
  <c r="BD188" i="4"/>
  <c r="AT188" i="4"/>
  <c r="AI188" i="4"/>
  <c r="X188" i="4"/>
  <c r="N188" i="4"/>
  <c r="DZ188" i="4"/>
  <c r="DO188" i="4"/>
  <c r="DE188" i="4"/>
  <c r="CT188" i="4"/>
  <c r="CI188" i="4"/>
  <c r="BY188" i="4"/>
  <c r="BN188" i="4"/>
  <c r="BC188" i="4"/>
  <c r="AS188" i="4"/>
  <c r="AH188" i="4"/>
  <c r="W188" i="4"/>
  <c r="M188" i="4"/>
  <c r="EI188" i="4"/>
  <c r="DX188" i="4"/>
  <c r="DN188" i="4"/>
  <c r="DC188" i="4"/>
  <c r="CR188" i="4"/>
  <c r="CH188" i="4"/>
  <c r="BW188" i="4"/>
  <c r="BL188" i="4"/>
  <c r="BB188" i="4"/>
  <c r="AQ188" i="4"/>
  <c r="AF188" i="4"/>
  <c r="V188" i="4"/>
  <c r="K188" i="4"/>
  <c r="CQ188" i="4"/>
  <c r="L26" i="4"/>
  <c r="CG188" i="4"/>
  <c r="S26" i="4"/>
  <c r="K26" i="4"/>
  <c r="BV188" i="4"/>
  <c r="R26" i="4"/>
  <c r="BK188" i="4"/>
  <c r="Q26" i="4"/>
  <c r="EH188" i="4"/>
  <c r="BA188" i="4"/>
  <c r="P26" i="4"/>
  <c r="DW188" i="4"/>
  <c r="AP188" i="4"/>
  <c r="O26" i="4"/>
  <c r="DM188" i="4"/>
  <c r="AE188" i="4"/>
  <c r="N26" i="4"/>
  <c r="DB188" i="4"/>
  <c r="U188" i="4"/>
  <c r="M26" i="4"/>
  <c r="E36" i="1"/>
  <c r="E41" i="1"/>
  <c r="EF224" i="4"/>
  <c r="DX224" i="4"/>
  <c r="DP224" i="4"/>
  <c r="DH224" i="4"/>
  <c r="CZ224" i="4"/>
  <c r="CR224" i="4"/>
  <c r="CJ224" i="4"/>
  <c r="CB224" i="4"/>
  <c r="BT224" i="4"/>
  <c r="BL224" i="4"/>
  <c r="BD224" i="4"/>
  <c r="AV224" i="4"/>
  <c r="EE224" i="4"/>
  <c r="DW224" i="4"/>
  <c r="DO224" i="4"/>
  <c r="DG224" i="4"/>
  <c r="CY224" i="4"/>
  <c r="CQ224" i="4"/>
  <c r="CI224" i="4"/>
  <c r="CA224" i="4"/>
  <c r="BS224" i="4"/>
  <c r="BK224" i="4"/>
  <c r="BC224" i="4"/>
  <c r="AU224" i="4"/>
  <c r="ED224" i="4"/>
  <c r="DV224" i="4"/>
  <c r="DN224" i="4"/>
  <c r="DF224" i="4"/>
  <c r="CX224" i="4"/>
  <c r="CP224" i="4"/>
  <c r="CH224" i="4"/>
  <c r="BZ224" i="4"/>
  <c r="BR224" i="4"/>
  <c r="BJ224" i="4"/>
  <c r="BB224" i="4"/>
  <c r="EC224" i="4"/>
  <c r="DU224" i="4"/>
  <c r="DM224" i="4"/>
  <c r="DE224" i="4"/>
  <c r="CW224" i="4"/>
  <c r="CO224" i="4"/>
  <c r="CG224" i="4"/>
  <c r="BY224" i="4"/>
  <c r="BQ224" i="4"/>
  <c r="BI224" i="4"/>
  <c r="BA224" i="4"/>
  <c r="EI224" i="4"/>
  <c r="EA224" i="4"/>
  <c r="DS224" i="4"/>
  <c r="DK224" i="4"/>
  <c r="DC224" i="4"/>
  <c r="CU224" i="4"/>
  <c r="CM224" i="4"/>
  <c r="CE224" i="4"/>
  <c r="BW224" i="4"/>
  <c r="BO224" i="4"/>
  <c r="BG224" i="4"/>
  <c r="AY224" i="4"/>
  <c r="EH224" i="4"/>
  <c r="DZ224" i="4"/>
  <c r="DQ224" i="4"/>
  <c r="CT224" i="4"/>
  <c r="BX224" i="4"/>
  <c r="BE224" i="4"/>
  <c r="DL224" i="4"/>
  <c r="CS224" i="4"/>
  <c r="BV224" i="4"/>
  <c r="AZ224" i="4"/>
  <c r="DJ224" i="4"/>
  <c r="CN224" i="4"/>
  <c r="BU224" i="4"/>
  <c r="AX224" i="4"/>
  <c r="EG224" i="4"/>
  <c r="DI224" i="4"/>
  <c r="CL224" i="4"/>
  <c r="BP224" i="4"/>
  <c r="AW224" i="4"/>
  <c r="DY224" i="4"/>
  <c r="DB224" i="4"/>
  <c r="CF224" i="4"/>
  <c r="BM224" i="4"/>
  <c r="DT224" i="4"/>
  <c r="DA224" i="4"/>
  <c r="CD224" i="4"/>
  <c r="BH224" i="4"/>
  <c r="CC224" i="4"/>
  <c r="BN224" i="4"/>
  <c r="BF224" i="4"/>
  <c r="EB224" i="4"/>
  <c r="DR224" i="4"/>
  <c r="DD224" i="4"/>
  <c r="CK224" i="4"/>
  <c r="CV224" i="4"/>
  <c r="K68" i="4"/>
  <c r="R68" i="4"/>
  <c r="J68" i="4"/>
  <c r="Q68" i="4"/>
  <c r="I68" i="4"/>
  <c r="P68" i="4"/>
  <c r="O68" i="4"/>
  <c r="N68" i="4"/>
  <c r="M68" i="4"/>
  <c r="L68" i="4"/>
  <c r="EB226" i="4"/>
  <c r="DT226" i="4"/>
  <c r="DL226" i="4"/>
  <c r="DD226" i="4"/>
  <c r="CV226" i="4"/>
  <c r="CN226" i="4"/>
  <c r="CF226" i="4"/>
  <c r="BX226" i="4"/>
  <c r="BP226" i="4"/>
  <c r="BH226" i="4"/>
  <c r="AZ226" i="4"/>
  <c r="EI226" i="4"/>
  <c r="EA226" i="4"/>
  <c r="DS226" i="4"/>
  <c r="DK226" i="4"/>
  <c r="DC226" i="4"/>
  <c r="CU226" i="4"/>
  <c r="CM226" i="4"/>
  <c r="CE226" i="4"/>
  <c r="BW226" i="4"/>
  <c r="BO226" i="4"/>
  <c r="BG226" i="4"/>
  <c r="AY226" i="4"/>
  <c r="EH226" i="4"/>
  <c r="DZ226" i="4"/>
  <c r="DR226" i="4"/>
  <c r="DJ226" i="4"/>
  <c r="DB226" i="4"/>
  <c r="CT226" i="4"/>
  <c r="CL226" i="4"/>
  <c r="CD226" i="4"/>
  <c r="BV226" i="4"/>
  <c r="BN226" i="4"/>
  <c r="BF226" i="4"/>
  <c r="AX226" i="4"/>
  <c r="EG226" i="4"/>
  <c r="DY226" i="4"/>
  <c r="DQ226" i="4"/>
  <c r="DI226" i="4"/>
  <c r="DA226" i="4"/>
  <c r="CS226" i="4"/>
  <c r="CK226" i="4"/>
  <c r="CC226" i="4"/>
  <c r="BU226" i="4"/>
  <c r="BM226" i="4"/>
  <c r="BE226" i="4"/>
  <c r="AW226" i="4"/>
  <c r="EE226" i="4"/>
  <c r="DW226" i="4"/>
  <c r="DO226" i="4"/>
  <c r="DG226" i="4"/>
  <c r="CY226" i="4"/>
  <c r="CQ226" i="4"/>
  <c r="CI226" i="4"/>
  <c r="CA226" i="4"/>
  <c r="BS226" i="4"/>
  <c r="BK226" i="4"/>
  <c r="BC226" i="4"/>
  <c r="ED226" i="4"/>
  <c r="DV226" i="4"/>
  <c r="DN226" i="4"/>
  <c r="DF226" i="4"/>
  <c r="CX226" i="4"/>
  <c r="CP226" i="4"/>
  <c r="CH226" i="4"/>
  <c r="BZ226" i="4"/>
  <c r="BR226" i="4"/>
  <c r="BJ226" i="4"/>
  <c r="BB226" i="4"/>
  <c r="DE226" i="4"/>
  <c r="BY226" i="4"/>
  <c r="EF226" i="4"/>
  <c r="CZ226" i="4"/>
  <c r="BT226" i="4"/>
  <c r="EC226" i="4"/>
  <c r="CW226" i="4"/>
  <c r="BQ226" i="4"/>
  <c r="DX226" i="4"/>
  <c r="CR226" i="4"/>
  <c r="BL226" i="4"/>
  <c r="DP226" i="4"/>
  <c r="CJ226" i="4"/>
  <c r="BD226" i="4"/>
  <c r="DM226" i="4"/>
  <c r="CG226" i="4"/>
  <c r="BA226" i="4"/>
  <c r="DU226" i="4"/>
  <c r="DH226" i="4"/>
  <c r="CO226" i="4"/>
  <c r="BI226" i="4"/>
  <c r="CB226" i="4"/>
  <c r="Q70" i="4"/>
  <c r="P70" i="4"/>
  <c r="O70" i="4"/>
  <c r="N70" i="4"/>
  <c r="M70" i="4"/>
  <c r="L70" i="4"/>
  <c r="K70" i="4"/>
  <c r="R70" i="4"/>
  <c r="I8" i="2"/>
  <c r="C38" i="2"/>
  <c r="E39" i="2"/>
  <c r="G40" i="2"/>
  <c r="E7" i="1"/>
  <c r="ED185" i="4"/>
  <c r="DV185" i="4"/>
  <c r="DN185" i="4"/>
  <c r="DF185" i="4"/>
  <c r="CX185" i="4"/>
  <c r="CP185" i="4"/>
  <c r="CH185" i="4"/>
  <c r="BZ185" i="4"/>
  <c r="BR185" i="4"/>
  <c r="BJ185" i="4"/>
  <c r="BB185" i="4"/>
  <c r="AT185" i="4"/>
  <c r="AL185" i="4"/>
  <c r="AD185" i="4"/>
  <c r="V185" i="4"/>
  <c r="N185" i="4"/>
  <c r="EC185" i="4"/>
  <c r="DU185" i="4"/>
  <c r="DM185" i="4"/>
  <c r="DE185" i="4"/>
  <c r="CW185" i="4"/>
  <c r="CO185" i="4"/>
  <c r="CG185" i="4"/>
  <c r="BY185" i="4"/>
  <c r="BQ185" i="4"/>
  <c r="BI185" i="4"/>
  <c r="BA185" i="4"/>
  <c r="AS185" i="4"/>
  <c r="AK185" i="4"/>
  <c r="AC185" i="4"/>
  <c r="U185" i="4"/>
  <c r="M185" i="4"/>
  <c r="EB185" i="4"/>
  <c r="DT185" i="4"/>
  <c r="DL185" i="4"/>
  <c r="DD185" i="4"/>
  <c r="CV185" i="4"/>
  <c r="CN185" i="4"/>
  <c r="CF185" i="4"/>
  <c r="BX185" i="4"/>
  <c r="BP185" i="4"/>
  <c r="BH185" i="4"/>
  <c r="AZ185" i="4"/>
  <c r="AR185" i="4"/>
  <c r="AJ185" i="4"/>
  <c r="AB185" i="4"/>
  <c r="T185" i="4"/>
  <c r="L185" i="4"/>
  <c r="EI185" i="4"/>
  <c r="EA185" i="4"/>
  <c r="DS185" i="4"/>
  <c r="DK185" i="4"/>
  <c r="DC185" i="4"/>
  <c r="CU185" i="4"/>
  <c r="CM185" i="4"/>
  <c r="CE185" i="4"/>
  <c r="BW185" i="4"/>
  <c r="BO185" i="4"/>
  <c r="BG185" i="4"/>
  <c r="AY185" i="4"/>
  <c r="AQ185" i="4"/>
  <c r="AI185" i="4"/>
  <c r="AA185" i="4"/>
  <c r="S185" i="4"/>
  <c r="K185" i="4"/>
  <c r="EH185" i="4"/>
  <c r="DZ185" i="4"/>
  <c r="DR185" i="4"/>
  <c r="DJ185" i="4"/>
  <c r="DB185" i="4"/>
  <c r="CT185" i="4"/>
  <c r="CL185" i="4"/>
  <c r="CD185" i="4"/>
  <c r="BV185" i="4"/>
  <c r="BN185" i="4"/>
  <c r="BF185" i="4"/>
  <c r="AX185" i="4"/>
  <c r="AP185" i="4"/>
  <c r="AH185" i="4"/>
  <c r="Z185" i="4"/>
  <c r="R185" i="4"/>
  <c r="J185" i="4"/>
  <c r="EG185" i="4"/>
  <c r="DY185" i="4"/>
  <c r="DQ185" i="4"/>
  <c r="DI185" i="4"/>
  <c r="DA185" i="4"/>
  <c r="CS185" i="4"/>
  <c r="CK185" i="4"/>
  <c r="CC185" i="4"/>
  <c r="BU185" i="4"/>
  <c r="BM185" i="4"/>
  <c r="BE185" i="4"/>
  <c r="AW185" i="4"/>
  <c r="AO185" i="4"/>
  <c r="AG185" i="4"/>
  <c r="Y185" i="4"/>
  <c r="Q185" i="4"/>
  <c r="I185" i="4"/>
  <c r="EF185" i="4"/>
  <c r="DX185" i="4"/>
  <c r="DP185" i="4"/>
  <c r="DH185" i="4"/>
  <c r="CZ185" i="4"/>
  <c r="CR185" i="4"/>
  <c r="CJ185" i="4"/>
  <c r="CB185" i="4"/>
  <c r="BT185" i="4"/>
  <c r="BL185" i="4"/>
  <c r="BD185" i="4"/>
  <c r="AV185" i="4"/>
  <c r="AN185" i="4"/>
  <c r="AF185" i="4"/>
  <c r="X185" i="4"/>
  <c r="P185" i="4"/>
  <c r="H185" i="4"/>
  <c r="EE185" i="4"/>
  <c r="BS185" i="4"/>
  <c r="R23" i="4"/>
  <c r="J23" i="4"/>
  <c r="DW185" i="4"/>
  <c r="BK185" i="4"/>
  <c r="Q23" i="4"/>
  <c r="I23" i="4"/>
  <c r="DO185" i="4"/>
  <c r="BC185" i="4"/>
  <c r="P23" i="4"/>
  <c r="H23" i="4"/>
  <c r="DG185" i="4"/>
  <c r="AU185" i="4"/>
  <c r="O23" i="4"/>
  <c r="CY185" i="4"/>
  <c r="AM185" i="4"/>
  <c r="N23" i="4"/>
  <c r="CQ185" i="4"/>
  <c r="AE185" i="4"/>
  <c r="M23" i="4"/>
  <c r="CI185" i="4"/>
  <c r="W185" i="4"/>
  <c r="L23" i="4"/>
  <c r="CA185" i="4"/>
  <c r="O185" i="4"/>
  <c r="S23" i="4"/>
  <c r="K23" i="4"/>
  <c r="E15" i="1"/>
  <c r="E17" i="1"/>
  <c r="EH192" i="4"/>
  <c r="DZ192" i="4"/>
  <c r="DR192" i="4"/>
  <c r="DJ192" i="4"/>
  <c r="DB192" i="4"/>
  <c r="CT192" i="4"/>
  <c r="CL192" i="4"/>
  <c r="CD192" i="4"/>
  <c r="BV192" i="4"/>
  <c r="BN192" i="4"/>
  <c r="BF192" i="4"/>
  <c r="AX192" i="4"/>
  <c r="AP192" i="4"/>
  <c r="AH192" i="4"/>
  <c r="Z192" i="4"/>
  <c r="R192" i="4"/>
  <c r="EG192" i="4"/>
  <c r="DY192" i="4"/>
  <c r="DQ192" i="4"/>
  <c r="DI192" i="4"/>
  <c r="DA192" i="4"/>
  <c r="CS192" i="4"/>
  <c r="CK192" i="4"/>
  <c r="CC192" i="4"/>
  <c r="BU192" i="4"/>
  <c r="BM192" i="4"/>
  <c r="BE192" i="4"/>
  <c r="AW192" i="4"/>
  <c r="AO192" i="4"/>
  <c r="AG192" i="4"/>
  <c r="Y192" i="4"/>
  <c r="Q192" i="4"/>
  <c r="EF192" i="4"/>
  <c r="DX192" i="4"/>
  <c r="DP192" i="4"/>
  <c r="DH192" i="4"/>
  <c r="CZ192" i="4"/>
  <c r="CR192" i="4"/>
  <c r="EE192" i="4"/>
  <c r="ED192" i="4"/>
  <c r="EC192" i="4"/>
  <c r="DU192" i="4"/>
  <c r="DM192" i="4"/>
  <c r="DE192" i="4"/>
  <c r="CW192" i="4"/>
  <c r="EB192" i="4"/>
  <c r="DT192" i="4"/>
  <c r="DL192" i="4"/>
  <c r="DD192" i="4"/>
  <c r="CV192" i="4"/>
  <c r="CN192" i="4"/>
  <c r="CF192" i="4"/>
  <c r="BX192" i="4"/>
  <c r="BP192" i="4"/>
  <c r="BH192" i="4"/>
  <c r="AZ192" i="4"/>
  <c r="AR192" i="4"/>
  <c r="AJ192" i="4"/>
  <c r="AB192" i="4"/>
  <c r="T192" i="4"/>
  <c r="DO192" i="4"/>
  <c r="CU192" i="4"/>
  <c r="CG192" i="4"/>
  <c r="BS192" i="4"/>
  <c r="BG192" i="4"/>
  <c r="AT192" i="4"/>
  <c r="AF192" i="4"/>
  <c r="U192" i="4"/>
  <c r="DN192" i="4"/>
  <c r="CQ192" i="4"/>
  <c r="CE192" i="4"/>
  <c r="BR192" i="4"/>
  <c r="BD192" i="4"/>
  <c r="AS192" i="4"/>
  <c r="AE192" i="4"/>
  <c r="S192" i="4"/>
  <c r="DK192" i="4"/>
  <c r="CP192" i="4"/>
  <c r="CB192" i="4"/>
  <c r="BQ192" i="4"/>
  <c r="BC192" i="4"/>
  <c r="AQ192" i="4"/>
  <c r="AD192" i="4"/>
  <c r="P192" i="4"/>
  <c r="EI192" i="4"/>
  <c r="DG192" i="4"/>
  <c r="CO192" i="4"/>
  <c r="CA192" i="4"/>
  <c r="BO192" i="4"/>
  <c r="BB192" i="4"/>
  <c r="AN192" i="4"/>
  <c r="AC192" i="4"/>
  <c r="O192" i="4"/>
  <c r="EA192" i="4"/>
  <c r="DF192" i="4"/>
  <c r="CM192" i="4"/>
  <c r="BZ192" i="4"/>
  <c r="BL192" i="4"/>
  <c r="BA192" i="4"/>
  <c r="AM192" i="4"/>
  <c r="AA192" i="4"/>
  <c r="DW192" i="4"/>
  <c r="DC192" i="4"/>
  <c r="CJ192" i="4"/>
  <c r="BY192" i="4"/>
  <c r="BK192" i="4"/>
  <c r="AY192" i="4"/>
  <c r="AL192" i="4"/>
  <c r="X192" i="4"/>
  <c r="DV192" i="4"/>
  <c r="CY192" i="4"/>
  <c r="CI192" i="4"/>
  <c r="BW192" i="4"/>
  <c r="BJ192" i="4"/>
  <c r="AV192" i="4"/>
  <c r="AK192" i="4"/>
  <c r="W192" i="4"/>
  <c r="CX192" i="4"/>
  <c r="CH192" i="4"/>
  <c r="S30" i="4"/>
  <c r="BT192" i="4"/>
  <c r="R30" i="4"/>
  <c r="BI192" i="4"/>
  <c r="Q30" i="4"/>
  <c r="AU192" i="4"/>
  <c r="P30" i="4"/>
  <c r="AI192" i="4"/>
  <c r="O30" i="4"/>
  <c r="V192" i="4"/>
  <c r="DS192" i="4"/>
  <c r="E22" i="1"/>
  <c r="E24" i="1"/>
  <c r="J25" i="1"/>
  <c r="E33" i="1"/>
  <c r="E38" i="1"/>
  <c r="EI216" i="4"/>
  <c r="EA216" i="4"/>
  <c r="DS216" i="4"/>
  <c r="DK216" i="4"/>
  <c r="DC216" i="4"/>
  <c r="CU216" i="4"/>
  <c r="CM216" i="4"/>
  <c r="CE216" i="4"/>
  <c r="BW216" i="4"/>
  <c r="BO216" i="4"/>
  <c r="BG216" i="4"/>
  <c r="AY216" i="4"/>
  <c r="AQ216" i="4"/>
  <c r="EG216" i="4"/>
  <c r="DX216" i="4"/>
  <c r="DO216" i="4"/>
  <c r="DF216" i="4"/>
  <c r="CW216" i="4"/>
  <c r="CN216" i="4"/>
  <c r="CD216" i="4"/>
  <c r="BU216" i="4"/>
  <c r="BL216" i="4"/>
  <c r="BC216" i="4"/>
  <c r="AT216" i="4"/>
  <c r="EF216" i="4"/>
  <c r="DW216" i="4"/>
  <c r="DN216" i="4"/>
  <c r="DE216" i="4"/>
  <c r="CV216" i="4"/>
  <c r="CL216" i="4"/>
  <c r="CC216" i="4"/>
  <c r="BT216" i="4"/>
  <c r="BK216" i="4"/>
  <c r="BB216" i="4"/>
  <c r="AS216" i="4"/>
  <c r="EE216" i="4"/>
  <c r="DV216" i="4"/>
  <c r="DM216" i="4"/>
  <c r="DD216" i="4"/>
  <c r="CT216" i="4"/>
  <c r="CK216" i="4"/>
  <c r="CB216" i="4"/>
  <c r="BS216" i="4"/>
  <c r="BJ216" i="4"/>
  <c r="BA216" i="4"/>
  <c r="AR216" i="4"/>
  <c r="EC216" i="4"/>
  <c r="DT216" i="4"/>
  <c r="DJ216" i="4"/>
  <c r="DA216" i="4"/>
  <c r="CR216" i="4"/>
  <c r="CI216" i="4"/>
  <c r="BZ216" i="4"/>
  <c r="BQ216" i="4"/>
  <c r="BH216" i="4"/>
  <c r="AX216" i="4"/>
  <c r="AO216" i="4"/>
  <c r="DR216" i="4"/>
  <c r="CZ216" i="4"/>
  <c r="CH216" i="4"/>
  <c r="BP216" i="4"/>
  <c r="AW216" i="4"/>
  <c r="DQ216" i="4"/>
  <c r="CY216" i="4"/>
  <c r="CG216" i="4"/>
  <c r="BN216" i="4"/>
  <c r="AV216" i="4"/>
  <c r="EH216" i="4"/>
  <c r="DP216" i="4"/>
  <c r="CX216" i="4"/>
  <c r="CF216" i="4"/>
  <c r="BM216" i="4"/>
  <c r="AU216" i="4"/>
  <c r="EB216" i="4"/>
  <c r="DI216" i="4"/>
  <c r="CQ216" i="4"/>
  <c r="BY216" i="4"/>
  <c r="BF216" i="4"/>
  <c r="AN216" i="4"/>
  <c r="DZ216" i="4"/>
  <c r="DH216" i="4"/>
  <c r="CP216" i="4"/>
  <c r="BX216" i="4"/>
  <c r="BE216" i="4"/>
  <c r="AM216" i="4"/>
  <c r="DU216" i="4"/>
  <c r="DB216" i="4"/>
  <c r="CJ216" i="4"/>
  <c r="BR216" i="4"/>
  <c r="AZ216" i="4"/>
  <c r="CA216" i="4"/>
  <c r="BV216" i="4"/>
  <c r="ED216" i="4"/>
  <c r="BI216" i="4"/>
  <c r="DY216" i="4"/>
  <c r="BD216" i="4"/>
  <c r="DL216" i="4"/>
  <c r="AP216" i="4"/>
  <c r="DG216" i="4"/>
  <c r="CS216" i="4"/>
  <c r="CO216" i="4"/>
  <c r="U57" i="4"/>
  <c r="E51" i="1"/>
  <c r="E53" i="1"/>
  <c r="ED228" i="4"/>
  <c r="DV228" i="4"/>
  <c r="DN228" i="4"/>
  <c r="DF228" i="4"/>
  <c r="CX228" i="4"/>
  <c r="CP228" i="4"/>
  <c r="CH228" i="4"/>
  <c r="BZ228" i="4"/>
  <c r="BR228" i="4"/>
  <c r="BJ228" i="4"/>
  <c r="BB228" i="4"/>
  <c r="EB228" i="4"/>
  <c r="DS228" i="4"/>
  <c r="DJ228" i="4"/>
  <c r="DA228" i="4"/>
  <c r="CR228" i="4"/>
  <c r="CI228" i="4"/>
  <c r="BY228" i="4"/>
  <c r="BP228" i="4"/>
  <c r="BG228" i="4"/>
  <c r="EA228" i="4"/>
  <c r="DR228" i="4"/>
  <c r="DI228" i="4"/>
  <c r="CZ228" i="4"/>
  <c r="CQ228" i="4"/>
  <c r="CG228" i="4"/>
  <c r="BX228" i="4"/>
  <c r="BO228" i="4"/>
  <c r="BF228" i="4"/>
  <c r="EI228" i="4"/>
  <c r="DZ228" i="4"/>
  <c r="DQ228" i="4"/>
  <c r="DH228" i="4"/>
  <c r="CY228" i="4"/>
  <c r="CO228" i="4"/>
  <c r="CF228" i="4"/>
  <c r="BW228" i="4"/>
  <c r="BN228" i="4"/>
  <c r="BE228" i="4"/>
  <c r="EH228" i="4"/>
  <c r="DY228" i="4"/>
  <c r="DP228" i="4"/>
  <c r="DG228" i="4"/>
  <c r="CW228" i="4"/>
  <c r="CN228" i="4"/>
  <c r="CE228" i="4"/>
  <c r="BV228" i="4"/>
  <c r="BM228" i="4"/>
  <c r="BD228" i="4"/>
  <c r="EF228" i="4"/>
  <c r="DW228" i="4"/>
  <c r="DM228" i="4"/>
  <c r="DD228" i="4"/>
  <c r="CU228" i="4"/>
  <c r="CL228" i="4"/>
  <c r="CC228" i="4"/>
  <c r="BT228" i="4"/>
  <c r="BK228" i="4"/>
  <c r="BA228" i="4"/>
  <c r="EE228" i="4"/>
  <c r="DU228" i="4"/>
  <c r="DL228" i="4"/>
  <c r="DC228" i="4"/>
  <c r="CT228" i="4"/>
  <c r="CK228" i="4"/>
  <c r="CB228" i="4"/>
  <c r="BS228" i="4"/>
  <c r="BI228" i="4"/>
  <c r="AZ228" i="4"/>
  <c r="DX228" i="4"/>
  <c r="CM228" i="4"/>
  <c r="BC228" i="4"/>
  <c r="DT228" i="4"/>
  <c r="CJ228" i="4"/>
  <c r="AY228" i="4"/>
  <c r="DO228" i="4"/>
  <c r="CD228" i="4"/>
  <c r="DK228" i="4"/>
  <c r="CA228" i="4"/>
  <c r="DB228" i="4"/>
  <c r="BQ228" i="4"/>
  <c r="EG228" i="4"/>
  <c r="CV228" i="4"/>
  <c r="BL228" i="4"/>
  <c r="DE228" i="4"/>
  <c r="CS228" i="4"/>
  <c r="BU228" i="4"/>
  <c r="BH228" i="4"/>
  <c r="EC228" i="4"/>
  <c r="R72" i="4"/>
  <c r="M72" i="4"/>
  <c r="P72" i="4"/>
  <c r="O72" i="4"/>
  <c r="N72" i="4"/>
  <c r="Q72" i="4"/>
  <c r="EH230" i="4"/>
  <c r="DZ230" i="4"/>
  <c r="DR230" i="4"/>
  <c r="DJ230" i="4"/>
  <c r="DB230" i="4"/>
  <c r="CT230" i="4"/>
  <c r="CL230" i="4"/>
  <c r="CD230" i="4"/>
  <c r="BV230" i="4"/>
  <c r="BN230" i="4"/>
  <c r="BF230" i="4"/>
  <c r="ED230" i="4"/>
  <c r="DU230" i="4"/>
  <c r="DL230" i="4"/>
  <c r="DC230" i="4"/>
  <c r="CS230" i="4"/>
  <c r="CJ230" i="4"/>
  <c r="CA230" i="4"/>
  <c r="BR230" i="4"/>
  <c r="BI230" i="4"/>
  <c r="EC230" i="4"/>
  <c r="DT230" i="4"/>
  <c r="DK230" i="4"/>
  <c r="DA230" i="4"/>
  <c r="CR230" i="4"/>
  <c r="CI230" i="4"/>
  <c r="BZ230" i="4"/>
  <c r="BQ230" i="4"/>
  <c r="BH230" i="4"/>
  <c r="EB230" i="4"/>
  <c r="DS230" i="4"/>
  <c r="DI230" i="4"/>
  <c r="CZ230" i="4"/>
  <c r="CQ230" i="4"/>
  <c r="CH230" i="4"/>
  <c r="BY230" i="4"/>
  <c r="BP230" i="4"/>
  <c r="BG230" i="4"/>
  <c r="EA230" i="4"/>
  <c r="DQ230" i="4"/>
  <c r="DH230" i="4"/>
  <c r="CY230" i="4"/>
  <c r="CP230" i="4"/>
  <c r="CG230" i="4"/>
  <c r="BX230" i="4"/>
  <c r="BO230" i="4"/>
  <c r="BE230" i="4"/>
  <c r="EG230" i="4"/>
  <c r="DX230" i="4"/>
  <c r="DO230" i="4"/>
  <c r="DF230" i="4"/>
  <c r="CW230" i="4"/>
  <c r="CN230" i="4"/>
  <c r="CE230" i="4"/>
  <c r="BU230" i="4"/>
  <c r="BL230" i="4"/>
  <c r="BC230" i="4"/>
  <c r="EF230" i="4"/>
  <c r="DW230" i="4"/>
  <c r="DN230" i="4"/>
  <c r="DE230" i="4"/>
  <c r="CV230" i="4"/>
  <c r="CM230" i="4"/>
  <c r="CC230" i="4"/>
  <c r="BT230" i="4"/>
  <c r="BK230" i="4"/>
  <c r="BB230" i="4"/>
  <c r="DD230" i="4"/>
  <c r="BS230" i="4"/>
  <c r="EI230" i="4"/>
  <c r="CX230" i="4"/>
  <c r="BM230" i="4"/>
  <c r="EE230" i="4"/>
  <c r="CU230" i="4"/>
  <c r="BJ230" i="4"/>
  <c r="DY230" i="4"/>
  <c r="CO230" i="4"/>
  <c r="BD230" i="4"/>
  <c r="DP230" i="4"/>
  <c r="CF230" i="4"/>
  <c r="DM230" i="4"/>
  <c r="CB230" i="4"/>
  <c r="DV230" i="4"/>
  <c r="DG230" i="4"/>
  <c r="CK230" i="4"/>
  <c r="BW230" i="4"/>
  <c r="BA230" i="4"/>
  <c r="P74" i="4"/>
  <c r="Q74" i="4"/>
  <c r="O74" i="4"/>
  <c r="R74" i="4"/>
  <c r="ED232" i="4"/>
  <c r="DV232" i="4"/>
  <c r="DN232" i="4"/>
  <c r="DF232" i="4"/>
  <c r="CX232" i="4"/>
  <c r="CP232" i="4"/>
  <c r="CH232" i="4"/>
  <c r="BZ232" i="4"/>
  <c r="BR232" i="4"/>
  <c r="BJ232" i="4"/>
  <c r="EB232" i="4"/>
  <c r="DT232" i="4"/>
  <c r="DL232" i="4"/>
  <c r="EI232" i="4"/>
  <c r="DY232" i="4"/>
  <c r="DO232" i="4"/>
  <c r="DD232" i="4"/>
  <c r="CU232" i="4"/>
  <c r="CL232" i="4"/>
  <c r="CC232" i="4"/>
  <c r="BT232" i="4"/>
  <c r="BK232" i="4"/>
  <c r="EH232" i="4"/>
  <c r="DX232" i="4"/>
  <c r="DM232" i="4"/>
  <c r="DC232" i="4"/>
  <c r="CT232" i="4"/>
  <c r="CK232" i="4"/>
  <c r="CB232" i="4"/>
  <c r="BS232" i="4"/>
  <c r="BI232" i="4"/>
  <c r="EG232" i="4"/>
  <c r="DW232" i="4"/>
  <c r="DK232" i="4"/>
  <c r="DB232" i="4"/>
  <c r="CS232" i="4"/>
  <c r="CJ232" i="4"/>
  <c r="CA232" i="4"/>
  <c r="BQ232" i="4"/>
  <c r="BH232" i="4"/>
  <c r="EF232" i="4"/>
  <c r="DU232" i="4"/>
  <c r="DJ232" i="4"/>
  <c r="DA232" i="4"/>
  <c r="CR232" i="4"/>
  <c r="CI232" i="4"/>
  <c r="BY232" i="4"/>
  <c r="BP232" i="4"/>
  <c r="BG232" i="4"/>
  <c r="EC232" i="4"/>
  <c r="DR232" i="4"/>
  <c r="DH232" i="4"/>
  <c r="CY232" i="4"/>
  <c r="CO232" i="4"/>
  <c r="CF232" i="4"/>
  <c r="BW232" i="4"/>
  <c r="BN232" i="4"/>
  <c r="BE232" i="4"/>
  <c r="EA232" i="4"/>
  <c r="DQ232" i="4"/>
  <c r="DG232" i="4"/>
  <c r="CW232" i="4"/>
  <c r="CN232" i="4"/>
  <c r="CE232" i="4"/>
  <c r="BV232" i="4"/>
  <c r="BM232" i="4"/>
  <c r="BD232" i="4"/>
  <c r="DE232" i="4"/>
  <c r="BU232" i="4"/>
  <c r="CZ232" i="4"/>
  <c r="BO232" i="4"/>
  <c r="CV232" i="4"/>
  <c r="BL232" i="4"/>
  <c r="EE232" i="4"/>
  <c r="CQ232" i="4"/>
  <c r="BF232" i="4"/>
  <c r="DS232" i="4"/>
  <c r="CG232" i="4"/>
  <c r="DP232" i="4"/>
  <c r="CD232" i="4"/>
  <c r="CM232" i="4"/>
  <c r="BX232" i="4"/>
  <c r="BC232" i="4"/>
  <c r="DI232" i="4"/>
  <c r="DZ232" i="4"/>
  <c r="Q76" i="4"/>
  <c r="R76" i="4"/>
  <c r="EI234" i="4"/>
  <c r="EA234" i="4"/>
  <c r="DS234" i="4"/>
  <c r="DK234" i="4"/>
  <c r="DC234" i="4"/>
  <c r="CU234" i="4"/>
  <c r="CM234" i="4"/>
  <c r="CE234" i="4"/>
  <c r="EH234" i="4"/>
  <c r="DZ234" i="4"/>
  <c r="DR234" i="4"/>
  <c r="DJ234" i="4"/>
  <c r="DB234" i="4"/>
  <c r="CT234" i="4"/>
  <c r="CL234" i="4"/>
  <c r="CD234" i="4"/>
  <c r="BV234" i="4"/>
  <c r="BN234" i="4"/>
  <c r="BF234" i="4"/>
  <c r="EF234" i="4"/>
  <c r="DX234" i="4"/>
  <c r="DP234" i="4"/>
  <c r="DH234" i="4"/>
  <c r="CZ234" i="4"/>
  <c r="CR234" i="4"/>
  <c r="CJ234" i="4"/>
  <c r="CB234" i="4"/>
  <c r="BT234" i="4"/>
  <c r="BL234" i="4"/>
  <c r="ED234" i="4"/>
  <c r="DQ234" i="4"/>
  <c r="DE234" i="4"/>
  <c r="CQ234" i="4"/>
  <c r="CF234" i="4"/>
  <c r="BS234" i="4"/>
  <c r="BI234" i="4"/>
  <c r="EC234" i="4"/>
  <c r="DO234" i="4"/>
  <c r="DD234" i="4"/>
  <c r="CP234" i="4"/>
  <c r="CC234" i="4"/>
  <c r="BR234" i="4"/>
  <c r="BH234" i="4"/>
  <c r="EB234" i="4"/>
  <c r="DN234" i="4"/>
  <c r="DA234" i="4"/>
  <c r="CO234" i="4"/>
  <c r="CA234" i="4"/>
  <c r="BQ234" i="4"/>
  <c r="BG234" i="4"/>
  <c r="DY234" i="4"/>
  <c r="DM234" i="4"/>
  <c r="CY234" i="4"/>
  <c r="CN234" i="4"/>
  <c r="BZ234" i="4"/>
  <c r="BP234" i="4"/>
  <c r="BE234" i="4"/>
  <c r="DV234" i="4"/>
  <c r="DI234" i="4"/>
  <c r="CW234" i="4"/>
  <c r="CI234" i="4"/>
  <c r="BX234" i="4"/>
  <c r="BM234" i="4"/>
  <c r="EG234" i="4"/>
  <c r="DU234" i="4"/>
  <c r="DG234" i="4"/>
  <c r="CV234" i="4"/>
  <c r="CH234" i="4"/>
  <c r="BW234" i="4"/>
  <c r="BK234" i="4"/>
  <c r="CK234" i="4"/>
  <c r="EE234" i="4"/>
  <c r="CG234" i="4"/>
  <c r="DW234" i="4"/>
  <c r="BY234" i="4"/>
  <c r="DT234" i="4"/>
  <c r="BU234" i="4"/>
  <c r="DF234" i="4"/>
  <c r="BJ234" i="4"/>
  <c r="CX234" i="4"/>
  <c r="DL234" i="4"/>
  <c r="CS234" i="4"/>
  <c r="BO234" i="4"/>
  <c r="L81" i="4"/>
  <c r="D81" i="4"/>
  <c r="O81" i="4"/>
  <c r="G81" i="4"/>
  <c r="E9" i="4" s="1"/>
  <c r="I81" i="4"/>
  <c r="H81" i="4"/>
  <c r="F81" i="4"/>
  <c r="P81" i="4"/>
  <c r="E81" i="4"/>
  <c r="N81" i="4"/>
  <c r="C81" i="4"/>
  <c r="M81" i="4"/>
  <c r="B81" i="4"/>
  <c r="K81" i="4"/>
  <c r="J81" i="4"/>
  <c r="EE236" i="4"/>
  <c r="DW236" i="4"/>
  <c r="DO236" i="4"/>
  <c r="DG236" i="4"/>
  <c r="CY236" i="4"/>
  <c r="CQ236" i="4"/>
  <c r="CI236" i="4"/>
  <c r="CA236" i="4"/>
  <c r="BS236" i="4"/>
  <c r="BK236" i="4"/>
  <c r="ED236" i="4"/>
  <c r="DV236" i="4"/>
  <c r="DN236" i="4"/>
  <c r="DF236" i="4"/>
  <c r="CX236" i="4"/>
  <c r="CP236" i="4"/>
  <c r="CH236" i="4"/>
  <c r="BZ236" i="4"/>
  <c r="BR236" i="4"/>
  <c r="BJ236" i="4"/>
  <c r="EC236" i="4"/>
  <c r="DU236" i="4"/>
  <c r="DM236" i="4"/>
  <c r="DE236" i="4"/>
  <c r="CW236" i="4"/>
  <c r="CO236" i="4"/>
  <c r="CG236" i="4"/>
  <c r="BY236" i="4"/>
  <c r="EB236" i="4"/>
  <c r="DT236" i="4"/>
  <c r="DL236" i="4"/>
  <c r="DD236" i="4"/>
  <c r="CV236" i="4"/>
  <c r="CN236" i="4"/>
  <c r="CF236" i="4"/>
  <c r="BX236" i="4"/>
  <c r="BP236" i="4"/>
  <c r="BH236" i="4"/>
  <c r="EI236" i="4"/>
  <c r="EA236" i="4"/>
  <c r="DS236" i="4"/>
  <c r="DK236" i="4"/>
  <c r="DC236" i="4"/>
  <c r="CU236" i="4"/>
  <c r="CM236" i="4"/>
  <c r="CE236" i="4"/>
  <c r="BW236" i="4"/>
  <c r="BO236" i="4"/>
  <c r="BG236" i="4"/>
  <c r="EH236" i="4"/>
  <c r="DZ236" i="4"/>
  <c r="DR236" i="4"/>
  <c r="DJ236" i="4"/>
  <c r="DB236" i="4"/>
  <c r="CT236" i="4"/>
  <c r="EF236" i="4"/>
  <c r="CZ236" i="4"/>
  <c r="CB236" i="4"/>
  <c r="BI236" i="4"/>
  <c r="DY236" i="4"/>
  <c r="CS236" i="4"/>
  <c r="BV236" i="4"/>
  <c r="DX236" i="4"/>
  <c r="CR236" i="4"/>
  <c r="BU236" i="4"/>
  <c r="DQ236" i="4"/>
  <c r="CL236" i="4"/>
  <c r="BT236" i="4"/>
  <c r="DI236" i="4"/>
  <c r="CJ236" i="4"/>
  <c r="BN236" i="4"/>
  <c r="DH236" i="4"/>
  <c r="CD236" i="4"/>
  <c r="BM236" i="4"/>
  <c r="CC236" i="4"/>
  <c r="BQ236" i="4"/>
  <c r="BL236" i="4"/>
  <c r="DP236" i="4"/>
  <c r="DA236" i="4"/>
  <c r="EG236" i="4"/>
  <c r="CK236" i="4"/>
  <c r="N83" i="4"/>
  <c r="F83" i="4"/>
  <c r="I83" i="4"/>
  <c r="K83" i="4"/>
  <c r="J83" i="4"/>
  <c r="H83" i="4"/>
  <c r="G83" i="4"/>
  <c r="P83" i="4"/>
  <c r="E83" i="4"/>
  <c r="O83" i="4"/>
  <c r="D83" i="4"/>
  <c r="M83" i="4"/>
  <c r="L83" i="4"/>
  <c r="ED238" i="4"/>
  <c r="DV238" i="4"/>
  <c r="DN238" i="4"/>
  <c r="DF238" i="4"/>
  <c r="CX238" i="4"/>
  <c r="CP238" i="4"/>
  <c r="CH238" i="4"/>
  <c r="BZ238" i="4"/>
  <c r="BR238" i="4"/>
  <c r="BJ238" i="4"/>
  <c r="EG238" i="4"/>
  <c r="DY238" i="4"/>
  <c r="DQ238" i="4"/>
  <c r="DI238" i="4"/>
  <c r="DA238" i="4"/>
  <c r="CS238" i="4"/>
  <c r="CK238" i="4"/>
  <c r="CC238" i="4"/>
  <c r="BU238" i="4"/>
  <c r="BM238" i="4"/>
  <c r="EC238" i="4"/>
  <c r="DS238" i="4"/>
  <c r="DH238" i="4"/>
  <c r="CW238" i="4"/>
  <c r="CM238" i="4"/>
  <c r="CB238" i="4"/>
  <c r="BQ238" i="4"/>
  <c r="EB238" i="4"/>
  <c r="DR238" i="4"/>
  <c r="DG238" i="4"/>
  <c r="CV238" i="4"/>
  <c r="CL238" i="4"/>
  <c r="CA238" i="4"/>
  <c r="BP238" i="4"/>
  <c r="EA238" i="4"/>
  <c r="DP238" i="4"/>
  <c r="DE238" i="4"/>
  <c r="CU238" i="4"/>
  <c r="CJ238" i="4"/>
  <c r="BY238" i="4"/>
  <c r="BO238" i="4"/>
  <c r="DZ238" i="4"/>
  <c r="DO238" i="4"/>
  <c r="DD238" i="4"/>
  <c r="CT238" i="4"/>
  <c r="CI238" i="4"/>
  <c r="BX238" i="4"/>
  <c r="BN238" i="4"/>
  <c r="EI238" i="4"/>
  <c r="DX238" i="4"/>
  <c r="DM238" i="4"/>
  <c r="DC238" i="4"/>
  <c r="CR238" i="4"/>
  <c r="CG238" i="4"/>
  <c r="BW238" i="4"/>
  <c r="BL238" i="4"/>
  <c r="EH238" i="4"/>
  <c r="DW238" i="4"/>
  <c r="DL238" i="4"/>
  <c r="DB238" i="4"/>
  <c r="CQ238" i="4"/>
  <c r="CF238" i="4"/>
  <c r="BV238" i="4"/>
  <c r="BK238" i="4"/>
  <c r="EF238" i="4"/>
  <c r="DU238" i="4"/>
  <c r="DK238" i="4"/>
  <c r="CZ238" i="4"/>
  <c r="CO238" i="4"/>
  <c r="CE238" i="4"/>
  <c r="BT238" i="4"/>
  <c r="BI238" i="4"/>
  <c r="EE238" i="4"/>
  <c r="DT238" i="4"/>
  <c r="DJ238" i="4"/>
  <c r="CN238" i="4"/>
  <c r="CD238" i="4"/>
  <c r="CY238" i="4"/>
  <c r="BS238" i="4"/>
  <c r="P85" i="4"/>
  <c r="H85" i="4"/>
  <c r="K85" i="4"/>
  <c r="J85" i="4"/>
  <c r="I85" i="4"/>
  <c r="G85" i="4"/>
  <c r="F85" i="4"/>
  <c r="O85" i="4"/>
  <c r="N85" i="4"/>
  <c r="M85" i="4"/>
  <c r="L85" i="4"/>
  <c r="EH240" i="4"/>
  <c r="DZ240" i="4"/>
  <c r="DR240" i="4"/>
  <c r="DJ240" i="4"/>
  <c r="DB240" i="4"/>
  <c r="CT240" i="4"/>
  <c r="CL240" i="4"/>
  <c r="CD240" i="4"/>
  <c r="BV240" i="4"/>
  <c r="BN240" i="4"/>
  <c r="EC240" i="4"/>
  <c r="DU240" i="4"/>
  <c r="DM240" i="4"/>
  <c r="DE240" i="4"/>
  <c r="CW240" i="4"/>
  <c r="CO240" i="4"/>
  <c r="CG240" i="4"/>
  <c r="BY240" i="4"/>
  <c r="BQ240" i="4"/>
  <c r="EF240" i="4"/>
  <c r="DV240" i="4"/>
  <c r="DK240" i="4"/>
  <c r="CZ240" i="4"/>
  <c r="CP240" i="4"/>
  <c r="CE240" i="4"/>
  <c r="BT240" i="4"/>
  <c r="EE240" i="4"/>
  <c r="DT240" i="4"/>
  <c r="DI240" i="4"/>
  <c r="CY240" i="4"/>
  <c r="CN240" i="4"/>
  <c r="CC240" i="4"/>
  <c r="BS240" i="4"/>
  <c r="ED240" i="4"/>
  <c r="DS240" i="4"/>
  <c r="DH240" i="4"/>
  <c r="CX240" i="4"/>
  <c r="CM240" i="4"/>
  <c r="CB240" i="4"/>
  <c r="BR240" i="4"/>
  <c r="EB240" i="4"/>
  <c r="DQ240" i="4"/>
  <c r="DG240" i="4"/>
  <c r="CV240" i="4"/>
  <c r="CK240" i="4"/>
  <c r="CA240" i="4"/>
  <c r="BP240" i="4"/>
  <c r="EA240" i="4"/>
  <c r="DP240" i="4"/>
  <c r="DF240" i="4"/>
  <c r="CU240" i="4"/>
  <c r="CJ240" i="4"/>
  <c r="BZ240" i="4"/>
  <c r="BO240" i="4"/>
  <c r="DY240" i="4"/>
  <c r="DO240" i="4"/>
  <c r="DD240" i="4"/>
  <c r="CS240" i="4"/>
  <c r="CI240" i="4"/>
  <c r="BX240" i="4"/>
  <c r="BM240" i="4"/>
  <c r="EI240" i="4"/>
  <c r="DX240" i="4"/>
  <c r="DN240" i="4"/>
  <c r="DC240" i="4"/>
  <c r="CR240" i="4"/>
  <c r="CH240" i="4"/>
  <c r="BW240" i="4"/>
  <c r="BL240" i="4"/>
  <c r="EG240" i="4"/>
  <c r="DW240" i="4"/>
  <c r="DL240" i="4"/>
  <c r="DA240" i="4"/>
  <c r="CF240" i="4"/>
  <c r="BU240" i="4"/>
  <c r="CQ240" i="4"/>
  <c r="BK240" i="4"/>
  <c r="J87" i="4"/>
  <c r="M87" i="4"/>
  <c r="H87" i="4"/>
  <c r="P87" i="4"/>
  <c r="O87" i="4"/>
  <c r="N87" i="4"/>
  <c r="L87" i="4"/>
  <c r="K87" i="4"/>
  <c r="I87" i="4"/>
  <c r="ED242" i="4"/>
  <c r="DV242" i="4"/>
  <c r="DN242" i="4"/>
  <c r="DF242" i="4"/>
  <c r="CX242" i="4"/>
  <c r="CP242" i="4"/>
  <c r="CH242" i="4"/>
  <c r="BZ242" i="4"/>
  <c r="BR242" i="4"/>
  <c r="EG242" i="4"/>
  <c r="DY242" i="4"/>
  <c r="DQ242" i="4"/>
  <c r="DI242" i="4"/>
  <c r="DA242" i="4"/>
  <c r="CS242" i="4"/>
  <c r="CK242" i="4"/>
  <c r="CC242" i="4"/>
  <c r="BU242" i="4"/>
  <c r="BM242" i="4"/>
  <c r="DZ242" i="4"/>
  <c r="DO242" i="4"/>
  <c r="DD242" i="4"/>
  <c r="CT242" i="4"/>
  <c r="CI242" i="4"/>
  <c r="BX242" i="4"/>
  <c r="BN242" i="4"/>
  <c r="EI242" i="4"/>
  <c r="DX242" i="4"/>
  <c r="DM242" i="4"/>
  <c r="DC242" i="4"/>
  <c r="CR242" i="4"/>
  <c r="CG242" i="4"/>
  <c r="BW242" i="4"/>
  <c r="EH242" i="4"/>
  <c r="DW242" i="4"/>
  <c r="DL242" i="4"/>
  <c r="DB242" i="4"/>
  <c r="CQ242" i="4"/>
  <c r="CF242" i="4"/>
  <c r="BV242" i="4"/>
  <c r="EF242" i="4"/>
  <c r="DU242" i="4"/>
  <c r="DK242" i="4"/>
  <c r="CZ242" i="4"/>
  <c r="CO242" i="4"/>
  <c r="CE242" i="4"/>
  <c r="BT242" i="4"/>
  <c r="EE242" i="4"/>
  <c r="DT242" i="4"/>
  <c r="DJ242" i="4"/>
  <c r="CY242" i="4"/>
  <c r="CN242" i="4"/>
  <c r="CD242" i="4"/>
  <c r="BS242" i="4"/>
  <c r="EC242" i="4"/>
  <c r="DS242" i="4"/>
  <c r="DH242" i="4"/>
  <c r="CW242" i="4"/>
  <c r="CM242" i="4"/>
  <c r="CB242" i="4"/>
  <c r="BQ242" i="4"/>
  <c r="EB242" i="4"/>
  <c r="DR242" i="4"/>
  <c r="DG242" i="4"/>
  <c r="CV242" i="4"/>
  <c r="CL242" i="4"/>
  <c r="CA242" i="4"/>
  <c r="BP242" i="4"/>
  <c r="CU242" i="4"/>
  <c r="CJ242" i="4"/>
  <c r="BY242" i="4"/>
  <c r="BO242" i="4"/>
  <c r="EA242" i="4"/>
  <c r="DP242" i="4"/>
  <c r="DE242" i="4"/>
  <c r="L89" i="4"/>
  <c r="O89" i="4"/>
  <c r="P89" i="4"/>
  <c r="N89" i="4"/>
  <c r="M89" i="4"/>
  <c r="K89" i="4"/>
  <c r="J89" i="4"/>
  <c r="EH244" i="4"/>
  <c r="DZ244" i="4"/>
  <c r="DR244" i="4"/>
  <c r="DJ244" i="4"/>
  <c r="DB244" i="4"/>
  <c r="CT244" i="4"/>
  <c r="CL244" i="4"/>
  <c r="CD244" i="4"/>
  <c r="BV244" i="4"/>
  <c r="EG244" i="4"/>
  <c r="DY244" i="4"/>
  <c r="DQ244" i="4"/>
  <c r="DI244" i="4"/>
  <c r="DA244" i="4"/>
  <c r="CS244" i="4"/>
  <c r="CK244" i="4"/>
  <c r="CC244" i="4"/>
  <c r="BU244" i="4"/>
  <c r="EE244" i="4"/>
  <c r="DW244" i="4"/>
  <c r="DO244" i="4"/>
  <c r="DG244" i="4"/>
  <c r="CY244" i="4"/>
  <c r="CQ244" i="4"/>
  <c r="CI244" i="4"/>
  <c r="CA244" i="4"/>
  <c r="BS244" i="4"/>
  <c r="ED244" i="4"/>
  <c r="DV244" i="4"/>
  <c r="DN244" i="4"/>
  <c r="DF244" i="4"/>
  <c r="CX244" i="4"/>
  <c r="CP244" i="4"/>
  <c r="CH244" i="4"/>
  <c r="BZ244" i="4"/>
  <c r="BR244" i="4"/>
  <c r="EC244" i="4"/>
  <c r="DU244" i="4"/>
  <c r="DM244" i="4"/>
  <c r="DE244" i="4"/>
  <c r="CW244" i="4"/>
  <c r="CO244" i="4"/>
  <c r="CG244" i="4"/>
  <c r="BY244" i="4"/>
  <c r="BQ244" i="4"/>
  <c r="EA244" i="4"/>
  <c r="DD244" i="4"/>
  <c r="CJ244" i="4"/>
  <c r="BO244" i="4"/>
  <c r="DX244" i="4"/>
  <c r="DC244" i="4"/>
  <c r="CF244" i="4"/>
  <c r="DT244" i="4"/>
  <c r="CZ244" i="4"/>
  <c r="CE244" i="4"/>
  <c r="DS244" i="4"/>
  <c r="CV244" i="4"/>
  <c r="CB244" i="4"/>
  <c r="DP244" i="4"/>
  <c r="CU244" i="4"/>
  <c r="BX244" i="4"/>
  <c r="EI244" i="4"/>
  <c r="DL244" i="4"/>
  <c r="CR244" i="4"/>
  <c r="BW244" i="4"/>
  <c r="EF244" i="4"/>
  <c r="DK244" i="4"/>
  <c r="CN244" i="4"/>
  <c r="BT244" i="4"/>
  <c r="EB244" i="4"/>
  <c r="CM244" i="4"/>
  <c r="BP244" i="4"/>
  <c r="DH244" i="4"/>
  <c r="N91" i="4"/>
  <c r="L91" i="4"/>
  <c r="P91" i="4"/>
  <c r="O91" i="4"/>
  <c r="M91" i="4"/>
  <c r="ED246" i="4"/>
  <c r="DV246" i="4"/>
  <c r="DN246" i="4"/>
  <c r="DF246" i="4"/>
  <c r="CX246" i="4"/>
  <c r="CP246" i="4"/>
  <c r="CH246" i="4"/>
  <c r="BZ246" i="4"/>
  <c r="BR246" i="4"/>
  <c r="EC246" i="4"/>
  <c r="DU246" i="4"/>
  <c r="DM246" i="4"/>
  <c r="DE246" i="4"/>
  <c r="CW246" i="4"/>
  <c r="CO246" i="4"/>
  <c r="CG246" i="4"/>
  <c r="BY246" i="4"/>
  <c r="BQ246" i="4"/>
  <c r="EI246" i="4"/>
  <c r="EA246" i="4"/>
  <c r="DS246" i="4"/>
  <c r="DK246" i="4"/>
  <c r="DC246" i="4"/>
  <c r="CU246" i="4"/>
  <c r="CM246" i="4"/>
  <c r="CE246" i="4"/>
  <c r="BW246" i="4"/>
  <c r="EH246" i="4"/>
  <c r="DZ246" i="4"/>
  <c r="DR246" i="4"/>
  <c r="DJ246" i="4"/>
  <c r="DB246" i="4"/>
  <c r="CT246" i="4"/>
  <c r="CL246" i="4"/>
  <c r="CD246" i="4"/>
  <c r="BV246" i="4"/>
  <c r="EG246" i="4"/>
  <c r="DY246" i="4"/>
  <c r="DQ246" i="4"/>
  <c r="DI246" i="4"/>
  <c r="DA246" i="4"/>
  <c r="CS246" i="4"/>
  <c r="CK246" i="4"/>
  <c r="CC246" i="4"/>
  <c r="BU246" i="4"/>
  <c r="DT246" i="4"/>
  <c r="CY246" i="4"/>
  <c r="CB246" i="4"/>
  <c r="DP246" i="4"/>
  <c r="CV246" i="4"/>
  <c r="CA246" i="4"/>
  <c r="DO246" i="4"/>
  <c r="CR246" i="4"/>
  <c r="BX246" i="4"/>
  <c r="EF246" i="4"/>
  <c r="DL246" i="4"/>
  <c r="CQ246" i="4"/>
  <c r="BT246" i="4"/>
  <c r="EE246" i="4"/>
  <c r="DH246" i="4"/>
  <c r="CN246" i="4"/>
  <c r="BS246" i="4"/>
  <c r="EB246" i="4"/>
  <c r="DG246" i="4"/>
  <c r="CJ246" i="4"/>
  <c r="DX246" i="4"/>
  <c r="DD246" i="4"/>
  <c r="CI246" i="4"/>
  <c r="DW246" i="4"/>
  <c r="CZ246" i="4"/>
  <c r="CF246" i="4"/>
  <c r="P93" i="4"/>
  <c r="O93" i="4"/>
  <c r="N93" i="4"/>
  <c r="EH248" i="4"/>
  <c r="DZ248" i="4"/>
  <c r="DR248" i="4"/>
  <c r="DJ248" i="4"/>
  <c r="DB248" i="4"/>
  <c r="CT248" i="4"/>
  <c r="CL248" i="4"/>
  <c r="CD248" i="4"/>
  <c r="BV248" i="4"/>
  <c r="EG248" i="4"/>
  <c r="DY248" i="4"/>
  <c r="DQ248" i="4"/>
  <c r="DI248" i="4"/>
  <c r="DA248" i="4"/>
  <c r="CS248" i="4"/>
  <c r="CK248" i="4"/>
  <c r="CC248" i="4"/>
  <c r="BU248" i="4"/>
  <c r="EE248" i="4"/>
  <c r="DW248" i="4"/>
  <c r="DO248" i="4"/>
  <c r="DG248" i="4"/>
  <c r="CY248" i="4"/>
  <c r="CQ248" i="4"/>
  <c r="CI248" i="4"/>
  <c r="CA248" i="4"/>
  <c r="BS248" i="4"/>
  <c r="ED248" i="4"/>
  <c r="DV248" i="4"/>
  <c r="DN248" i="4"/>
  <c r="DF248" i="4"/>
  <c r="CX248" i="4"/>
  <c r="CP248" i="4"/>
  <c r="CH248" i="4"/>
  <c r="BZ248" i="4"/>
  <c r="EC248" i="4"/>
  <c r="DU248" i="4"/>
  <c r="DM248" i="4"/>
  <c r="DE248" i="4"/>
  <c r="CW248" i="4"/>
  <c r="CO248" i="4"/>
  <c r="CG248" i="4"/>
  <c r="BY248" i="4"/>
  <c r="EB248" i="4"/>
  <c r="DT248" i="4"/>
  <c r="DL248" i="4"/>
  <c r="DD248" i="4"/>
  <c r="CV248" i="4"/>
  <c r="CN248" i="4"/>
  <c r="CF248" i="4"/>
  <c r="BX248" i="4"/>
  <c r="EF248" i="4"/>
  <c r="CZ248" i="4"/>
  <c r="BT248" i="4"/>
  <c r="EA248" i="4"/>
  <c r="CU248" i="4"/>
  <c r="DX248" i="4"/>
  <c r="CR248" i="4"/>
  <c r="DS248" i="4"/>
  <c r="CM248" i="4"/>
  <c r="DP248" i="4"/>
  <c r="CJ248" i="4"/>
  <c r="DK248" i="4"/>
  <c r="CE248" i="4"/>
  <c r="DH248" i="4"/>
  <c r="CB248" i="4"/>
  <c r="EI248" i="4"/>
  <c r="DC248" i="4"/>
  <c r="BW248" i="4"/>
  <c r="P95" i="4"/>
  <c r="ED250" i="4"/>
  <c r="DV250" i="4"/>
  <c r="DN250" i="4"/>
  <c r="DF250" i="4"/>
  <c r="CX250" i="4"/>
  <c r="CP250" i="4"/>
  <c r="CH250" i="4"/>
  <c r="BZ250" i="4"/>
  <c r="EC250" i="4"/>
  <c r="DU250" i="4"/>
  <c r="DM250" i="4"/>
  <c r="DE250" i="4"/>
  <c r="CW250" i="4"/>
  <c r="CO250" i="4"/>
  <c r="CG250" i="4"/>
  <c r="BY250" i="4"/>
  <c r="EI250" i="4"/>
  <c r="EA250" i="4"/>
  <c r="DS250" i="4"/>
  <c r="DK250" i="4"/>
  <c r="DC250" i="4"/>
  <c r="CU250" i="4"/>
  <c r="CM250" i="4"/>
  <c r="CE250" i="4"/>
  <c r="BW250" i="4"/>
  <c r="EH250" i="4"/>
  <c r="DZ250" i="4"/>
  <c r="DR250" i="4"/>
  <c r="DJ250" i="4"/>
  <c r="DB250" i="4"/>
  <c r="CT250" i="4"/>
  <c r="CL250" i="4"/>
  <c r="CD250" i="4"/>
  <c r="BV250" i="4"/>
  <c r="EG250" i="4"/>
  <c r="DY250" i="4"/>
  <c r="DQ250" i="4"/>
  <c r="DI250" i="4"/>
  <c r="DA250" i="4"/>
  <c r="CS250" i="4"/>
  <c r="CK250" i="4"/>
  <c r="CC250" i="4"/>
  <c r="BU250" i="4"/>
  <c r="EF250" i="4"/>
  <c r="DX250" i="4"/>
  <c r="DP250" i="4"/>
  <c r="DH250" i="4"/>
  <c r="CZ250" i="4"/>
  <c r="CR250" i="4"/>
  <c r="CJ250" i="4"/>
  <c r="CB250" i="4"/>
  <c r="DD250" i="4"/>
  <c r="BX250" i="4"/>
  <c r="EE250" i="4"/>
  <c r="CY250" i="4"/>
  <c r="EB250" i="4"/>
  <c r="CV250" i="4"/>
  <c r="DW250" i="4"/>
  <c r="CQ250" i="4"/>
  <c r="DT250" i="4"/>
  <c r="CN250" i="4"/>
  <c r="DO250" i="4"/>
  <c r="CI250" i="4"/>
  <c r="DL250" i="4"/>
  <c r="CF250" i="4"/>
  <c r="DG250" i="4"/>
  <c r="CA250" i="4"/>
  <c r="O100" i="4"/>
  <c r="G100" i="4"/>
  <c r="R100" i="4"/>
  <c r="J100" i="4"/>
  <c r="P100" i="4"/>
  <c r="E100" i="4"/>
  <c r="N100" i="4"/>
  <c r="D100" i="4"/>
  <c r="M100" i="4"/>
  <c r="C100" i="4"/>
  <c r="L100" i="4"/>
  <c r="U100" i="4"/>
  <c r="K100" i="4"/>
  <c r="T100" i="4"/>
  <c r="I100" i="4"/>
  <c r="S100" i="4"/>
  <c r="H100" i="4"/>
  <c r="Q100" i="4"/>
  <c r="F100" i="4"/>
  <c r="EI252" i="4"/>
  <c r="EA252" i="4"/>
  <c r="DS252" i="4"/>
  <c r="DK252" i="4"/>
  <c r="DC252" i="4"/>
  <c r="CU252" i="4"/>
  <c r="CM252" i="4"/>
  <c r="CE252" i="4"/>
  <c r="BW252" i="4"/>
  <c r="EG252" i="4"/>
  <c r="DY252" i="4"/>
  <c r="DQ252" i="4"/>
  <c r="DI252" i="4"/>
  <c r="DA252" i="4"/>
  <c r="ED252" i="4"/>
  <c r="DT252" i="4"/>
  <c r="DH252" i="4"/>
  <c r="CX252" i="4"/>
  <c r="CO252" i="4"/>
  <c r="CF252" i="4"/>
  <c r="EC252" i="4"/>
  <c r="DR252" i="4"/>
  <c r="DG252" i="4"/>
  <c r="CW252" i="4"/>
  <c r="CN252" i="4"/>
  <c r="CD252" i="4"/>
  <c r="EB252" i="4"/>
  <c r="DZ252" i="4"/>
  <c r="DO252" i="4"/>
  <c r="DE252" i="4"/>
  <c r="CT252" i="4"/>
  <c r="CK252" i="4"/>
  <c r="CB252" i="4"/>
  <c r="DX252" i="4"/>
  <c r="DN252" i="4"/>
  <c r="DD252" i="4"/>
  <c r="CS252" i="4"/>
  <c r="CJ252" i="4"/>
  <c r="CA252" i="4"/>
  <c r="EH252" i="4"/>
  <c r="DW252" i="4"/>
  <c r="DM252" i="4"/>
  <c r="DB252" i="4"/>
  <c r="CR252" i="4"/>
  <c r="CI252" i="4"/>
  <c r="BZ252" i="4"/>
  <c r="EF252" i="4"/>
  <c r="DV252" i="4"/>
  <c r="DL252" i="4"/>
  <c r="CZ252" i="4"/>
  <c r="CQ252" i="4"/>
  <c r="CH252" i="4"/>
  <c r="BY252" i="4"/>
  <c r="CY252" i="4"/>
  <c r="CV252" i="4"/>
  <c r="CP252" i="4"/>
  <c r="EE252" i="4"/>
  <c r="CL252" i="4"/>
  <c r="DU252" i="4"/>
  <c r="CG252" i="4"/>
  <c r="DP252" i="4"/>
  <c r="CC252" i="4"/>
  <c r="DJ252" i="4"/>
  <c r="BX252" i="4"/>
  <c r="DF252" i="4"/>
  <c r="O102" i="4"/>
  <c r="G102" i="4"/>
  <c r="R102" i="4"/>
  <c r="J102" i="4"/>
  <c r="P102" i="4"/>
  <c r="E102" i="4"/>
  <c r="N102" i="4"/>
  <c r="M102" i="4"/>
  <c r="L102" i="4"/>
  <c r="U102" i="4"/>
  <c r="K102" i="4"/>
  <c r="T102" i="4"/>
  <c r="I102" i="4"/>
  <c r="S102" i="4"/>
  <c r="H102" i="4"/>
  <c r="Q102" i="4"/>
  <c r="F102" i="4"/>
  <c r="EE254" i="4"/>
  <c r="DW254" i="4"/>
  <c r="DO254" i="4"/>
  <c r="DG254" i="4"/>
  <c r="CY254" i="4"/>
  <c r="CQ254" i="4"/>
  <c r="CI254" i="4"/>
  <c r="CA254" i="4"/>
  <c r="EC254" i="4"/>
  <c r="DU254" i="4"/>
  <c r="DM254" i="4"/>
  <c r="DE254" i="4"/>
  <c r="CW254" i="4"/>
  <c r="CO254" i="4"/>
  <c r="CG254" i="4"/>
  <c r="BY254" i="4"/>
  <c r="DZ254" i="4"/>
  <c r="DP254" i="4"/>
  <c r="DD254" i="4"/>
  <c r="CT254" i="4"/>
  <c r="CJ254" i="4"/>
  <c r="EI254" i="4"/>
  <c r="DY254" i="4"/>
  <c r="DN254" i="4"/>
  <c r="DC254" i="4"/>
  <c r="CS254" i="4"/>
  <c r="CH254" i="4"/>
  <c r="EH254" i="4"/>
  <c r="DX254" i="4"/>
  <c r="DL254" i="4"/>
  <c r="DB254" i="4"/>
  <c r="CR254" i="4"/>
  <c r="CF254" i="4"/>
  <c r="EG254" i="4"/>
  <c r="DV254" i="4"/>
  <c r="DK254" i="4"/>
  <c r="DA254" i="4"/>
  <c r="CP254" i="4"/>
  <c r="CE254" i="4"/>
  <c r="EF254" i="4"/>
  <c r="DT254" i="4"/>
  <c r="DJ254" i="4"/>
  <c r="CZ254" i="4"/>
  <c r="CN254" i="4"/>
  <c r="CD254" i="4"/>
  <c r="ED254" i="4"/>
  <c r="DS254" i="4"/>
  <c r="DI254" i="4"/>
  <c r="CX254" i="4"/>
  <c r="CM254" i="4"/>
  <c r="CC254" i="4"/>
  <c r="EB254" i="4"/>
  <c r="DR254" i="4"/>
  <c r="DH254" i="4"/>
  <c r="CV254" i="4"/>
  <c r="CL254" i="4"/>
  <c r="CB254" i="4"/>
  <c r="EA254" i="4"/>
  <c r="DQ254" i="4"/>
  <c r="DF254" i="4"/>
  <c r="CU254" i="4"/>
  <c r="CK254" i="4"/>
  <c r="BZ254" i="4"/>
  <c r="O104" i="4"/>
  <c r="G104" i="4"/>
  <c r="R104" i="4"/>
  <c r="J104" i="4"/>
  <c r="P104" i="4"/>
  <c r="N104" i="4"/>
  <c r="M104" i="4"/>
  <c r="L104" i="4"/>
  <c r="U104" i="4"/>
  <c r="K104" i="4"/>
  <c r="T104" i="4"/>
  <c r="I104" i="4"/>
  <c r="S104" i="4"/>
  <c r="H104" i="4"/>
  <c r="Q104" i="4"/>
  <c r="EH256" i="4"/>
  <c r="DZ256" i="4"/>
  <c r="DR256" i="4"/>
  <c r="DJ256" i="4"/>
  <c r="DB256" i="4"/>
  <c r="CT256" i="4"/>
  <c r="CL256" i="4"/>
  <c r="CD256" i="4"/>
  <c r="EG256" i="4"/>
  <c r="DX256" i="4"/>
  <c r="DO256" i="4"/>
  <c r="DF256" i="4"/>
  <c r="CW256" i="4"/>
  <c r="CN256" i="4"/>
  <c r="CE256" i="4"/>
  <c r="EE256" i="4"/>
  <c r="DV256" i="4"/>
  <c r="DM256" i="4"/>
  <c r="DD256" i="4"/>
  <c r="CU256" i="4"/>
  <c r="CK256" i="4"/>
  <c r="CB256" i="4"/>
  <c r="EF256" i="4"/>
  <c r="DT256" i="4"/>
  <c r="DH256" i="4"/>
  <c r="CV256" i="4"/>
  <c r="CI256" i="4"/>
  <c r="ED256" i="4"/>
  <c r="DS256" i="4"/>
  <c r="DG256" i="4"/>
  <c r="CS256" i="4"/>
  <c r="CH256" i="4"/>
  <c r="EC256" i="4"/>
  <c r="DQ256" i="4"/>
  <c r="DE256" i="4"/>
  <c r="CR256" i="4"/>
  <c r="CG256" i="4"/>
  <c r="EB256" i="4"/>
  <c r="DP256" i="4"/>
  <c r="DC256" i="4"/>
  <c r="CQ256" i="4"/>
  <c r="CF256" i="4"/>
  <c r="EA256" i="4"/>
  <c r="DN256" i="4"/>
  <c r="DA256" i="4"/>
  <c r="CP256" i="4"/>
  <c r="CC256" i="4"/>
  <c r="DY256" i="4"/>
  <c r="DL256" i="4"/>
  <c r="CZ256" i="4"/>
  <c r="CO256" i="4"/>
  <c r="CA256" i="4"/>
  <c r="DW256" i="4"/>
  <c r="DK256" i="4"/>
  <c r="CY256" i="4"/>
  <c r="CM256" i="4"/>
  <c r="DU256" i="4"/>
  <c r="DI256" i="4"/>
  <c r="CX256" i="4"/>
  <c r="CJ256" i="4"/>
  <c r="EI256" i="4"/>
  <c r="O106" i="4"/>
  <c r="R106" i="4"/>
  <c r="J106" i="4"/>
  <c r="M106" i="4"/>
  <c r="L106" i="4"/>
  <c r="U106" i="4"/>
  <c r="K106" i="4"/>
  <c r="T106" i="4"/>
  <c r="I106" i="4"/>
  <c r="S106" i="4"/>
  <c r="Q106" i="4"/>
  <c r="P106" i="4"/>
  <c r="N106" i="4"/>
  <c r="ED258" i="4"/>
  <c r="DV258" i="4"/>
  <c r="DN258" i="4"/>
  <c r="DF258" i="4"/>
  <c r="CX258" i="4"/>
  <c r="CP258" i="4"/>
  <c r="CH258" i="4"/>
  <c r="EB258" i="4"/>
  <c r="DS258" i="4"/>
  <c r="DJ258" i="4"/>
  <c r="DA258" i="4"/>
  <c r="CR258" i="4"/>
  <c r="CI258" i="4"/>
  <c r="EA258" i="4"/>
  <c r="DR258" i="4"/>
  <c r="DI258" i="4"/>
  <c r="CZ258" i="4"/>
  <c r="CQ258" i="4"/>
  <c r="CG258" i="4"/>
  <c r="EI258" i="4"/>
  <c r="DZ258" i="4"/>
  <c r="DQ258" i="4"/>
  <c r="DH258" i="4"/>
  <c r="CY258" i="4"/>
  <c r="CO258" i="4"/>
  <c r="CF258" i="4"/>
  <c r="EF258" i="4"/>
  <c r="DW258" i="4"/>
  <c r="DM258" i="4"/>
  <c r="DD258" i="4"/>
  <c r="CU258" i="4"/>
  <c r="CL258" i="4"/>
  <c r="CC258" i="4"/>
  <c r="DT258" i="4"/>
  <c r="DB258" i="4"/>
  <c r="CJ258" i="4"/>
  <c r="EH258" i="4"/>
  <c r="DP258" i="4"/>
  <c r="CW258" i="4"/>
  <c r="CE258" i="4"/>
  <c r="EG258" i="4"/>
  <c r="DO258" i="4"/>
  <c r="CV258" i="4"/>
  <c r="CD258" i="4"/>
  <c r="EE258" i="4"/>
  <c r="DL258" i="4"/>
  <c r="CT258" i="4"/>
  <c r="EC258" i="4"/>
  <c r="DK258" i="4"/>
  <c r="CS258" i="4"/>
  <c r="DY258" i="4"/>
  <c r="DG258" i="4"/>
  <c r="CN258" i="4"/>
  <c r="DX258" i="4"/>
  <c r="DE258" i="4"/>
  <c r="CM258" i="4"/>
  <c r="DU258" i="4"/>
  <c r="DC258" i="4"/>
  <c r="CK258" i="4"/>
  <c r="O108" i="4"/>
  <c r="R108" i="4"/>
  <c r="T108" i="4"/>
  <c r="S108" i="4"/>
  <c r="Q108" i="4"/>
  <c r="P108" i="4"/>
  <c r="N108" i="4"/>
  <c r="M108" i="4"/>
  <c r="L108" i="4"/>
  <c r="U108" i="4"/>
  <c r="K108" i="4"/>
  <c r="EI260" i="4"/>
  <c r="EH260" i="4"/>
  <c r="DZ260" i="4"/>
  <c r="DR260" i="4"/>
  <c r="DJ260" i="4"/>
  <c r="DB260" i="4"/>
  <c r="CT260" i="4"/>
  <c r="CL260" i="4"/>
  <c r="ED260" i="4"/>
  <c r="DU260" i="4"/>
  <c r="DL260" i="4"/>
  <c r="DC260" i="4"/>
  <c r="CS260" i="4"/>
  <c r="CJ260" i="4"/>
  <c r="EC260" i="4"/>
  <c r="DT260" i="4"/>
  <c r="DK260" i="4"/>
  <c r="DA260" i="4"/>
  <c r="CR260" i="4"/>
  <c r="CI260" i="4"/>
  <c r="EB260" i="4"/>
  <c r="DS260" i="4"/>
  <c r="DI260" i="4"/>
  <c r="CZ260" i="4"/>
  <c r="CQ260" i="4"/>
  <c r="CH260" i="4"/>
  <c r="EA260" i="4"/>
  <c r="DQ260" i="4"/>
  <c r="DH260" i="4"/>
  <c r="CY260" i="4"/>
  <c r="CP260" i="4"/>
  <c r="CG260" i="4"/>
  <c r="DY260" i="4"/>
  <c r="DP260" i="4"/>
  <c r="DG260" i="4"/>
  <c r="CX260" i="4"/>
  <c r="CO260" i="4"/>
  <c r="CF260" i="4"/>
  <c r="EG260" i="4"/>
  <c r="DX260" i="4"/>
  <c r="DO260" i="4"/>
  <c r="DF260" i="4"/>
  <c r="CW260" i="4"/>
  <c r="CN260" i="4"/>
  <c r="CE260" i="4"/>
  <c r="EE260" i="4"/>
  <c r="DV260" i="4"/>
  <c r="DM260" i="4"/>
  <c r="DD260" i="4"/>
  <c r="CU260" i="4"/>
  <c r="CK260" i="4"/>
  <c r="DW260" i="4"/>
  <c r="DN260" i="4"/>
  <c r="DE260" i="4"/>
  <c r="CV260" i="4"/>
  <c r="CM260" i="4"/>
  <c r="EF260" i="4"/>
  <c r="O110" i="4"/>
  <c r="R110" i="4"/>
  <c r="N110" i="4"/>
  <c r="M110" i="4"/>
  <c r="U110" i="4"/>
  <c r="T110" i="4"/>
  <c r="S110" i="4"/>
  <c r="Q110" i="4"/>
  <c r="P110" i="4"/>
  <c r="EE262" i="4"/>
  <c r="DW262" i="4"/>
  <c r="DO262" i="4"/>
  <c r="DG262" i="4"/>
  <c r="CY262" i="4"/>
  <c r="CQ262" i="4"/>
  <c r="CI262" i="4"/>
  <c r="ED262" i="4"/>
  <c r="DV262" i="4"/>
  <c r="DN262" i="4"/>
  <c r="DF262" i="4"/>
  <c r="CX262" i="4"/>
  <c r="CP262" i="4"/>
  <c r="CH262" i="4"/>
  <c r="EC262" i="4"/>
  <c r="DU262" i="4"/>
  <c r="DM262" i="4"/>
  <c r="DE262" i="4"/>
  <c r="CW262" i="4"/>
  <c r="CO262" i="4"/>
  <c r="CG262" i="4"/>
  <c r="EI262" i="4"/>
  <c r="EA262" i="4"/>
  <c r="DS262" i="4"/>
  <c r="DK262" i="4"/>
  <c r="DC262" i="4"/>
  <c r="CU262" i="4"/>
  <c r="CM262" i="4"/>
  <c r="EH262" i="4"/>
  <c r="DZ262" i="4"/>
  <c r="DR262" i="4"/>
  <c r="DJ262" i="4"/>
  <c r="DB262" i="4"/>
  <c r="CT262" i="4"/>
  <c r="CL262" i="4"/>
  <c r="DX262" i="4"/>
  <c r="DA262" i="4"/>
  <c r="DT262" i="4"/>
  <c r="CZ262" i="4"/>
  <c r="DQ262" i="4"/>
  <c r="CV262" i="4"/>
  <c r="DP262" i="4"/>
  <c r="CS262" i="4"/>
  <c r="EG262" i="4"/>
  <c r="DL262" i="4"/>
  <c r="CR262" i="4"/>
  <c r="EF262" i="4"/>
  <c r="DI262" i="4"/>
  <c r="CN262" i="4"/>
  <c r="DY262" i="4"/>
  <c r="DD262" i="4"/>
  <c r="CJ262" i="4"/>
  <c r="EB262" i="4"/>
  <c r="DH262" i="4"/>
  <c r="CK262" i="4"/>
  <c r="O112" i="4"/>
  <c r="R112" i="4"/>
  <c r="T112" i="4"/>
  <c r="S112" i="4"/>
  <c r="Q112" i="4"/>
  <c r="P112" i="4"/>
  <c r="U112" i="4"/>
  <c r="EI264" i="4"/>
  <c r="EA264" i="4"/>
  <c r="DS264" i="4"/>
  <c r="DK264" i="4"/>
  <c r="DC264" i="4"/>
  <c r="CU264" i="4"/>
  <c r="CM264" i="4"/>
  <c r="EH264" i="4"/>
  <c r="DZ264" i="4"/>
  <c r="DR264" i="4"/>
  <c r="DJ264" i="4"/>
  <c r="DB264" i="4"/>
  <c r="CT264" i="4"/>
  <c r="CL264" i="4"/>
  <c r="EG264" i="4"/>
  <c r="DY264" i="4"/>
  <c r="DQ264" i="4"/>
  <c r="DI264" i="4"/>
  <c r="DA264" i="4"/>
  <c r="CS264" i="4"/>
  <c r="CK264" i="4"/>
  <c r="EE264" i="4"/>
  <c r="DW264" i="4"/>
  <c r="DO264" i="4"/>
  <c r="DG264" i="4"/>
  <c r="CY264" i="4"/>
  <c r="CQ264" i="4"/>
  <c r="CI264" i="4"/>
  <c r="ED264" i="4"/>
  <c r="DV264" i="4"/>
  <c r="DN264" i="4"/>
  <c r="DF264" i="4"/>
  <c r="CX264" i="4"/>
  <c r="CP264" i="4"/>
  <c r="DT264" i="4"/>
  <c r="CW264" i="4"/>
  <c r="DP264" i="4"/>
  <c r="CV264" i="4"/>
  <c r="DM264" i="4"/>
  <c r="CR264" i="4"/>
  <c r="EF264" i="4"/>
  <c r="DL264" i="4"/>
  <c r="CO264" i="4"/>
  <c r="EC264" i="4"/>
  <c r="DH264" i="4"/>
  <c r="CN264" i="4"/>
  <c r="EB264" i="4"/>
  <c r="DE264" i="4"/>
  <c r="CJ264" i="4"/>
  <c r="DU264" i="4"/>
  <c r="CZ264" i="4"/>
  <c r="DX264" i="4"/>
  <c r="DD264" i="4"/>
  <c r="R114" i="4"/>
  <c r="U114" i="4"/>
  <c r="T114" i="4"/>
  <c r="S114" i="4"/>
  <c r="Q114" i="4"/>
  <c r="EE266" i="4"/>
  <c r="DW266" i="4"/>
  <c r="DO266" i="4"/>
  <c r="DG266" i="4"/>
  <c r="CY266" i="4"/>
  <c r="CQ266" i="4"/>
  <c r="ED266" i="4"/>
  <c r="DV266" i="4"/>
  <c r="DN266" i="4"/>
  <c r="DF266" i="4"/>
  <c r="CX266" i="4"/>
  <c r="CP266" i="4"/>
  <c r="EC266" i="4"/>
  <c r="DU266" i="4"/>
  <c r="DM266" i="4"/>
  <c r="DE266" i="4"/>
  <c r="CW266" i="4"/>
  <c r="CO266" i="4"/>
  <c r="EB266" i="4"/>
  <c r="DT266" i="4"/>
  <c r="DL266" i="4"/>
  <c r="DD266" i="4"/>
  <c r="CV266" i="4"/>
  <c r="CN266" i="4"/>
  <c r="EI266" i="4"/>
  <c r="EA266" i="4"/>
  <c r="DS266" i="4"/>
  <c r="DK266" i="4"/>
  <c r="DC266" i="4"/>
  <c r="CU266" i="4"/>
  <c r="CM266" i="4"/>
  <c r="EH266" i="4"/>
  <c r="DZ266" i="4"/>
  <c r="DR266" i="4"/>
  <c r="DJ266" i="4"/>
  <c r="DB266" i="4"/>
  <c r="CT266" i="4"/>
  <c r="CL266" i="4"/>
  <c r="DP266" i="4"/>
  <c r="DI266" i="4"/>
  <c r="DH266" i="4"/>
  <c r="EG266" i="4"/>
  <c r="DA266" i="4"/>
  <c r="EF266" i="4"/>
  <c r="CZ266" i="4"/>
  <c r="DY266" i="4"/>
  <c r="CS266" i="4"/>
  <c r="DQ266" i="4"/>
  <c r="CK266" i="4"/>
  <c r="DX266" i="4"/>
  <c r="CR266" i="4"/>
  <c r="U116" i="4"/>
  <c r="T116" i="4"/>
  <c r="S116" i="4"/>
  <c r="EB268" i="4"/>
  <c r="DT268" i="4"/>
  <c r="DL268" i="4"/>
  <c r="DD268" i="4"/>
  <c r="CV268" i="4"/>
  <c r="CN268" i="4"/>
  <c r="EG268" i="4"/>
  <c r="DX268" i="4"/>
  <c r="DO268" i="4"/>
  <c r="DF268" i="4"/>
  <c r="CW268" i="4"/>
  <c r="CM268" i="4"/>
  <c r="EF268" i="4"/>
  <c r="DW268" i="4"/>
  <c r="DN268" i="4"/>
  <c r="DE268" i="4"/>
  <c r="CU268" i="4"/>
  <c r="EE268" i="4"/>
  <c r="DV268" i="4"/>
  <c r="DM268" i="4"/>
  <c r="DC268" i="4"/>
  <c r="CT268" i="4"/>
  <c r="ED268" i="4"/>
  <c r="DU268" i="4"/>
  <c r="DK268" i="4"/>
  <c r="DB268" i="4"/>
  <c r="CS268" i="4"/>
  <c r="EC268" i="4"/>
  <c r="DS268" i="4"/>
  <c r="DJ268" i="4"/>
  <c r="DA268" i="4"/>
  <c r="CR268" i="4"/>
  <c r="EA268" i="4"/>
  <c r="DR268" i="4"/>
  <c r="DI268" i="4"/>
  <c r="CZ268" i="4"/>
  <c r="CQ268" i="4"/>
  <c r="DH268" i="4"/>
  <c r="DG268" i="4"/>
  <c r="EI268" i="4"/>
  <c r="CY268" i="4"/>
  <c r="EH268" i="4"/>
  <c r="CX268" i="4"/>
  <c r="DZ268" i="4"/>
  <c r="CP268" i="4"/>
  <c r="DY268" i="4"/>
  <c r="CO268" i="4"/>
  <c r="DP268" i="4"/>
  <c r="DQ268" i="4"/>
  <c r="U118" i="4"/>
  <c r="EF270" i="4"/>
  <c r="DX270" i="4"/>
  <c r="DP270" i="4"/>
  <c r="DH270" i="4"/>
  <c r="CZ270" i="4"/>
  <c r="CR270" i="4"/>
  <c r="EE270" i="4"/>
  <c r="DV270" i="4"/>
  <c r="DM270" i="4"/>
  <c r="DD270" i="4"/>
  <c r="CU270" i="4"/>
  <c r="ED270" i="4"/>
  <c r="DU270" i="4"/>
  <c r="DL270" i="4"/>
  <c r="DC270" i="4"/>
  <c r="CT270" i="4"/>
  <c r="EH270" i="4"/>
  <c r="DT270" i="4"/>
  <c r="DI270" i="4"/>
  <c r="CW270" i="4"/>
  <c r="EG270" i="4"/>
  <c r="DS270" i="4"/>
  <c r="DG270" i="4"/>
  <c r="CV270" i="4"/>
  <c r="EC270" i="4"/>
  <c r="DR270" i="4"/>
  <c r="DF270" i="4"/>
  <c r="CS270" i="4"/>
  <c r="EB270" i="4"/>
  <c r="DQ270" i="4"/>
  <c r="DE270" i="4"/>
  <c r="CQ270" i="4"/>
  <c r="EA270" i="4"/>
  <c r="DO270" i="4"/>
  <c r="DB270" i="4"/>
  <c r="CP270" i="4"/>
  <c r="DZ270" i="4"/>
  <c r="DN270" i="4"/>
  <c r="DA270" i="4"/>
  <c r="CO270" i="4"/>
  <c r="DW270" i="4"/>
  <c r="DK270" i="4"/>
  <c r="DJ270" i="4"/>
  <c r="CY270" i="4"/>
  <c r="CX270" i="4"/>
  <c r="DY270" i="4"/>
  <c r="EI270" i="4"/>
  <c r="L123" i="4"/>
  <c r="D123" i="4"/>
  <c r="O123" i="4"/>
  <c r="G123" i="4"/>
  <c r="J123" i="4"/>
  <c r="I123" i="4"/>
  <c r="H123" i="4"/>
  <c r="F123" i="4"/>
  <c r="P123" i="4"/>
  <c r="E123" i="4"/>
  <c r="N123" i="4"/>
  <c r="C123" i="4"/>
  <c r="M123" i="4"/>
  <c r="K123" i="4"/>
  <c r="EB272" i="4"/>
  <c r="DT272" i="4"/>
  <c r="DL272" i="4"/>
  <c r="DD272" i="4"/>
  <c r="CV272" i="4"/>
  <c r="EE272" i="4"/>
  <c r="DV272" i="4"/>
  <c r="DM272" i="4"/>
  <c r="DC272" i="4"/>
  <c r="CT272" i="4"/>
  <c r="ED272" i="4"/>
  <c r="DU272" i="4"/>
  <c r="DK272" i="4"/>
  <c r="DB272" i="4"/>
  <c r="CS272" i="4"/>
  <c r="EH272" i="4"/>
  <c r="DZ272" i="4"/>
  <c r="DO272" i="4"/>
  <c r="DA272" i="4"/>
  <c r="DY272" i="4"/>
  <c r="DN272" i="4"/>
  <c r="CZ272" i="4"/>
  <c r="DX272" i="4"/>
  <c r="DJ272" i="4"/>
  <c r="CY272" i="4"/>
  <c r="EI272" i="4"/>
  <c r="DW272" i="4"/>
  <c r="DI272" i="4"/>
  <c r="CX272" i="4"/>
  <c r="EG272" i="4"/>
  <c r="DS272" i="4"/>
  <c r="DH272" i="4"/>
  <c r="CW272" i="4"/>
  <c r="EF272" i="4"/>
  <c r="DR272" i="4"/>
  <c r="DG272" i="4"/>
  <c r="CU272" i="4"/>
  <c r="DP272" i="4"/>
  <c r="DF272" i="4"/>
  <c r="DE272" i="4"/>
  <c r="CR272" i="4"/>
  <c r="CQ272" i="4"/>
  <c r="EC272" i="4"/>
  <c r="DQ272" i="4"/>
  <c r="EA272" i="4"/>
  <c r="N125" i="4"/>
  <c r="F125" i="4"/>
  <c r="I125" i="4"/>
  <c r="L125" i="4"/>
  <c r="K125" i="4"/>
  <c r="J125" i="4"/>
  <c r="H125" i="4"/>
  <c r="G125" i="4"/>
  <c r="P125" i="4"/>
  <c r="E125" i="4"/>
  <c r="O125" i="4"/>
  <c r="M125" i="4"/>
  <c r="EF274" i="4"/>
  <c r="DX274" i="4"/>
  <c r="DP274" i="4"/>
  <c r="DH274" i="4"/>
  <c r="CZ274" i="4"/>
  <c r="EC274" i="4"/>
  <c r="DU274" i="4"/>
  <c r="DM274" i="4"/>
  <c r="DE274" i="4"/>
  <c r="EH274" i="4"/>
  <c r="DW274" i="4"/>
  <c r="DL274" i="4"/>
  <c r="DB274" i="4"/>
  <c r="CS274" i="4"/>
  <c r="EG274" i="4"/>
  <c r="DV274" i="4"/>
  <c r="DK274" i="4"/>
  <c r="DA274" i="4"/>
  <c r="EA274" i="4"/>
  <c r="DQ274" i="4"/>
  <c r="DF274" i="4"/>
  <c r="CV274" i="4"/>
  <c r="DT274" i="4"/>
  <c r="DD274" i="4"/>
  <c r="DS274" i="4"/>
  <c r="DC274" i="4"/>
  <c r="EI274" i="4"/>
  <c r="DR274" i="4"/>
  <c r="CY274" i="4"/>
  <c r="EE274" i="4"/>
  <c r="DO274" i="4"/>
  <c r="CX274" i="4"/>
  <c r="ED274" i="4"/>
  <c r="DN274" i="4"/>
  <c r="CW274" i="4"/>
  <c r="EB274" i="4"/>
  <c r="DJ274" i="4"/>
  <c r="CU274" i="4"/>
  <c r="DG274" i="4"/>
  <c r="CT274" i="4"/>
  <c r="DZ274" i="4"/>
  <c r="DI274" i="4"/>
  <c r="DY274" i="4"/>
  <c r="P127" i="4"/>
  <c r="H127" i="4"/>
  <c r="K127" i="4"/>
  <c r="L127" i="4"/>
  <c r="J127" i="4"/>
  <c r="I127" i="4"/>
  <c r="G127" i="4"/>
  <c r="O127" i="4"/>
  <c r="N127" i="4"/>
  <c r="M127" i="4"/>
  <c r="EB276" i="4"/>
  <c r="DT276" i="4"/>
  <c r="DL276" i="4"/>
  <c r="DD276" i="4"/>
  <c r="CV276" i="4"/>
  <c r="EG276" i="4"/>
  <c r="DY276" i="4"/>
  <c r="DQ276" i="4"/>
  <c r="DI276" i="4"/>
  <c r="DA276" i="4"/>
  <c r="EI276" i="4"/>
  <c r="DX276" i="4"/>
  <c r="DN276" i="4"/>
  <c r="DC276" i="4"/>
  <c r="EH276" i="4"/>
  <c r="DW276" i="4"/>
  <c r="DM276" i="4"/>
  <c r="DB276" i="4"/>
  <c r="EF276" i="4"/>
  <c r="DV276" i="4"/>
  <c r="EC276" i="4"/>
  <c r="DR276" i="4"/>
  <c r="DG276" i="4"/>
  <c r="CW276" i="4"/>
  <c r="DZ276" i="4"/>
  <c r="DF276" i="4"/>
  <c r="DU276" i="4"/>
  <c r="DE276" i="4"/>
  <c r="DS276" i="4"/>
  <c r="CZ276" i="4"/>
  <c r="DP276" i="4"/>
  <c r="CY276" i="4"/>
  <c r="DO276" i="4"/>
  <c r="CX276" i="4"/>
  <c r="EE276" i="4"/>
  <c r="DK276" i="4"/>
  <c r="CU276" i="4"/>
  <c r="ED276" i="4"/>
  <c r="EA276" i="4"/>
  <c r="DJ276" i="4"/>
  <c r="DH276" i="4"/>
  <c r="J129" i="4"/>
  <c r="M129" i="4"/>
  <c r="I129" i="4"/>
  <c r="P129" i="4"/>
  <c r="O129" i="4"/>
  <c r="N129" i="4"/>
  <c r="L129" i="4"/>
  <c r="K129" i="4"/>
  <c r="EF278" i="4"/>
  <c r="DX278" i="4"/>
  <c r="DP278" i="4"/>
  <c r="DH278" i="4"/>
  <c r="CZ278" i="4"/>
  <c r="EC278" i="4"/>
  <c r="DU278" i="4"/>
  <c r="DM278" i="4"/>
  <c r="DE278" i="4"/>
  <c r="CW278" i="4"/>
  <c r="EI278" i="4"/>
  <c r="DY278" i="4"/>
  <c r="DN278" i="4"/>
  <c r="DC278" i="4"/>
  <c r="EH278" i="4"/>
  <c r="DW278" i="4"/>
  <c r="DL278" i="4"/>
  <c r="DB278" i="4"/>
  <c r="EG278" i="4"/>
  <c r="DV278" i="4"/>
  <c r="DK278" i="4"/>
  <c r="DA278" i="4"/>
  <c r="EE278" i="4"/>
  <c r="DT278" i="4"/>
  <c r="EB278" i="4"/>
  <c r="DR278" i="4"/>
  <c r="DG278" i="4"/>
  <c r="DZ278" i="4"/>
  <c r="CY278" i="4"/>
  <c r="DS278" i="4"/>
  <c r="CX278" i="4"/>
  <c r="DQ278" i="4"/>
  <c r="DO278" i="4"/>
  <c r="DJ278" i="4"/>
  <c r="DI278" i="4"/>
  <c r="DF278" i="4"/>
  <c r="DD278" i="4"/>
  <c r="EA278" i="4"/>
  <c r="ED278" i="4"/>
  <c r="M131" i="4"/>
  <c r="L131" i="4"/>
  <c r="O131" i="4"/>
  <c r="P131" i="4"/>
  <c r="N131" i="4"/>
  <c r="K131" i="4"/>
  <c r="EB280" i="4"/>
  <c r="DT280" i="4"/>
  <c r="DL280" i="4"/>
  <c r="DD280" i="4"/>
  <c r="EG280" i="4"/>
  <c r="DY280" i="4"/>
  <c r="DQ280" i="4"/>
  <c r="DI280" i="4"/>
  <c r="DA280" i="4"/>
  <c r="EH280" i="4"/>
  <c r="DW280" i="4"/>
  <c r="DM280" i="4"/>
  <c r="DB280" i="4"/>
  <c r="EF280" i="4"/>
  <c r="DV280" i="4"/>
  <c r="DK280" i="4"/>
  <c r="CZ280" i="4"/>
  <c r="EE280" i="4"/>
  <c r="DU280" i="4"/>
  <c r="DJ280" i="4"/>
  <c r="CY280" i="4"/>
  <c r="ED280" i="4"/>
  <c r="DS280" i="4"/>
  <c r="DH280" i="4"/>
  <c r="EA280" i="4"/>
  <c r="DP280" i="4"/>
  <c r="DF280" i="4"/>
  <c r="EI280" i="4"/>
  <c r="DX280" i="4"/>
  <c r="DN280" i="4"/>
  <c r="DC280" i="4"/>
  <c r="DR280" i="4"/>
  <c r="DO280" i="4"/>
  <c r="DG280" i="4"/>
  <c r="DE280" i="4"/>
  <c r="EC280" i="4"/>
  <c r="DZ280" i="4"/>
  <c r="O133" i="4"/>
  <c r="N133" i="4"/>
  <c r="M133" i="4"/>
  <c r="P133" i="4"/>
  <c r="EF282" i="4"/>
  <c r="DX282" i="4"/>
  <c r="DP282" i="4"/>
  <c r="DH282" i="4"/>
  <c r="EB282" i="4"/>
  <c r="DT282" i="4"/>
  <c r="DL282" i="4"/>
  <c r="DD282" i="4"/>
  <c r="EA282" i="4"/>
  <c r="DQ282" i="4"/>
  <c r="DF282" i="4"/>
  <c r="EH282" i="4"/>
  <c r="DW282" i="4"/>
  <c r="DM282" i="4"/>
  <c r="DB282" i="4"/>
  <c r="EC282" i="4"/>
  <c r="DR282" i="4"/>
  <c r="DG282" i="4"/>
  <c r="DU282" i="4"/>
  <c r="DC282" i="4"/>
  <c r="EI282" i="4"/>
  <c r="DS282" i="4"/>
  <c r="DA282" i="4"/>
  <c r="EG282" i="4"/>
  <c r="DO282" i="4"/>
  <c r="EE282" i="4"/>
  <c r="DN282" i="4"/>
  <c r="DZ282" i="4"/>
  <c r="DJ282" i="4"/>
  <c r="DV282" i="4"/>
  <c r="DE282" i="4"/>
  <c r="DY282" i="4"/>
  <c r="DK282" i="4"/>
  <c r="DI282" i="4"/>
  <c r="ED282" i="4"/>
  <c r="P135" i="4"/>
  <c r="O135" i="4"/>
  <c r="EB284" i="4"/>
  <c r="DT284" i="4"/>
  <c r="DL284" i="4"/>
  <c r="DD284" i="4"/>
  <c r="EF284" i="4"/>
  <c r="DX284" i="4"/>
  <c r="DP284" i="4"/>
  <c r="DH284" i="4"/>
  <c r="EH284" i="4"/>
  <c r="DW284" i="4"/>
  <c r="DM284" i="4"/>
  <c r="ED284" i="4"/>
  <c r="DS284" i="4"/>
  <c r="DI284" i="4"/>
  <c r="EI284" i="4"/>
  <c r="DY284" i="4"/>
  <c r="DN284" i="4"/>
  <c r="DC284" i="4"/>
  <c r="DR284" i="4"/>
  <c r="EG284" i="4"/>
  <c r="DQ284" i="4"/>
  <c r="EE284" i="4"/>
  <c r="DO284" i="4"/>
  <c r="EC284" i="4"/>
  <c r="DK284" i="4"/>
  <c r="DZ284" i="4"/>
  <c r="DG284" i="4"/>
  <c r="DU284" i="4"/>
  <c r="DE284" i="4"/>
  <c r="DJ284" i="4"/>
  <c r="DF284" i="4"/>
  <c r="EA284" i="4"/>
  <c r="DV284" i="4"/>
  <c r="K140" i="4"/>
  <c r="C140" i="4"/>
  <c r="J140" i="4"/>
  <c r="B140" i="4"/>
  <c r="F12" i="4" s="1"/>
  <c r="Q140" i="4"/>
  <c r="I140" i="4"/>
  <c r="N140" i="4"/>
  <c r="F140" i="4"/>
  <c r="M140" i="4"/>
  <c r="E140" i="4"/>
  <c r="O140" i="4"/>
  <c r="L140" i="4"/>
  <c r="H140" i="4"/>
  <c r="G140" i="4"/>
  <c r="D140" i="4"/>
  <c r="E12" i="4" s="1"/>
  <c r="G12" i="4" s="1"/>
  <c r="P140" i="4"/>
  <c r="EF286" i="4"/>
  <c r="DX286" i="4"/>
  <c r="DP286" i="4"/>
  <c r="DH286" i="4"/>
  <c r="EB286" i="4"/>
  <c r="DT286" i="4"/>
  <c r="DL286" i="4"/>
  <c r="EA286" i="4"/>
  <c r="DQ286" i="4"/>
  <c r="DF286" i="4"/>
  <c r="EH286" i="4"/>
  <c r="DW286" i="4"/>
  <c r="DM286" i="4"/>
  <c r="EC286" i="4"/>
  <c r="DR286" i="4"/>
  <c r="DG286" i="4"/>
  <c r="EE286" i="4"/>
  <c r="DN286" i="4"/>
  <c r="ED286" i="4"/>
  <c r="DK286" i="4"/>
  <c r="DZ286" i="4"/>
  <c r="DJ286" i="4"/>
  <c r="DY286" i="4"/>
  <c r="DI286" i="4"/>
  <c r="DU286" i="4"/>
  <c r="EG286" i="4"/>
  <c r="DO286" i="4"/>
  <c r="EI286" i="4"/>
  <c r="DV286" i="4"/>
  <c r="DS286" i="4"/>
  <c r="DE286" i="4"/>
  <c r="K142" i="4"/>
  <c r="J142" i="4"/>
  <c r="Q142" i="4"/>
  <c r="I142" i="4"/>
  <c r="N142" i="4"/>
  <c r="F142" i="4"/>
  <c r="M142" i="4"/>
  <c r="E142" i="4"/>
  <c r="P142" i="4"/>
  <c r="O142" i="4"/>
  <c r="L142" i="4"/>
  <c r="H142" i="4"/>
  <c r="G142" i="4"/>
  <c r="D142" i="4"/>
  <c r="EB288" i="4"/>
  <c r="DT288" i="4"/>
  <c r="DL288" i="4"/>
  <c r="EF288" i="4"/>
  <c r="DX288" i="4"/>
  <c r="DP288" i="4"/>
  <c r="DH288" i="4"/>
  <c r="ED288" i="4"/>
  <c r="DV288" i="4"/>
  <c r="DN288" i="4"/>
  <c r="EC288" i="4"/>
  <c r="DQ288" i="4"/>
  <c r="DY288" i="4"/>
  <c r="DK288" i="4"/>
  <c r="EE288" i="4"/>
  <c r="DR288" i="4"/>
  <c r="DZ288" i="4"/>
  <c r="DG288" i="4"/>
  <c r="DW288" i="4"/>
  <c r="DU288" i="4"/>
  <c r="DS288" i="4"/>
  <c r="EH288" i="4"/>
  <c r="DM288" i="4"/>
  <c r="EA288" i="4"/>
  <c r="DI288" i="4"/>
  <c r="EI288" i="4"/>
  <c r="EG288" i="4"/>
  <c r="DO288" i="4"/>
  <c r="DJ288" i="4"/>
  <c r="K144" i="4"/>
  <c r="J144" i="4"/>
  <c r="Q144" i="4"/>
  <c r="I144" i="4"/>
  <c r="N144" i="4"/>
  <c r="F144" i="4"/>
  <c r="M144" i="4"/>
  <c r="O144" i="4"/>
  <c r="L144" i="4"/>
  <c r="H144" i="4"/>
  <c r="G144" i="4"/>
  <c r="P144" i="4"/>
  <c r="EF290" i="4"/>
  <c r="DX290" i="4"/>
  <c r="DP290" i="4"/>
  <c r="ED290" i="4"/>
  <c r="DV290" i="4"/>
  <c r="DN290" i="4"/>
  <c r="EB290" i="4"/>
  <c r="DT290" i="4"/>
  <c r="DL290" i="4"/>
  <c r="EH290" i="4"/>
  <c r="DZ290" i="4"/>
  <c r="DR290" i="4"/>
  <c r="DJ290" i="4"/>
  <c r="DY290" i="4"/>
  <c r="DI290" i="4"/>
  <c r="EI290" i="4"/>
  <c r="DS290" i="4"/>
  <c r="EA290" i="4"/>
  <c r="DK290" i="4"/>
  <c r="EC290" i="4"/>
  <c r="DW290" i="4"/>
  <c r="DU290" i="4"/>
  <c r="DQ290" i="4"/>
  <c r="DM290" i="4"/>
  <c r="EE290" i="4"/>
  <c r="EG290" i="4"/>
  <c r="DO290" i="4"/>
  <c r="K146" i="4"/>
  <c r="J146" i="4"/>
  <c r="Q146" i="4"/>
  <c r="I146" i="4"/>
  <c r="N146" i="4"/>
  <c r="M146" i="4"/>
  <c r="P146" i="4"/>
  <c r="O146" i="4"/>
  <c r="L146" i="4"/>
  <c r="H146" i="4"/>
  <c r="EB292" i="4"/>
  <c r="DT292" i="4"/>
  <c r="DL292" i="4"/>
  <c r="EH292" i="4"/>
  <c r="DZ292" i="4"/>
  <c r="DR292" i="4"/>
  <c r="EF292" i="4"/>
  <c r="DX292" i="4"/>
  <c r="DP292" i="4"/>
  <c r="ED292" i="4"/>
  <c r="DV292" i="4"/>
  <c r="DN292" i="4"/>
  <c r="EI292" i="4"/>
  <c r="DS292" i="4"/>
  <c r="EC292" i="4"/>
  <c r="DM292" i="4"/>
  <c r="DU292" i="4"/>
  <c r="DY292" i="4"/>
  <c r="DW292" i="4"/>
  <c r="DQ292" i="4"/>
  <c r="DO292" i="4"/>
  <c r="EG292" i="4"/>
  <c r="EA292" i="4"/>
  <c r="EE292" i="4"/>
  <c r="DK292" i="4"/>
  <c r="K148" i="4"/>
  <c r="J148" i="4"/>
  <c r="Q148" i="4"/>
  <c r="N148" i="4"/>
  <c r="M148" i="4"/>
  <c r="L148" i="4"/>
  <c r="P148" i="4"/>
  <c r="O148" i="4"/>
  <c r="EF294" i="4"/>
  <c r="DX294" i="4"/>
  <c r="DP294" i="4"/>
  <c r="ED294" i="4"/>
  <c r="DV294" i="4"/>
  <c r="DN294" i="4"/>
  <c r="EB294" i="4"/>
  <c r="DT294" i="4"/>
  <c r="EH294" i="4"/>
  <c r="DZ294" i="4"/>
  <c r="DR294" i="4"/>
  <c r="DY294" i="4"/>
  <c r="EI294" i="4"/>
  <c r="DS294" i="4"/>
  <c r="EA294" i="4"/>
  <c r="EG294" i="4"/>
  <c r="EE294" i="4"/>
  <c r="EC294" i="4"/>
  <c r="DW294" i="4"/>
  <c r="DQ294" i="4"/>
  <c r="DM294" i="4"/>
  <c r="DU294" i="4"/>
  <c r="DO294" i="4"/>
  <c r="Q150" i="4"/>
  <c r="N150" i="4"/>
  <c r="M150" i="4"/>
  <c r="P150" i="4"/>
  <c r="O150" i="4"/>
  <c r="L150" i="4"/>
  <c r="EB296" i="4"/>
  <c r="DT296" i="4"/>
  <c r="EH296" i="4"/>
  <c r="DZ296" i="4"/>
  <c r="DR296" i="4"/>
  <c r="EF296" i="4"/>
  <c r="DX296" i="4"/>
  <c r="DP296" i="4"/>
  <c r="ED296" i="4"/>
  <c r="DV296" i="4"/>
  <c r="EA296" i="4"/>
  <c r="DU296" i="4"/>
  <c r="EC296" i="4"/>
  <c r="EG296" i="4"/>
  <c r="EE296" i="4"/>
  <c r="DY296" i="4"/>
  <c r="DW296" i="4"/>
  <c r="DQ296" i="4"/>
  <c r="EI296" i="4"/>
  <c r="DS296" i="4"/>
  <c r="DO296" i="4"/>
  <c r="Q152" i="4"/>
  <c r="N152" i="4"/>
  <c r="P152" i="4"/>
  <c r="O152" i="4"/>
  <c r="EF298" i="4"/>
  <c r="DX298" i="4"/>
  <c r="ED298" i="4"/>
  <c r="DV298" i="4"/>
  <c r="EB298" i="4"/>
  <c r="DT298" i="4"/>
  <c r="EH298" i="4"/>
  <c r="DZ298" i="4"/>
  <c r="DR298" i="4"/>
  <c r="DY298" i="4"/>
  <c r="EI298" i="4"/>
  <c r="DS298" i="4"/>
  <c r="EA298" i="4"/>
  <c r="DW298" i="4"/>
  <c r="DU298" i="4"/>
  <c r="DQ298" i="4"/>
  <c r="EG298" i="4"/>
  <c r="EC298" i="4"/>
  <c r="EE298" i="4"/>
  <c r="Q154" i="4"/>
  <c r="P154" i="4"/>
  <c r="EB300" i="4"/>
  <c r="DT300" i="4"/>
  <c r="EH300" i="4"/>
  <c r="DZ300" i="4"/>
  <c r="EF300" i="4"/>
  <c r="DX300" i="4"/>
  <c r="ED300" i="4"/>
  <c r="DV300" i="4"/>
  <c r="EI300" i="4"/>
  <c r="DS300" i="4"/>
  <c r="EC300" i="4"/>
  <c r="DU300" i="4"/>
  <c r="EG300" i="4"/>
  <c r="EE300" i="4"/>
  <c r="EA300" i="4"/>
  <c r="DY300" i="4"/>
  <c r="DW300" i="4"/>
  <c r="K159" i="4"/>
  <c r="C159" i="4"/>
  <c r="R159" i="4"/>
  <c r="J159" i="4"/>
  <c r="B159" i="4"/>
  <c r="Q159" i="4"/>
  <c r="I159" i="4"/>
  <c r="N159" i="4"/>
  <c r="F159" i="4"/>
  <c r="M159" i="4"/>
  <c r="E159" i="4"/>
  <c r="O159" i="4"/>
  <c r="L159" i="4"/>
  <c r="H159" i="4"/>
  <c r="G159" i="4"/>
  <c r="D159" i="4"/>
  <c r="P159" i="4"/>
  <c r="EF302" i="4"/>
  <c r="DX302" i="4"/>
  <c r="ED302" i="4"/>
  <c r="DV302" i="4"/>
  <c r="EB302" i="4"/>
  <c r="EH302" i="4"/>
  <c r="DZ302" i="4"/>
  <c r="DY302" i="4"/>
  <c r="EI302" i="4"/>
  <c r="EA302" i="4"/>
  <c r="EG302" i="4"/>
  <c r="EE302" i="4"/>
  <c r="EC302" i="4"/>
  <c r="DW302" i="4"/>
  <c r="DU302" i="4"/>
  <c r="Q161" i="4"/>
  <c r="I161" i="4"/>
  <c r="P161" i="4"/>
  <c r="H161" i="4"/>
  <c r="O161" i="4"/>
  <c r="G161" i="4"/>
  <c r="L161" i="4"/>
  <c r="D161" i="4"/>
  <c r="K161" i="4"/>
  <c r="R161" i="4"/>
  <c r="N161" i="4"/>
  <c r="M161" i="4"/>
  <c r="J161" i="4"/>
  <c r="F161" i="4"/>
  <c r="E161" i="4"/>
  <c r="EB304" i="4"/>
  <c r="EH304" i="4"/>
  <c r="DZ304" i="4"/>
  <c r="EF304" i="4"/>
  <c r="DX304" i="4"/>
  <c r="ED304" i="4"/>
  <c r="EA304" i="4"/>
  <c r="EC304" i="4"/>
  <c r="EG304" i="4"/>
  <c r="EE304" i="4"/>
  <c r="DY304" i="4"/>
  <c r="DW304" i="4"/>
  <c r="EI304" i="4"/>
  <c r="O163" i="4"/>
  <c r="G163" i="4"/>
  <c r="N163" i="4"/>
  <c r="F163" i="4"/>
  <c r="M163" i="4"/>
  <c r="R163" i="4"/>
  <c r="J163" i="4"/>
  <c r="Q163" i="4"/>
  <c r="I163" i="4"/>
  <c r="P163" i="4"/>
  <c r="L163" i="4"/>
  <c r="K163" i="4"/>
  <c r="H163" i="4"/>
  <c r="EF306" i="4"/>
  <c r="ED306" i="4"/>
  <c r="EB306" i="4"/>
  <c r="EH306" i="4"/>
  <c r="DZ306" i="4"/>
  <c r="DY306" i="4"/>
  <c r="EI306" i="4"/>
  <c r="EA306" i="4"/>
  <c r="EG306" i="4"/>
  <c r="EE306" i="4"/>
  <c r="EC306" i="4"/>
  <c r="M165" i="4"/>
  <c r="L165" i="4"/>
  <c r="K165" i="4"/>
  <c r="P165" i="4"/>
  <c r="H165" i="4"/>
  <c r="O165" i="4"/>
  <c r="R165" i="4"/>
  <c r="Q165" i="4"/>
  <c r="N165" i="4"/>
  <c r="J165" i="4"/>
  <c r="I165" i="4"/>
  <c r="EB308" i="4"/>
  <c r="EH308" i="4"/>
  <c r="EF308" i="4"/>
  <c r="ED308" i="4"/>
  <c r="EI308" i="4"/>
  <c r="EC308" i="4"/>
  <c r="EG308" i="4"/>
  <c r="EE308" i="4"/>
  <c r="EA308" i="4"/>
  <c r="K167" i="4"/>
  <c r="R167" i="4"/>
  <c r="J167" i="4"/>
  <c r="Q167" i="4"/>
  <c r="N167" i="4"/>
  <c r="M167" i="4"/>
  <c r="P167" i="4"/>
  <c r="O167" i="4"/>
  <c r="L167" i="4"/>
  <c r="EF310" i="4"/>
  <c r="ED310" i="4"/>
  <c r="EH310" i="4"/>
  <c r="EI310" i="4"/>
  <c r="EG310" i="4"/>
  <c r="EE310" i="4"/>
  <c r="EC310" i="4"/>
  <c r="Q169" i="4"/>
  <c r="P169" i="4"/>
  <c r="O169" i="4"/>
  <c r="L169" i="4"/>
  <c r="R169" i="4"/>
  <c r="N169" i="4"/>
  <c r="M169" i="4"/>
  <c r="EH312" i="4"/>
  <c r="EF312" i="4"/>
  <c r="EI312" i="4"/>
  <c r="EG312" i="4"/>
  <c r="EE312" i="4"/>
  <c r="O171" i="4"/>
  <c r="N171" i="4"/>
  <c r="R171" i="4"/>
  <c r="Q171" i="4"/>
  <c r="P171" i="4"/>
  <c r="EH314" i="4"/>
  <c r="EI314" i="4"/>
  <c r="EG314" i="4"/>
  <c r="P173" i="4"/>
  <c r="R173" i="4"/>
  <c r="Q173" i="4"/>
  <c r="EI316" i="4"/>
  <c r="R175" i="4"/>
  <c r="B8" i="2"/>
  <c r="L8" i="2" s="1"/>
  <c r="H40" i="2"/>
  <c r="B41" i="2"/>
  <c r="L41" i="2" s="1"/>
  <c r="D42" i="2"/>
  <c r="F43" i="2"/>
  <c r="H44" i="2"/>
  <c r="J44" i="2" s="1"/>
  <c r="B45" i="2"/>
  <c r="L45" i="2" s="1"/>
  <c r="K63" i="2"/>
  <c r="M63" i="2" s="1"/>
  <c r="E60" i="3"/>
  <c r="D60" i="3"/>
  <c r="C153" i="3"/>
  <c r="F153" i="3" s="1"/>
  <c r="H153" i="3" s="1"/>
  <c r="J5" i="1"/>
  <c r="G10" i="1"/>
  <c r="EG213" i="4"/>
  <c r="DY213" i="4"/>
  <c r="EF213" i="4"/>
  <c r="DW213" i="4"/>
  <c r="DO213" i="4"/>
  <c r="DG213" i="4"/>
  <c r="CY213" i="4"/>
  <c r="CQ213" i="4"/>
  <c r="CI213" i="4"/>
  <c r="CA213" i="4"/>
  <c r="BS213" i="4"/>
  <c r="BK213" i="4"/>
  <c r="BC213" i="4"/>
  <c r="AU213" i="4"/>
  <c r="AM213" i="4"/>
  <c r="ED213" i="4"/>
  <c r="DT213" i="4"/>
  <c r="DK213" i="4"/>
  <c r="DB213" i="4"/>
  <c r="CS213" i="4"/>
  <c r="CJ213" i="4"/>
  <c r="BZ213" i="4"/>
  <c r="BQ213" i="4"/>
  <c r="BH213" i="4"/>
  <c r="AY213" i="4"/>
  <c r="AP213" i="4"/>
  <c r="EC213" i="4"/>
  <c r="DS213" i="4"/>
  <c r="DJ213" i="4"/>
  <c r="DA213" i="4"/>
  <c r="CR213" i="4"/>
  <c r="CH213" i="4"/>
  <c r="BY213" i="4"/>
  <c r="BP213" i="4"/>
  <c r="BG213" i="4"/>
  <c r="AX213" i="4"/>
  <c r="AO213" i="4"/>
  <c r="EB213" i="4"/>
  <c r="DR213" i="4"/>
  <c r="DI213" i="4"/>
  <c r="CZ213" i="4"/>
  <c r="CP213" i="4"/>
  <c r="CG213" i="4"/>
  <c r="BX213" i="4"/>
  <c r="BO213" i="4"/>
  <c r="BF213" i="4"/>
  <c r="AW213" i="4"/>
  <c r="AN213" i="4"/>
  <c r="DZ213" i="4"/>
  <c r="DP213" i="4"/>
  <c r="DF213" i="4"/>
  <c r="CW213" i="4"/>
  <c r="CN213" i="4"/>
  <c r="CE213" i="4"/>
  <c r="BV213" i="4"/>
  <c r="BM213" i="4"/>
  <c r="BD213" i="4"/>
  <c r="AT213" i="4"/>
  <c r="AK213" i="4"/>
  <c r="EE213" i="4"/>
  <c r="DU213" i="4"/>
  <c r="DL213" i="4"/>
  <c r="DC213" i="4"/>
  <c r="CT213" i="4"/>
  <c r="CK213" i="4"/>
  <c r="CB213" i="4"/>
  <c r="BR213" i="4"/>
  <c r="BI213" i="4"/>
  <c r="AZ213" i="4"/>
  <c r="AQ213" i="4"/>
  <c r="DN213" i="4"/>
  <c r="CO213" i="4"/>
  <c r="BT213" i="4"/>
  <c r="AS213" i="4"/>
  <c r="DM213" i="4"/>
  <c r="CM213" i="4"/>
  <c r="BN213" i="4"/>
  <c r="AR213" i="4"/>
  <c r="EI213" i="4"/>
  <c r="DH213" i="4"/>
  <c r="CL213" i="4"/>
  <c r="BL213" i="4"/>
  <c r="AL213" i="4"/>
  <c r="EH213" i="4"/>
  <c r="DE213" i="4"/>
  <c r="CF213" i="4"/>
  <c r="BJ213" i="4"/>
  <c r="AJ213" i="4"/>
  <c r="EA213" i="4"/>
  <c r="DD213" i="4"/>
  <c r="CD213" i="4"/>
  <c r="BE213" i="4"/>
  <c r="DX213" i="4"/>
  <c r="CX213" i="4"/>
  <c r="CC213" i="4"/>
  <c r="BB213" i="4"/>
  <c r="DV213" i="4"/>
  <c r="CV213" i="4"/>
  <c r="BW213" i="4"/>
  <c r="BA213" i="4"/>
  <c r="DQ213" i="4"/>
  <c r="CU213" i="4"/>
  <c r="BU213" i="4"/>
  <c r="AV213" i="4"/>
  <c r="R54" i="4"/>
  <c r="U54" i="4"/>
  <c r="T54" i="4"/>
  <c r="S54" i="4"/>
  <c r="ED221" i="4"/>
  <c r="DV221" i="4"/>
  <c r="DN221" i="4"/>
  <c r="DF221" i="4"/>
  <c r="CX221" i="4"/>
  <c r="CP221" i="4"/>
  <c r="CH221" i="4"/>
  <c r="BZ221" i="4"/>
  <c r="BR221" i="4"/>
  <c r="BJ221" i="4"/>
  <c r="BB221" i="4"/>
  <c r="AT221" i="4"/>
  <c r="EB221" i="4"/>
  <c r="DT221" i="4"/>
  <c r="DL221" i="4"/>
  <c r="DD221" i="4"/>
  <c r="CV221" i="4"/>
  <c r="CN221" i="4"/>
  <c r="CF221" i="4"/>
  <c r="BX221" i="4"/>
  <c r="BP221" i="4"/>
  <c r="BH221" i="4"/>
  <c r="AZ221" i="4"/>
  <c r="AR221" i="4"/>
  <c r="EI221" i="4"/>
  <c r="EA221" i="4"/>
  <c r="DS221" i="4"/>
  <c r="DK221" i="4"/>
  <c r="DC221" i="4"/>
  <c r="CU221" i="4"/>
  <c r="CM221" i="4"/>
  <c r="CE221" i="4"/>
  <c r="BW221" i="4"/>
  <c r="EG221" i="4"/>
  <c r="DY221" i="4"/>
  <c r="DQ221" i="4"/>
  <c r="DI221" i="4"/>
  <c r="DA221" i="4"/>
  <c r="CS221" i="4"/>
  <c r="CK221" i="4"/>
  <c r="CC221" i="4"/>
  <c r="BU221" i="4"/>
  <c r="BM221" i="4"/>
  <c r="BE221" i="4"/>
  <c r="AW221" i="4"/>
  <c r="EF221" i="4"/>
  <c r="DP221" i="4"/>
  <c r="CZ221" i="4"/>
  <c r="CJ221" i="4"/>
  <c r="BT221" i="4"/>
  <c r="BG221" i="4"/>
  <c r="AU221" i="4"/>
  <c r="EE221" i="4"/>
  <c r="DO221" i="4"/>
  <c r="CY221" i="4"/>
  <c r="CI221" i="4"/>
  <c r="BS221" i="4"/>
  <c r="BF221" i="4"/>
  <c r="AS221" i="4"/>
  <c r="EC221" i="4"/>
  <c r="DM221" i="4"/>
  <c r="CW221" i="4"/>
  <c r="CG221" i="4"/>
  <c r="BQ221" i="4"/>
  <c r="BD221" i="4"/>
  <c r="DZ221" i="4"/>
  <c r="DJ221" i="4"/>
  <c r="CT221" i="4"/>
  <c r="CD221" i="4"/>
  <c r="BO221" i="4"/>
  <c r="BC221" i="4"/>
  <c r="DW221" i="4"/>
  <c r="DG221" i="4"/>
  <c r="CQ221" i="4"/>
  <c r="CA221" i="4"/>
  <c r="BL221" i="4"/>
  <c r="AY221" i="4"/>
  <c r="DU221" i="4"/>
  <c r="DE221" i="4"/>
  <c r="CO221" i="4"/>
  <c r="BY221" i="4"/>
  <c r="BK221" i="4"/>
  <c r="AX221" i="4"/>
  <c r="CB221" i="4"/>
  <c r="EH221" i="4"/>
  <c r="BV221" i="4"/>
  <c r="DX221" i="4"/>
  <c r="BN221" i="4"/>
  <c r="DR221" i="4"/>
  <c r="BI221" i="4"/>
  <c r="DH221" i="4"/>
  <c r="BA221" i="4"/>
  <c r="DB221" i="4"/>
  <c r="AV221" i="4"/>
  <c r="CL221" i="4"/>
  <c r="CR221" i="4"/>
  <c r="N65" i="4"/>
  <c r="F65" i="4"/>
  <c r="M65" i="4"/>
  <c r="L65" i="4"/>
  <c r="K65" i="4"/>
  <c r="R65" i="4"/>
  <c r="J65" i="4"/>
  <c r="Q65" i="4"/>
  <c r="I65" i="4"/>
  <c r="P65" i="4"/>
  <c r="H65" i="4"/>
  <c r="O65" i="4"/>
  <c r="G65" i="4"/>
  <c r="C8" i="2"/>
  <c r="G7" i="1"/>
  <c r="N55" i="2"/>
  <c r="D61" i="3"/>
  <c r="F61" i="3" s="1"/>
  <c r="H61" i="3" s="1"/>
  <c r="C151" i="3"/>
  <c r="E153" i="3"/>
  <c r="EF197" i="4"/>
  <c r="DX197" i="4"/>
  <c r="DP197" i="4"/>
  <c r="DH197" i="4"/>
  <c r="CZ197" i="4"/>
  <c r="CR197" i="4"/>
  <c r="CJ197" i="4"/>
  <c r="CB197" i="4"/>
  <c r="BT197" i="4"/>
  <c r="BL197" i="4"/>
  <c r="BD197" i="4"/>
  <c r="AV197" i="4"/>
  <c r="AN197" i="4"/>
  <c r="AF197" i="4"/>
  <c r="X197" i="4"/>
  <c r="EE197" i="4"/>
  <c r="DW197" i="4"/>
  <c r="DO197" i="4"/>
  <c r="DG197" i="4"/>
  <c r="CY197" i="4"/>
  <c r="CQ197" i="4"/>
  <c r="CI197" i="4"/>
  <c r="CA197" i="4"/>
  <c r="BS197" i="4"/>
  <c r="BK197" i="4"/>
  <c r="BC197" i="4"/>
  <c r="AU197" i="4"/>
  <c r="AM197" i="4"/>
  <c r="AE197" i="4"/>
  <c r="W197" i="4"/>
  <c r="ED197" i="4"/>
  <c r="DV197" i="4"/>
  <c r="DN197" i="4"/>
  <c r="DF197" i="4"/>
  <c r="CX197" i="4"/>
  <c r="CP197" i="4"/>
  <c r="CH197" i="4"/>
  <c r="BZ197" i="4"/>
  <c r="BR197" i="4"/>
  <c r="BJ197" i="4"/>
  <c r="BB197" i="4"/>
  <c r="AT197" i="4"/>
  <c r="AL197" i="4"/>
  <c r="AD197" i="4"/>
  <c r="V197" i="4"/>
  <c r="EC197" i="4"/>
  <c r="DU197" i="4"/>
  <c r="DM197" i="4"/>
  <c r="DE197" i="4"/>
  <c r="CW197" i="4"/>
  <c r="CO197" i="4"/>
  <c r="CG197" i="4"/>
  <c r="BY197" i="4"/>
  <c r="BQ197" i="4"/>
  <c r="BI197" i="4"/>
  <c r="BA197" i="4"/>
  <c r="AS197" i="4"/>
  <c r="AK197" i="4"/>
  <c r="AC197" i="4"/>
  <c r="U197" i="4"/>
  <c r="EB197" i="4"/>
  <c r="DT197" i="4"/>
  <c r="DL197" i="4"/>
  <c r="DD197" i="4"/>
  <c r="CV197" i="4"/>
  <c r="CN197" i="4"/>
  <c r="CF197" i="4"/>
  <c r="BX197" i="4"/>
  <c r="BP197" i="4"/>
  <c r="BH197" i="4"/>
  <c r="AZ197" i="4"/>
  <c r="AR197" i="4"/>
  <c r="AJ197" i="4"/>
  <c r="AB197" i="4"/>
  <c r="T197" i="4"/>
  <c r="EI197" i="4"/>
  <c r="EA197" i="4"/>
  <c r="DS197" i="4"/>
  <c r="DK197" i="4"/>
  <c r="DC197" i="4"/>
  <c r="CU197" i="4"/>
  <c r="CM197" i="4"/>
  <c r="CE197" i="4"/>
  <c r="BW197" i="4"/>
  <c r="BO197" i="4"/>
  <c r="BG197" i="4"/>
  <c r="AY197" i="4"/>
  <c r="AQ197" i="4"/>
  <c r="AI197" i="4"/>
  <c r="AA197" i="4"/>
  <c r="EH197" i="4"/>
  <c r="DZ197" i="4"/>
  <c r="DR197" i="4"/>
  <c r="DJ197" i="4"/>
  <c r="DB197" i="4"/>
  <c r="CT197" i="4"/>
  <c r="CL197" i="4"/>
  <c r="CD197" i="4"/>
  <c r="BV197" i="4"/>
  <c r="BN197" i="4"/>
  <c r="BF197" i="4"/>
  <c r="AX197" i="4"/>
  <c r="AP197" i="4"/>
  <c r="AH197" i="4"/>
  <c r="Z197" i="4"/>
  <c r="DQ197" i="4"/>
  <c r="BE197" i="4"/>
  <c r="DI197" i="4"/>
  <c r="AW197" i="4"/>
  <c r="DA197" i="4"/>
  <c r="AO197" i="4"/>
  <c r="CS197" i="4"/>
  <c r="AG197" i="4"/>
  <c r="CK197" i="4"/>
  <c r="Y197" i="4"/>
  <c r="CC197" i="4"/>
  <c r="EG197" i="4"/>
  <c r="BU197" i="4"/>
  <c r="R38" i="4"/>
  <c r="J38" i="4"/>
  <c r="B38" i="4"/>
  <c r="Q38" i="4"/>
  <c r="I38" i="4"/>
  <c r="P38" i="4"/>
  <c r="H38" i="4"/>
  <c r="E7" i="4" s="1"/>
  <c r="G7" i="4" s="1"/>
  <c r="O38" i="4"/>
  <c r="G38" i="4"/>
  <c r="N38" i="4"/>
  <c r="F38" i="4"/>
  <c r="U38" i="4"/>
  <c r="M38" i="4"/>
  <c r="E38" i="4"/>
  <c r="DY197" i="4"/>
  <c r="T38" i="4"/>
  <c r="L38" i="4"/>
  <c r="D38" i="4"/>
  <c r="F7" i="4" s="1"/>
  <c r="BM197" i="4"/>
  <c r="S38" i="4"/>
  <c r="K38" i="4"/>
  <c r="C38" i="4"/>
  <c r="E34" i="1"/>
  <c r="EC219" i="4"/>
  <c r="DU219" i="4"/>
  <c r="DM219" i="4"/>
  <c r="DE219" i="4"/>
  <c r="CW219" i="4"/>
  <c r="CO219" i="4"/>
  <c r="CG219" i="4"/>
  <c r="BY219" i="4"/>
  <c r="BQ219" i="4"/>
  <c r="BI219" i="4"/>
  <c r="BA219" i="4"/>
  <c r="AS219" i="4"/>
  <c r="EH219" i="4"/>
  <c r="DY219" i="4"/>
  <c r="DP219" i="4"/>
  <c r="DG219" i="4"/>
  <c r="CX219" i="4"/>
  <c r="CN219" i="4"/>
  <c r="CE219" i="4"/>
  <c r="BV219" i="4"/>
  <c r="BM219" i="4"/>
  <c r="BD219" i="4"/>
  <c r="AU219" i="4"/>
  <c r="EG219" i="4"/>
  <c r="DX219" i="4"/>
  <c r="DO219" i="4"/>
  <c r="DF219" i="4"/>
  <c r="CV219" i="4"/>
  <c r="CM219" i="4"/>
  <c r="CD219" i="4"/>
  <c r="BU219" i="4"/>
  <c r="BL219" i="4"/>
  <c r="BC219" i="4"/>
  <c r="AT219" i="4"/>
  <c r="EF219" i="4"/>
  <c r="DW219" i="4"/>
  <c r="DN219" i="4"/>
  <c r="DD219" i="4"/>
  <c r="CU219" i="4"/>
  <c r="CL219" i="4"/>
  <c r="CC219" i="4"/>
  <c r="BT219" i="4"/>
  <c r="BK219" i="4"/>
  <c r="BB219" i="4"/>
  <c r="AR219" i="4"/>
  <c r="EE219" i="4"/>
  <c r="DV219" i="4"/>
  <c r="DL219" i="4"/>
  <c r="DC219" i="4"/>
  <c r="CT219" i="4"/>
  <c r="CK219" i="4"/>
  <c r="CB219" i="4"/>
  <c r="BS219" i="4"/>
  <c r="BJ219" i="4"/>
  <c r="AZ219" i="4"/>
  <c r="AQ219" i="4"/>
  <c r="EB219" i="4"/>
  <c r="DS219" i="4"/>
  <c r="DJ219" i="4"/>
  <c r="DA219" i="4"/>
  <c r="CR219" i="4"/>
  <c r="CI219" i="4"/>
  <c r="BZ219" i="4"/>
  <c r="BP219" i="4"/>
  <c r="BG219" i="4"/>
  <c r="AX219" i="4"/>
  <c r="EA219" i="4"/>
  <c r="DR219" i="4"/>
  <c r="DI219" i="4"/>
  <c r="CZ219" i="4"/>
  <c r="CQ219" i="4"/>
  <c r="CH219" i="4"/>
  <c r="BX219" i="4"/>
  <c r="BO219" i="4"/>
  <c r="BF219" i="4"/>
  <c r="AW219" i="4"/>
  <c r="DQ219" i="4"/>
  <c r="CF219" i="4"/>
  <c r="AV219" i="4"/>
  <c r="DK219" i="4"/>
  <c r="CA219" i="4"/>
  <c r="AP219" i="4"/>
  <c r="DH219" i="4"/>
  <c r="BW219" i="4"/>
  <c r="DB219" i="4"/>
  <c r="BR219" i="4"/>
  <c r="EI219" i="4"/>
  <c r="CY219" i="4"/>
  <c r="BN219" i="4"/>
  <c r="ED219" i="4"/>
  <c r="CS219" i="4"/>
  <c r="BH219" i="4"/>
  <c r="DT219" i="4"/>
  <c r="CJ219" i="4"/>
  <c r="AY219" i="4"/>
  <c r="DZ219" i="4"/>
  <c r="CP219" i="4"/>
  <c r="BE219" i="4"/>
  <c r="P63" i="4"/>
  <c r="H63" i="4"/>
  <c r="O63" i="4"/>
  <c r="G63" i="4"/>
  <c r="N63" i="4"/>
  <c r="F63" i="4"/>
  <c r="M63" i="4"/>
  <c r="E63" i="4"/>
  <c r="L63" i="4"/>
  <c r="D63" i="4"/>
  <c r="K63" i="4"/>
  <c r="R63" i="4"/>
  <c r="J63" i="4"/>
  <c r="Q63" i="4"/>
  <c r="I63" i="4"/>
  <c r="EB182" i="4"/>
  <c r="DT182" i="4"/>
  <c r="DL182" i="4"/>
  <c r="DD182" i="4"/>
  <c r="CV182" i="4"/>
  <c r="CN182" i="4"/>
  <c r="CF182" i="4"/>
  <c r="BX182" i="4"/>
  <c r="BP182" i="4"/>
  <c r="BH182" i="4"/>
  <c r="AZ182" i="4"/>
  <c r="AR182" i="4"/>
  <c r="AJ182" i="4"/>
  <c r="AB182" i="4"/>
  <c r="T182" i="4"/>
  <c r="L182" i="4"/>
  <c r="EI182" i="4"/>
  <c r="EA182" i="4"/>
  <c r="DS182" i="4"/>
  <c r="DK182" i="4"/>
  <c r="DC182" i="4"/>
  <c r="CU182" i="4"/>
  <c r="CM182" i="4"/>
  <c r="CE182" i="4"/>
  <c r="BW182" i="4"/>
  <c r="BO182" i="4"/>
  <c r="BG182" i="4"/>
  <c r="AY182" i="4"/>
  <c r="AQ182" i="4"/>
  <c r="AI182" i="4"/>
  <c r="AA182" i="4"/>
  <c r="S182" i="4"/>
  <c r="K182" i="4"/>
  <c r="EH182" i="4"/>
  <c r="DZ182" i="4"/>
  <c r="DR182" i="4"/>
  <c r="DJ182" i="4"/>
  <c r="DB182" i="4"/>
  <c r="CT182" i="4"/>
  <c r="CL182" i="4"/>
  <c r="CD182" i="4"/>
  <c r="BV182" i="4"/>
  <c r="BN182" i="4"/>
  <c r="BF182" i="4"/>
  <c r="AX182" i="4"/>
  <c r="AP182" i="4"/>
  <c r="AH182" i="4"/>
  <c r="Z182" i="4"/>
  <c r="R182" i="4"/>
  <c r="J182" i="4"/>
  <c r="EG182" i="4"/>
  <c r="DY182" i="4"/>
  <c r="DQ182" i="4"/>
  <c r="DI182" i="4"/>
  <c r="DA182" i="4"/>
  <c r="CS182" i="4"/>
  <c r="CK182" i="4"/>
  <c r="CC182" i="4"/>
  <c r="BU182" i="4"/>
  <c r="BM182" i="4"/>
  <c r="BE182" i="4"/>
  <c r="AW182" i="4"/>
  <c r="AO182" i="4"/>
  <c r="AG182" i="4"/>
  <c r="Y182" i="4"/>
  <c r="Q182" i="4"/>
  <c r="I182" i="4"/>
  <c r="EE182" i="4"/>
  <c r="DW182" i="4"/>
  <c r="DO182" i="4"/>
  <c r="DG182" i="4"/>
  <c r="CY182" i="4"/>
  <c r="CQ182" i="4"/>
  <c r="CI182" i="4"/>
  <c r="CA182" i="4"/>
  <c r="BS182" i="4"/>
  <c r="BK182" i="4"/>
  <c r="BC182" i="4"/>
  <c r="AU182" i="4"/>
  <c r="AM182" i="4"/>
  <c r="AE182" i="4"/>
  <c r="W182" i="4"/>
  <c r="O182" i="4"/>
  <c r="G182" i="4"/>
  <c r="ED182" i="4"/>
  <c r="DV182" i="4"/>
  <c r="DN182" i="4"/>
  <c r="DF182" i="4"/>
  <c r="CX182" i="4"/>
  <c r="CP182" i="4"/>
  <c r="CH182" i="4"/>
  <c r="BZ182" i="4"/>
  <c r="BR182" i="4"/>
  <c r="BJ182" i="4"/>
  <c r="BB182" i="4"/>
  <c r="AT182" i="4"/>
  <c r="AL182" i="4"/>
  <c r="AD182" i="4"/>
  <c r="V182" i="4"/>
  <c r="N182" i="4"/>
  <c r="F182" i="4"/>
  <c r="EF182" i="4"/>
  <c r="CZ182" i="4"/>
  <c r="BT182" i="4"/>
  <c r="AN182" i="4"/>
  <c r="H182" i="4"/>
  <c r="P20" i="4"/>
  <c r="H20" i="4"/>
  <c r="EC182" i="4"/>
  <c r="CW182" i="4"/>
  <c r="BQ182" i="4"/>
  <c r="AK182" i="4"/>
  <c r="E182" i="4"/>
  <c r="O20" i="4"/>
  <c r="G20" i="4"/>
  <c r="DX182" i="4"/>
  <c r="CR182" i="4"/>
  <c r="BL182" i="4"/>
  <c r="AF182" i="4"/>
  <c r="N20" i="4"/>
  <c r="F20" i="4"/>
  <c r="DU182" i="4"/>
  <c r="CO182" i="4"/>
  <c r="BI182" i="4"/>
  <c r="AC182" i="4"/>
  <c r="M20" i="4"/>
  <c r="E20" i="4"/>
  <c r="DP182" i="4"/>
  <c r="CJ182" i="4"/>
  <c r="BD182" i="4"/>
  <c r="X182" i="4"/>
  <c r="L20" i="4"/>
  <c r="DM182" i="4"/>
  <c r="CG182" i="4"/>
  <c r="BA182" i="4"/>
  <c r="U182" i="4"/>
  <c r="S20" i="4"/>
  <c r="K20" i="4"/>
  <c r="DH182" i="4"/>
  <c r="CB182" i="4"/>
  <c r="AV182" i="4"/>
  <c r="P182" i="4"/>
  <c r="R20" i="4"/>
  <c r="J20" i="4"/>
  <c r="DE182" i="4"/>
  <c r="BY182" i="4"/>
  <c r="AS182" i="4"/>
  <c r="M182" i="4"/>
  <c r="Q20" i="4"/>
  <c r="I20" i="4"/>
  <c r="EB199" i="4"/>
  <c r="DT199" i="4"/>
  <c r="DL199" i="4"/>
  <c r="DD199" i="4"/>
  <c r="CV199" i="4"/>
  <c r="CN199" i="4"/>
  <c r="CF199" i="4"/>
  <c r="BX199" i="4"/>
  <c r="BP199" i="4"/>
  <c r="BH199" i="4"/>
  <c r="AZ199" i="4"/>
  <c r="AR199" i="4"/>
  <c r="AJ199" i="4"/>
  <c r="AB199" i="4"/>
  <c r="EI199" i="4"/>
  <c r="EA199" i="4"/>
  <c r="DS199" i="4"/>
  <c r="DK199" i="4"/>
  <c r="DC199" i="4"/>
  <c r="CU199" i="4"/>
  <c r="CM199" i="4"/>
  <c r="CE199" i="4"/>
  <c r="BW199" i="4"/>
  <c r="BO199" i="4"/>
  <c r="BG199" i="4"/>
  <c r="AY199" i="4"/>
  <c r="AQ199" i="4"/>
  <c r="AI199" i="4"/>
  <c r="AA199" i="4"/>
  <c r="EH199" i="4"/>
  <c r="DZ199" i="4"/>
  <c r="DR199" i="4"/>
  <c r="DJ199" i="4"/>
  <c r="DB199" i="4"/>
  <c r="CT199" i="4"/>
  <c r="CL199" i="4"/>
  <c r="CD199" i="4"/>
  <c r="BV199" i="4"/>
  <c r="BN199" i="4"/>
  <c r="BF199" i="4"/>
  <c r="AX199" i="4"/>
  <c r="AP199" i="4"/>
  <c r="AH199" i="4"/>
  <c r="Z199" i="4"/>
  <c r="EG199" i="4"/>
  <c r="DY199" i="4"/>
  <c r="DQ199" i="4"/>
  <c r="DI199" i="4"/>
  <c r="DA199" i="4"/>
  <c r="CS199" i="4"/>
  <c r="CK199" i="4"/>
  <c r="CC199" i="4"/>
  <c r="BU199" i="4"/>
  <c r="BM199" i="4"/>
  <c r="BE199" i="4"/>
  <c r="AW199" i="4"/>
  <c r="AO199" i="4"/>
  <c r="AG199" i="4"/>
  <c r="Y199" i="4"/>
  <c r="EF199" i="4"/>
  <c r="DX199" i="4"/>
  <c r="DP199" i="4"/>
  <c r="DH199" i="4"/>
  <c r="CZ199" i="4"/>
  <c r="CR199" i="4"/>
  <c r="CJ199" i="4"/>
  <c r="CB199" i="4"/>
  <c r="BT199" i="4"/>
  <c r="BL199" i="4"/>
  <c r="BD199" i="4"/>
  <c r="AV199" i="4"/>
  <c r="AN199" i="4"/>
  <c r="AF199" i="4"/>
  <c r="X199" i="4"/>
  <c r="EE199" i="4"/>
  <c r="DW199" i="4"/>
  <c r="DO199" i="4"/>
  <c r="DG199" i="4"/>
  <c r="CY199" i="4"/>
  <c r="CQ199" i="4"/>
  <c r="CI199" i="4"/>
  <c r="CA199" i="4"/>
  <c r="BS199" i="4"/>
  <c r="BK199" i="4"/>
  <c r="BC199" i="4"/>
  <c r="AU199" i="4"/>
  <c r="AM199" i="4"/>
  <c r="AE199" i="4"/>
  <c r="W199" i="4"/>
  <c r="ED199" i="4"/>
  <c r="DV199" i="4"/>
  <c r="DN199" i="4"/>
  <c r="DF199" i="4"/>
  <c r="CX199" i="4"/>
  <c r="CP199" i="4"/>
  <c r="CH199" i="4"/>
  <c r="BZ199" i="4"/>
  <c r="BR199" i="4"/>
  <c r="BJ199" i="4"/>
  <c r="BB199" i="4"/>
  <c r="AT199" i="4"/>
  <c r="AL199" i="4"/>
  <c r="AD199" i="4"/>
  <c r="V199" i="4"/>
  <c r="CG199" i="4"/>
  <c r="BY199" i="4"/>
  <c r="EC199" i="4"/>
  <c r="BQ199" i="4"/>
  <c r="DU199" i="4"/>
  <c r="BI199" i="4"/>
  <c r="DM199" i="4"/>
  <c r="BA199" i="4"/>
  <c r="DE199" i="4"/>
  <c r="AS199" i="4"/>
  <c r="CW199" i="4"/>
  <c r="AK199" i="4"/>
  <c r="R40" i="4"/>
  <c r="J40" i="4"/>
  <c r="Q40" i="4"/>
  <c r="I40" i="4"/>
  <c r="P40" i="4"/>
  <c r="H40" i="4"/>
  <c r="CO199" i="4"/>
  <c r="O40" i="4"/>
  <c r="G40" i="4"/>
  <c r="AC199" i="4"/>
  <c r="N40" i="4"/>
  <c r="F40" i="4"/>
  <c r="U40" i="4"/>
  <c r="M40" i="4"/>
  <c r="E40" i="4"/>
  <c r="T40" i="4"/>
  <c r="L40" i="4"/>
  <c r="D40" i="4"/>
  <c r="S40" i="4"/>
  <c r="K40" i="4"/>
  <c r="EH201" i="4"/>
  <c r="DZ201" i="4"/>
  <c r="DR201" i="4"/>
  <c r="DJ201" i="4"/>
  <c r="DB201" i="4"/>
  <c r="CT201" i="4"/>
  <c r="CL201" i="4"/>
  <c r="CD201" i="4"/>
  <c r="BV201" i="4"/>
  <c r="BN201" i="4"/>
  <c r="BF201" i="4"/>
  <c r="AX201" i="4"/>
  <c r="AP201" i="4"/>
  <c r="AH201" i="4"/>
  <c r="Z201" i="4"/>
  <c r="ED201" i="4"/>
  <c r="DV201" i="4"/>
  <c r="DN201" i="4"/>
  <c r="DF201" i="4"/>
  <c r="CX201" i="4"/>
  <c r="CP201" i="4"/>
  <c r="CH201" i="4"/>
  <c r="BZ201" i="4"/>
  <c r="BR201" i="4"/>
  <c r="BJ201" i="4"/>
  <c r="BB201" i="4"/>
  <c r="AT201" i="4"/>
  <c r="AL201" i="4"/>
  <c r="AD201" i="4"/>
  <c r="EC201" i="4"/>
  <c r="DS201" i="4"/>
  <c r="DH201" i="4"/>
  <c r="CW201" i="4"/>
  <c r="CM201" i="4"/>
  <c r="CB201" i="4"/>
  <c r="BQ201" i="4"/>
  <c r="BG201" i="4"/>
  <c r="AV201" i="4"/>
  <c r="AK201" i="4"/>
  <c r="AA201" i="4"/>
  <c r="EB201" i="4"/>
  <c r="DQ201" i="4"/>
  <c r="DG201" i="4"/>
  <c r="CV201" i="4"/>
  <c r="CK201" i="4"/>
  <c r="CA201" i="4"/>
  <c r="BP201" i="4"/>
  <c r="BE201" i="4"/>
  <c r="AU201" i="4"/>
  <c r="AJ201" i="4"/>
  <c r="Y201" i="4"/>
  <c r="EA201" i="4"/>
  <c r="DP201" i="4"/>
  <c r="DE201" i="4"/>
  <c r="CU201" i="4"/>
  <c r="CJ201" i="4"/>
  <c r="BY201" i="4"/>
  <c r="BO201" i="4"/>
  <c r="BD201" i="4"/>
  <c r="AS201" i="4"/>
  <c r="AI201" i="4"/>
  <c r="X201" i="4"/>
  <c r="DY201" i="4"/>
  <c r="DO201" i="4"/>
  <c r="DD201" i="4"/>
  <c r="CS201" i="4"/>
  <c r="CI201" i="4"/>
  <c r="BX201" i="4"/>
  <c r="BM201" i="4"/>
  <c r="BC201" i="4"/>
  <c r="AR201" i="4"/>
  <c r="AG201" i="4"/>
  <c r="EI201" i="4"/>
  <c r="DX201" i="4"/>
  <c r="DM201" i="4"/>
  <c r="DC201" i="4"/>
  <c r="CR201" i="4"/>
  <c r="CG201" i="4"/>
  <c r="BW201" i="4"/>
  <c r="BL201" i="4"/>
  <c r="BA201" i="4"/>
  <c r="AQ201" i="4"/>
  <c r="AF201" i="4"/>
  <c r="EG201" i="4"/>
  <c r="DW201" i="4"/>
  <c r="DL201" i="4"/>
  <c r="DA201" i="4"/>
  <c r="CQ201" i="4"/>
  <c r="CF201" i="4"/>
  <c r="BU201" i="4"/>
  <c r="BK201" i="4"/>
  <c r="AZ201" i="4"/>
  <c r="AO201" i="4"/>
  <c r="AE201" i="4"/>
  <c r="EF201" i="4"/>
  <c r="DU201" i="4"/>
  <c r="DK201" i="4"/>
  <c r="CZ201" i="4"/>
  <c r="CO201" i="4"/>
  <c r="CE201" i="4"/>
  <c r="BT201" i="4"/>
  <c r="BI201" i="4"/>
  <c r="AY201" i="4"/>
  <c r="AN201" i="4"/>
  <c r="AC201" i="4"/>
  <c r="BH201" i="4"/>
  <c r="EE201" i="4"/>
  <c r="AW201" i="4"/>
  <c r="DT201" i="4"/>
  <c r="AM201" i="4"/>
  <c r="DI201" i="4"/>
  <c r="AB201" i="4"/>
  <c r="CY201" i="4"/>
  <c r="CN201" i="4"/>
  <c r="CC201" i="4"/>
  <c r="R42" i="4"/>
  <c r="J42" i="4"/>
  <c r="Q42" i="4"/>
  <c r="I42" i="4"/>
  <c r="P42" i="4"/>
  <c r="H42" i="4"/>
  <c r="O42" i="4"/>
  <c r="G42" i="4"/>
  <c r="N42" i="4"/>
  <c r="F42" i="4"/>
  <c r="U42" i="4"/>
  <c r="M42" i="4"/>
  <c r="BS201" i="4"/>
  <c r="T42" i="4"/>
  <c r="L42" i="4"/>
  <c r="S42" i="4"/>
  <c r="K42" i="4"/>
  <c r="G34" i="1"/>
  <c r="G41" i="1"/>
  <c r="G49" i="1"/>
  <c r="G39" i="2"/>
  <c r="I40" i="2"/>
  <c r="J40" i="2" s="1"/>
  <c r="EH179" i="4"/>
  <c r="DZ179" i="4"/>
  <c r="DR179" i="4"/>
  <c r="DJ179" i="4"/>
  <c r="DB179" i="4"/>
  <c r="CT179" i="4"/>
  <c r="CL179" i="4"/>
  <c r="CD179" i="4"/>
  <c r="BV179" i="4"/>
  <c r="BN179" i="4"/>
  <c r="BF179" i="4"/>
  <c r="AX179" i="4"/>
  <c r="AP179" i="4"/>
  <c r="AH179" i="4"/>
  <c r="Z179" i="4"/>
  <c r="R179" i="4"/>
  <c r="J179" i="4"/>
  <c r="B179" i="4"/>
  <c r="EG179" i="4"/>
  <c r="DY179" i="4"/>
  <c r="DQ179" i="4"/>
  <c r="DI179" i="4"/>
  <c r="DA179" i="4"/>
  <c r="CS179" i="4"/>
  <c r="CK179" i="4"/>
  <c r="CC179" i="4"/>
  <c r="BU179" i="4"/>
  <c r="BM179" i="4"/>
  <c r="BE179" i="4"/>
  <c r="AW179" i="4"/>
  <c r="AO179" i="4"/>
  <c r="AG179" i="4"/>
  <c r="Y179" i="4"/>
  <c r="Q179" i="4"/>
  <c r="I179" i="4"/>
  <c r="EF179" i="4"/>
  <c r="DX179" i="4"/>
  <c r="DP179" i="4"/>
  <c r="DH179" i="4"/>
  <c r="CZ179" i="4"/>
  <c r="CR179" i="4"/>
  <c r="CJ179" i="4"/>
  <c r="CB179" i="4"/>
  <c r="BT179" i="4"/>
  <c r="BL179" i="4"/>
  <c r="BD179" i="4"/>
  <c r="AV179" i="4"/>
  <c r="AN179" i="4"/>
  <c r="AF179" i="4"/>
  <c r="X179" i="4"/>
  <c r="P179" i="4"/>
  <c r="H179" i="4"/>
  <c r="EC179" i="4"/>
  <c r="DU179" i="4"/>
  <c r="DM179" i="4"/>
  <c r="DE179" i="4"/>
  <c r="CW179" i="4"/>
  <c r="CO179" i="4"/>
  <c r="CG179" i="4"/>
  <c r="BY179" i="4"/>
  <c r="BQ179" i="4"/>
  <c r="BI179" i="4"/>
  <c r="BA179" i="4"/>
  <c r="AS179" i="4"/>
  <c r="AK179" i="4"/>
  <c r="AC179" i="4"/>
  <c r="U179" i="4"/>
  <c r="M179" i="4"/>
  <c r="E179" i="4"/>
  <c r="EB179" i="4"/>
  <c r="DT179" i="4"/>
  <c r="DL179" i="4"/>
  <c r="DD179" i="4"/>
  <c r="CV179" i="4"/>
  <c r="CN179" i="4"/>
  <c r="CF179" i="4"/>
  <c r="BX179" i="4"/>
  <c r="BP179" i="4"/>
  <c r="BH179" i="4"/>
  <c r="AZ179" i="4"/>
  <c r="AR179" i="4"/>
  <c r="AJ179" i="4"/>
  <c r="AB179" i="4"/>
  <c r="T179" i="4"/>
  <c r="L179" i="4"/>
  <c r="D179" i="4"/>
  <c r="EE179" i="4"/>
  <c r="DK179" i="4"/>
  <c r="CP179" i="4"/>
  <c r="BS179" i="4"/>
  <c r="AY179" i="4"/>
  <c r="AD179" i="4"/>
  <c r="G179" i="4"/>
  <c r="N17" i="4"/>
  <c r="F17" i="4"/>
  <c r="ED179" i="4"/>
  <c r="DG179" i="4"/>
  <c r="CM179" i="4"/>
  <c r="BR179" i="4"/>
  <c r="AU179" i="4"/>
  <c r="AA179" i="4"/>
  <c r="F179" i="4"/>
  <c r="M17" i="4"/>
  <c r="E17" i="4"/>
  <c r="EA179" i="4"/>
  <c r="DF179" i="4"/>
  <c r="CI179" i="4"/>
  <c r="BO179" i="4"/>
  <c r="AT179" i="4"/>
  <c r="W179" i="4"/>
  <c r="C179" i="4"/>
  <c r="F14" i="4" s="1"/>
  <c r="L17" i="4"/>
  <c r="D17" i="4"/>
  <c r="DW179" i="4"/>
  <c r="DC179" i="4"/>
  <c r="CH179" i="4"/>
  <c r="BK179" i="4"/>
  <c r="AQ179" i="4"/>
  <c r="V179" i="4"/>
  <c r="S17" i="4"/>
  <c r="K17" i="4"/>
  <c r="C17" i="4"/>
  <c r="DV179" i="4"/>
  <c r="CY179" i="4"/>
  <c r="CE179" i="4"/>
  <c r="BJ179" i="4"/>
  <c r="AM179" i="4"/>
  <c r="S179" i="4"/>
  <c r="R17" i="4"/>
  <c r="J17" i="4"/>
  <c r="B17" i="4"/>
  <c r="F6" i="4" s="1"/>
  <c r="DS179" i="4"/>
  <c r="CX179" i="4"/>
  <c r="CA179" i="4"/>
  <c r="BG179" i="4"/>
  <c r="AL179" i="4"/>
  <c r="O179" i="4"/>
  <c r="Q17" i="4"/>
  <c r="I17" i="4"/>
  <c r="DO179" i="4"/>
  <c r="CU179" i="4"/>
  <c r="BZ179" i="4"/>
  <c r="BC179" i="4"/>
  <c r="AI179" i="4"/>
  <c r="N179" i="4"/>
  <c r="P17" i="4"/>
  <c r="H17" i="4"/>
  <c r="EI179" i="4"/>
  <c r="DN179" i="4"/>
  <c r="CQ179" i="4"/>
  <c r="BW179" i="4"/>
  <c r="BB179" i="4"/>
  <c r="AE179" i="4"/>
  <c r="K179" i="4"/>
  <c r="O17" i="4"/>
  <c r="G17" i="4"/>
  <c r="E9" i="1"/>
  <c r="EI187" i="4"/>
  <c r="EA187" i="4"/>
  <c r="DS187" i="4"/>
  <c r="DK187" i="4"/>
  <c r="DC187" i="4"/>
  <c r="CU187" i="4"/>
  <c r="CM187" i="4"/>
  <c r="CE187" i="4"/>
  <c r="BW187" i="4"/>
  <c r="BO187" i="4"/>
  <c r="BG187" i="4"/>
  <c r="AY187" i="4"/>
  <c r="AQ187" i="4"/>
  <c r="AI187" i="4"/>
  <c r="AA187" i="4"/>
  <c r="S187" i="4"/>
  <c r="K187" i="4"/>
  <c r="ED187" i="4"/>
  <c r="DV187" i="4"/>
  <c r="DN187" i="4"/>
  <c r="DF187" i="4"/>
  <c r="CX187" i="4"/>
  <c r="CP187" i="4"/>
  <c r="CH187" i="4"/>
  <c r="BZ187" i="4"/>
  <c r="BR187" i="4"/>
  <c r="BJ187" i="4"/>
  <c r="BB187" i="4"/>
  <c r="AT187" i="4"/>
  <c r="AL187" i="4"/>
  <c r="AD187" i="4"/>
  <c r="V187" i="4"/>
  <c r="N187" i="4"/>
  <c r="EH187" i="4"/>
  <c r="DX187" i="4"/>
  <c r="DM187" i="4"/>
  <c r="DB187" i="4"/>
  <c r="CR187" i="4"/>
  <c r="CG187" i="4"/>
  <c r="BV187" i="4"/>
  <c r="BL187" i="4"/>
  <c r="BA187" i="4"/>
  <c r="AP187" i="4"/>
  <c r="AF187" i="4"/>
  <c r="U187" i="4"/>
  <c r="J187" i="4"/>
  <c r="EG187" i="4"/>
  <c r="DW187" i="4"/>
  <c r="DL187" i="4"/>
  <c r="DA187" i="4"/>
  <c r="CQ187" i="4"/>
  <c r="CF187" i="4"/>
  <c r="BU187" i="4"/>
  <c r="BK187" i="4"/>
  <c r="AZ187" i="4"/>
  <c r="AO187" i="4"/>
  <c r="AE187" i="4"/>
  <c r="T187" i="4"/>
  <c r="EF187" i="4"/>
  <c r="DU187" i="4"/>
  <c r="DJ187" i="4"/>
  <c r="CZ187" i="4"/>
  <c r="CO187" i="4"/>
  <c r="CD187" i="4"/>
  <c r="BT187" i="4"/>
  <c r="BI187" i="4"/>
  <c r="AX187" i="4"/>
  <c r="AN187" i="4"/>
  <c r="AC187" i="4"/>
  <c r="R187" i="4"/>
  <c r="EE187" i="4"/>
  <c r="DT187" i="4"/>
  <c r="DI187" i="4"/>
  <c r="CY187" i="4"/>
  <c r="CN187" i="4"/>
  <c r="CC187" i="4"/>
  <c r="BS187" i="4"/>
  <c r="BH187" i="4"/>
  <c r="AW187" i="4"/>
  <c r="AM187" i="4"/>
  <c r="AB187" i="4"/>
  <c r="Q187" i="4"/>
  <c r="EC187" i="4"/>
  <c r="DR187" i="4"/>
  <c r="DH187" i="4"/>
  <c r="CW187" i="4"/>
  <c r="CL187" i="4"/>
  <c r="CB187" i="4"/>
  <c r="BQ187" i="4"/>
  <c r="BF187" i="4"/>
  <c r="AV187" i="4"/>
  <c r="AK187" i="4"/>
  <c r="Z187" i="4"/>
  <c r="P187" i="4"/>
  <c r="EB187" i="4"/>
  <c r="DQ187" i="4"/>
  <c r="DG187" i="4"/>
  <c r="CV187" i="4"/>
  <c r="CK187" i="4"/>
  <c r="CA187" i="4"/>
  <c r="BP187" i="4"/>
  <c r="BE187" i="4"/>
  <c r="AU187" i="4"/>
  <c r="AJ187" i="4"/>
  <c r="Y187" i="4"/>
  <c r="O187" i="4"/>
  <c r="DZ187" i="4"/>
  <c r="DP187" i="4"/>
  <c r="DE187" i="4"/>
  <c r="CT187" i="4"/>
  <c r="CJ187" i="4"/>
  <c r="BY187" i="4"/>
  <c r="BN187" i="4"/>
  <c r="BD187" i="4"/>
  <c r="AS187" i="4"/>
  <c r="AH187" i="4"/>
  <c r="X187" i="4"/>
  <c r="M187" i="4"/>
  <c r="BC187" i="4"/>
  <c r="N25" i="4"/>
  <c r="DY187" i="4"/>
  <c r="AR187" i="4"/>
  <c r="M25" i="4"/>
  <c r="DO187" i="4"/>
  <c r="AG187" i="4"/>
  <c r="L25" i="4"/>
  <c r="DD187" i="4"/>
  <c r="W187" i="4"/>
  <c r="S25" i="4"/>
  <c r="K25" i="4"/>
  <c r="CS187" i="4"/>
  <c r="L187" i="4"/>
  <c r="R25" i="4"/>
  <c r="J25" i="4"/>
  <c r="CI187" i="4"/>
  <c r="Q25" i="4"/>
  <c r="BX187" i="4"/>
  <c r="P25" i="4"/>
  <c r="BM187" i="4"/>
  <c r="O25" i="4"/>
  <c r="G15" i="1"/>
  <c r="G17" i="1"/>
  <c r="ED194" i="4"/>
  <c r="DV194" i="4"/>
  <c r="DN194" i="4"/>
  <c r="DF194" i="4"/>
  <c r="CX194" i="4"/>
  <c r="CP194" i="4"/>
  <c r="CH194" i="4"/>
  <c r="BZ194" i="4"/>
  <c r="BR194" i="4"/>
  <c r="BJ194" i="4"/>
  <c r="BB194" i="4"/>
  <c r="AT194" i="4"/>
  <c r="AL194" i="4"/>
  <c r="AD194" i="4"/>
  <c r="V194" i="4"/>
  <c r="EC194" i="4"/>
  <c r="DU194" i="4"/>
  <c r="DM194" i="4"/>
  <c r="DE194" i="4"/>
  <c r="CW194" i="4"/>
  <c r="CO194" i="4"/>
  <c r="CG194" i="4"/>
  <c r="BY194" i="4"/>
  <c r="BQ194" i="4"/>
  <c r="BI194" i="4"/>
  <c r="BA194" i="4"/>
  <c r="AS194" i="4"/>
  <c r="AK194" i="4"/>
  <c r="AC194" i="4"/>
  <c r="U194" i="4"/>
  <c r="EB194" i="4"/>
  <c r="DT194" i="4"/>
  <c r="DL194" i="4"/>
  <c r="DD194" i="4"/>
  <c r="CV194" i="4"/>
  <c r="CN194" i="4"/>
  <c r="CF194" i="4"/>
  <c r="BX194" i="4"/>
  <c r="BP194" i="4"/>
  <c r="BH194" i="4"/>
  <c r="AZ194" i="4"/>
  <c r="AR194" i="4"/>
  <c r="AJ194" i="4"/>
  <c r="AB194" i="4"/>
  <c r="T194" i="4"/>
  <c r="EI194" i="4"/>
  <c r="EA194" i="4"/>
  <c r="DS194" i="4"/>
  <c r="DK194" i="4"/>
  <c r="DC194" i="4"/>
  <c r="CU194" i="4"/>
  <c r="CM194" i="4"/>
  <c r="CE194" i="4"/>
  <c r="BW194" i="4"/>
  <c r="BO194" i="4"/>
  <c r="BG194" i="4"/>
  <c r="AY194" i="4"/>
  <c r="AQ194" i="4"/>
  <c r="AI194" i="4"/>
  <c r="AA194" i="4"/>
  <c r="S194" i="4"/>
  <c r="EH194" i="4"/>
  <c r="DZ194" i="4"/>
  <c r="DR194" i="4"/>
  <c r="DJ194" i="4"/>
  <c r="DB194" i="4"/>
  <c r="CT194" i="4"/>
  <c r="CL194" i="4"/>
  <c r="CD194" i="4"/>
  <c r="BV194" i="4"/>
  <c r="BN194" i="4"/>
  <c r="BF194" i="4"/>
  <c r="AX194" i="4"/>
  <c r="AP194" i="4"/>
  <c r="AH194" i="4"/>
  <c r="Z194" i="4"/>
  <c r="R194" i="4"/>
  <c r="EG194" i="4"/>
  <c r="DY194" i="4"/>
  <c r="DQ194" i="4"/>
  <c r="DI194" i="4"/>
  <c r="DA194" i="4"/>
  <c r="CS194" i="4"/>
  <c r="CK194" i="4"/>
  <c r="CC194" i="4"/>
  <c r="BU194" i="4"/>
  <c r="BM194" i="4"/>
  <c r="BE194" i="4"/>
  <c r="AW194" i="4"/>
  <c r="AO194" i="4"/>
  <c r="AG194" i="4"/>
  <c r="Y194" i="4"/>
  <c r="Q194" i="4"/>
  <c r="EF194" i="4"/>
  <c r="DX194" i="4"/>
  <c r="DP194" i="4"/>
  <c r="DH194" i="4"/>
  <c r="CZ194" i="4"/>
  <c r="CR194" i="4"/>
  <c r="CJ194" i="4"/>
  <c r="CB194" i="4"/>
  <c r="BT194" i="4"/>
  <c r="BL194" i="4"/>
  <c r="BD194" i="4"/>
  <c r="AV194" i="4"/>
  <c r="AN194" i="4"/>
  <c r="AF194" i="4"/>
  <c r="X194" i="4"/>
  <c r="DW194" i="4"/>
  <c r="BK194" i="4"/>
  <c r="DO194" i="4"/>
  <c r="BC194" i="4"/>
  <c r="DG194" i="4"/>
  <c r="AU194" i="4"/>
  <c r="CY194" i="4"/>
  <c r="AM194" i="4"/>
  <c r="CQ194" i="4"/>
  <c r="AE194" i="4"/>
  <c r="CI194" i="4"/>
  <c r="W194" i="4"/>
  <c r="CA194" i="4"/>
  <c r="S32" i="4"/>
  <c r="EE194" i="4"/>
  <c r="R32" i="4"/>
  <c r="BS194" i="4"/>
  <c r="Q32" i="4"/>
  <c r="G24" i="1"/>
  <c r="E26" i="1"/>
  <c r="E28" i="1"/>
  <c r="EB205" i="4"/>
  <c r="DT205" i="4"/>
  <c r="DL205" i="4"/>
  <c r="DD205" i="4"/>
  <c r="CV205" i="4"/>
  <c r="CN205" i="4"/>
  <c r="CF205" i="4"/>
  <c r="BX205" i="4"/>
  <c r="BP205" i="4"/>
  <c r="BH205" i="4"/>
  <c r="AZ205" i="4"/>
  <c r="AR205" i="4"/>
  <c r="AJ205" i="4"/>
  <c r="AB205" i="4"/>
  <c r="EI205" i="4"/>
  <c r="EA205" i="4"/>
  <c r="DS205" i="4"/>
  <c r="DK205" i="4"/>
  <c r="DC205" i="4"/>
  <c r="CU205" i="4"/>
  <c r="CM205" i="4"/>
  <c r="CE205" i="4"/>
  <c r="BW205" i="4"/>
  <c r="BO205" i="4"/>
  <c r="BG205" i="4"/>
  <c r="AY205" i="4"/>
  <c r="AQ205" i="4"/>
  <c r="AI205" i="4"/>
  <c r="EH205" i="4"/>
  <c r="DZ205" i="4"/>
  <c r="DR205" i="4"/>
  <c r="DJ205" i="4"/>
  <c r="DB205" i="4"/>
  <c r="CT205" i="4"/>
  <c r="CL205" i="4"/>
  <c r="CD205" i="4"/>
  <c r="BV205" i="4"/>
  <c r="BN205" i="4"/>
  <c r="BF205" i="4"/>
  <c r="AX205" i="4"/>
  <c r="AP205" i="4"/>
  <c r="AH205" i="4"/>
  <c r="EG205" i="4"/>
  <c r="DY205" i="4"/>
  <c r="DQ205" i="4"/>
  <c r="DI205" i="4"/>
  <c r="DA205" i="4"/>
  <c r="CS205" i="4"/>
  <c r="CK205" i="4"/>
  <c r="CC205" i="4"/>
  <c r="BU205" i="4"/>
  <c r="BM205" i="4"/>
  <c r="BE205" i="4"/>
  <c r="AW205" i="4"/>
  <c r="AO205" i="4"/>
  <c r="AG205" i="4"/>
  <c r="EE205" i="4"/>
  <c r="DW205" i="4"/>
  <c r="DO205" i="4"/>
  <c r="DG205" i="4"/>
  <c r="CY205" i="4"/>
  <c r="CQ205" i="4"/>
  <c r="CI205" i="4"/>
  <c r="CA205" i="4"/>
  <c r="BS205" i="4"/>
  <c r="BK205" i="4"/>
  <c r="BC205" i="4"/>
  <c r="AU205" i="4"/>
  <c r="AM205" i="4"/>
  <c r="AE205" i="4"/>
  <c r="ED205" i="4"/>
  <c r="DV205" i="4"/>
  <c r="DN205" i="4"/>
  <c r="DF205" i="4"/>
  <c r="CX205" i="4"/>
  <c r="CP205" i="4"/>
  <c r="CH205" i="4"/>
  <c r="BZ205" i="4"/>
  <c r="BR205" i="4"/>
  <c r="BJ205" i="4"/>
  <c r="BB205" i="4"/>
  <c r="AT205" i="4"/>
  <c r="AL205" i="4"/>
  <c r="AD205" i="4"/>
  <c r="DH205" i="4"/>
  <c r="CB205" i="4"/>
  <c r="AV205" i="4"/>
  <c r="DE205" i="4"/>
  <c r="BY205" i="4"/>
  <c r="AS205" i="4"/>
  <c r="EF205" i="4"/>
  <c r="CZ205" i="4"/>
  <c r="BT205" i="4"/>
  <c r="AN205" i="4"/>
  <c r="EC205" i="4"/>
  <c r="CW205" i="4"/>
  <c r="BQ205" i="4"/>
  <c r="AK205" i="4"/>
  <c r="DX205" i="4"/>
  <c r="CR205" i="4"/>
  <c r="BL205" i="4"/>
  <c r="AF205" i="4"/>
  <c r="DU205" i="4"/>
  <c r="CO205" i="4"/>
  <c r="BI205" i="4"/>
  <c r="AC205" i="4"/>
  <c r="DP205" i="4"/>
  <c r="CJ205" i="4"/>
  <c r="BD205" i="4"/>
  <c r="DM205" i="4"/>
  <c r="CG205" i="4"/>
  <c r="R46" i="4"/>
  <c r="J46" i="4"/>
  <c r="BA205" i="4"/>
  <c r="Q46" i="4"/>
  <c r="P46" i="4"/>
  <c r="O46" i="4"/>
  <c r="N46" i="4"/>
  <c r="U46" i="4"/>
  <c r="M46" i="4"/>
  <c r="T46" i="4"/>
  <c r="L46" i="4"/>
  <c r="S46" i="4"/>
  <c r="K46" i="4"/>
  <c r="ED208" i="4"/>
  <c r="DV208" i="4"/>
  <c r="DN208" i="4"/>
  <c r="DF208" i="4"/>
  <c r="CX208" i="4"/>
  <c r="CP208" i="4"/>
  <c r="CH208" i="4"/>
  <c r="BZ208" i="4"/>
  <c r="BR208" i="4"/>
  <c r="BJ208" i="4"/>
  <c r="BB208" i="4"/>
  <c r="AT208" i="4"/>
  <c r="AL208" i="4"/>
  <c r="EC208" i="4"/>
  <c r="DU208" i="4"/>
  <c r="DM208" i="4"/>
  <c r="DE208" i="4"/>
  <c r="CW208" i="4"/>
  <c r="CO208" i="4"/>
  <c r="CG208" i="4"/>
  <c r="BY208" i="4"/>
  <c r="BQ208" i="4"/>
  <c r="BI208" i="4"/>
  <c r="BA208" i="4"/>
  <c r="AS208" i="4"/>
  <c r="AK208" i="4"/>
  <c r="EB208" i="4"/>
  <c r="DT208" i="4"/>
  <c r="DL208" i="4"/>
  <c r="DD208" i="4"/>
  <c r="CV208" i="4"/>
  <c r="CN208" i="4"/>
  <c r="CF208" i="4"/>
  <c r="BX208" i="4"/>
  <c r="BP208" i="4"/>
  <c r="BH208" i="4"/>
  <c r="AZ208" i="4"/>
  <c r="AR208" i="4"/>
  <c r="AJ208" i="4"/>
  <c r="EI208" i="4"/>
  <c r="EA208" i="4"/>
  <c r="DS208" i="4"/>
  <c r="DK208" i="4"/>
  <c r="DC208" i="4"/>
  <c r="CU208" i="4"/>
  <c r="CM208" i="4"/>
  <c r="CE208" i="4"/>
  <c r="BW208" i="4"/>
  <c r="BO208" i="4"/>
  <c r="BG208" i="4"/>
  <c r="AY208" i="4"/>
  <c r="AQ208" i="4"/>
  <c r="AI208" i="4"/>
  <c r="EG208" i="4"/>
  <c r="DY208" i="4"/>
  <c r="DQ208" i="4"/>
  <c r="DI208" i="4"/>
  <c r="DA208" i="4"/>
  <c r="CS208" i="4"/>
  <c r="CK208" i="4"/>
  <c r="CC208" i="4"/>
  <c r="BU208" i="4"/>
  <c r="BM208" i="4"/>
  <c r="BE208" i="4"/>
  <c r="AW208" i="4"/>
  <c r="AO208" i="4"/>
  <c r="AG208" i="4"/>
  <c r="EF208" i="4"/>
  <c r="DX208" i="4"/>
  <c r="DP208" i="4"/>
  <c r="DH208" i="4"/>
  <c r="CZ208" i="4"/>
  <c r="CR208" i="4"/>
  <c r="CJ208" i="4"/>
  <c r="CB208" i="4"/>
  <c r="BT208" i="4"/>
  <c r="BL208" i="4"/>
  <c r="BD208" i="4"/>
  <c r="AV208" i="4"/>
  <c r="AN208" i="4"/>
  <c r="AF208" i="4"/>
  <c r="DO208" i="4"/>
  <c r="CI208" i="4"/>
  <c r="BC208" i="4"/>
  <c r="DJ208" i="4"/>
  <c r="CD208" i="4"/>
  <c r="AX208" i="4"/>
  <c r="DG208" i="4"/>
  <c r="CA208" i="4"/>
  <c r="AU208" i="4"/>
  <c r="EH208" i="4"/>
  <c r="DB208" i="4"/>
  <c r="BV208" i="4"/>
  <c r="AP208" i="4"/>
  <c r="EE208" i="4"/>
  <c r="CY208" i="4"/>
  <c r="BS208" i="4"/>
  <c r="AM208" i="4"/>
  <c r="DZ208" i="4"/>
  <c r="CT208" i="4"/>
  <c r="BN208" i="4"/>
  <c r="AH208" i="4"/>
  <c r="DW208" i="4"/>
  <c r="CQ208" i="4"/>
  <c r="BK208" i="4"/>
  <c r="AE208" i="4"/>
  <c r="DR208" i="4"/>
  <c r="CL208" i="4"/>
  <c r="BF208" i="4"/>
  <c r="N49" i="4"/>
  <c r="U49" i="4"/>
  <c r="M49" i="4"/>
  <c r="T49" i="4"/>
  <c r="S49" i="4"/>
  <c r="R49" i="4"/>
  <c r="Q49" i="4"/>
  <c r="P49" i="4"/>
  <c r="O49" i="4"/>
  <c r="EC210" i="4"/>
  <c r="DU210" i="4"/>
  <c r="DM210" i="4"/>
  <c r="DE210" i="4"/>
  <c r="EI210" i="4"/>
  <c r="DZ210" i="4"/>
  <c r="DQ210" i="4"/>
  <c r="DH210" i="4"/>
  <c r="CY210" i="4"/>
  <c r="CQ210" i="4"/>
  <c r="CI210" i="4"/>
  <c r="CA210" i="4"/>
  <c r="BS210" i="4"/>
  <c r="BK210" i="4"/>
  <c r="BC210" i="4"/>
  <c r="AU210" i="4"/>
  <c r="AM210" i="4"/>
  <c r="EH210" i="4"/>
  <c r="DY210" i="4"/>
  <c r="DP210" i="4"/>
  <c r="DG210" i="4"/>
  <c r="EB210" i="4"/>
  <c r="DS210" i="4"/>
  <c r="DJ210" i="4"/>
  <c r="DA210" i="4"/>
  <c r="CS210" i="4"/>
  <c r="EG210" i="4"/>
  <c r="DT210" i="4"/>
  <c r="DD210" i="4"/>
  <c r="CT210" i="4"/>
  <c r="CJ210" i="4"/>
  <c r="BZ210" i="4"/>
  <c r="BQ210" i="4"/>
  <c r="BH210" i="4"/>
  <c r="AY210" i="4"/>
  <c r="AP210" i="4"/>
  <c r="AG210" i="4"/>
  <c r="EF210" i="4"/>
  <c r="DR210" i="4"/>
  <c r="DC210" i="4"/>
  <c r="CR210" i="4"/>
  <c r="CH210" i="4"/>
  <c r="BY210" i="4"/>
  <c r="BP210" i="4"/>
  <c r="BG210" i="4"/>
  <c r="AX210" i="4"/>
  <c r="AO210" i="4"/>
  <c r="EE210" i="4"/>
  <c r="DO210" i="4"/>
  <c r="DB210" i="4"/>
  <c r="CP210" i="4"/>
  <c r="CG210" i="4"/>
  <c r="BX210" i="4"/>
  <c r="BO210" i="4"/>
  <c r="BF210" i="4"/>
  <c r="AW210" i="4"/>
  <c r="AN210" i="4"/>
  <c r="ED210" i="4"/>
  <c r="DN210" i="4"/>
  <c r="CZ210" i="4"/>
  <c r="CO210" i="4"/>
  <c r="CF210" i="4"/>
  <c r="BW210" i="4"/>
  <c r="BN210" i="4"/>
  <c r="BE210" i="4"/>
  <c r="AV210" i="4"/>
  <c r="AL210" i="4"/>
  <c r="EA210" i="4"/>
  <c r="DL210" i="4"/>
  <c r="CX210" i="4"/>
  <c r="CN210" i="4"/>
  <c r="CE210" i="4"/>
  <c r="BV210" i="4"/>
  <c r="BM210" i="4"/>
  <c r="BD210" i="4"/>
  <c r="AT210" i="4"/>
  <c r="AK210" i="4"/>
  <c r="DX210" i="4"/>
  <c r="DK210" i="4"/>
  <c r="CW210" i="4"/>
  <c r="CM210" i="4"/>
  <c r="CD210" i="4"/>
  <c r="BU210" i="4"/>
  <c r="BL210" i="4"/>
  <c r="BB210" i="4"/>
  <c r="AS210" i="4"/>
  <c r="AJ210" i="4"/>
  <c r="DW210" i="4"/>
  <c r="DI210" i="4"/>
  <c r="CV210" i="4"/>
  <c r="CL210" i="4"/>
  <c r="CC210" i="4"/>
  <c r="BT210" i="4"/>
  <c r="BJ210" i="4"/>
  <c r="BA210" i="4"/>
  <c r="AR210" i="4"/>
  <c r="AI210" i="4"/>
  <c r="BR210" i="4"/>
  <c r="BI210" i="4"/>
  <c r="AZ210" i="4"/>
  <c r="DV210" i="4"/>
  <c r="AQ210" i="4"/>
  <c r="DF210" i="4"/>
  <c r="AH210" i="4"/>
  <c r="CU210" i="4"/>
  <c r="CK210" i="4"/>
  <c r="U51" i="4"/>
  <c r="T51" i="4"/>
  <c r="S51" i="4"/>
  <c r="R51" i="4"/>
  <c r="CB210" i="4"/>
  <c r="Q51" i="4"/>
  <c r="P51" i="4"/>
  <c r="O51" i="4"/>
  <c r="G38" i="1"/>
  <c r="E40" i="1"/>
  <c r="EE218" i="4"/>
  <c r="DW218" i="4"/>
  <c r="DO218" i="4"/>
  <c r="DG218" i="4"/>
  <c r="CY218" i="4"/>
  <c r="CQ218" i="4"/>
  <c r="CI218" i="4"/>
  <c r="CA218" i="4"/>
  <c r="BS218" i="4"/>
  <c r="BK218" i="4"/>
  <c r="BC218" i="4"/>
  <c r="AU218" i="4"/>
  <c r="EF218" i="4"/>
  <c r="DV218" i="4"/>
  <c r="DM218" i="4"/>
  <c r="DD218" i="4"/>
  <c r="CU218" i="4"/>
  <c r="CL218" i="4"/>
  <c r="CC218" i="4"/>
  <c r="ED218" i="4"/>
  <c r="DU218" i="4"/>
  <c r="DL218" i="4"/>
  <c r="DC218" i="4"/>
  <c r="CT218" i="4"/>
  <c r="CK218" i="4"/>
  <c r="CB218" i="4"/>
  <c r="BR218" i="4"/>
  <c r="BI218" i="4"/>
  <c r="AZ218" i="4"/>
  <c r="AQ218" i="4"/>
  <c r="EC218" i="4"/>
  <c r="DT218" i="4"/>
  <c r="DK218" i="4"/>
  <c r="DB218" i="4"/>
  <c r="CS218" i="4"/>
  <c r="CJ218" i="4"/>
  <c r="BZ218" i="4"/>
  <c r="BQ218" i="4"/>
  <c r="BH218" i="4"/>
  <c r="AY218" i="4"/>
  <c r="AP218" i="4"/>
  <c r="EB218" i="4"/>
  <c r="DS218" i="4"/>
  <c r="DJ218" i="4"/>
  <c r="DA218" i="4"/>
  <c r="CR218" i="4"/>
  <c r="CH218" i="4"/>
  <c r="BY218" i="4"/>
  <c r="BP218" i="4"/>
  <c r="BG218" i="4"/>
  <c r="AX218" i="4"/>
  <c r="AO218" i="4"/>
  <c r="EI218" i="4"/>
  <c r="DZ218" i="4"/>
  <c r="DQ218" i="4"/>
  <c r="DH218" i="4"/>
  <c r="CX218" i="4"/>
  <c r="CO218" i="4"/>
  <c r="CF218" i="4"/>
  <c r="BW218" i="4"/>
  <c r="BN218" i="4"/>
  <c r="BE218" i="4"/>
  <c r="AV218" i="4"/>
  <c r="EH218" i="4"/>
  <c r="DY218" i="4"/>
  <c r="DP218" i="4"/>
  <c r="DF218" i="4"/>
  <c r="CW218" i="4"/>
  <c r="CN218" i="4"/>
  <c r="CE218" i="4"/>
  <c r="BV218" i="4"/>
  <c r="BM218" i="4"/>
  <c r="BD218" i="4"/>
  <c r="AT218" i="4"/>
  <c r="DE218" i="4"/>
  <c r="BU218" i="4"/>
  <c r="AW218" i="4"/>
  <c r="CZ218" i="4"/>
  <c r="BT218" i="4"/>
  <c r="AS218" i="4"/>
  <c r="EG218" i="4"/>
  <c r="CV218" i="4"/>
  <c r="BO218" i="4"/>
  <c r="AR218" i="4"/>
  <c r="EA218" i="4"/>
  <c r="CP218" i="4"/>
  <c r="BL218" i="4"/>
  <c r="DX218" i="4"/>
  <c r="CM218" i="4"/>
  <c r="BJ218" i="4"/>
  <c r="DR218" i="4"/>
  <c r="CG218" i="4"/>
  <c r="BF218" i="4"/>
  <c r="DI218" i="4"/>
  <c r="BX218" i="4"/>
  <c r="BA218" i="4"/>
  <c r="CD218" i="4"/>
  <c r="BB218" i="4"/>
  <c r="DN218" i="4"/>
  <c r="Q62" i="4"/>
  <c r="I62" i="4"/>
  <c r="P62" i="4"/>
  <c r="H62" i="4"/>
  <c r="O62" i="4"/>
  <c r="G62" i="4"/>
  <c r="N62" i="4"/>
  <c r="F62" i="4"/>
  <c r="M62" i="4"/>
  <c r="E62" i="4"/>
  <c r="L62" i="4"/>
  <c r="D62" i="4"/>
  <c r="K62" i="4"/>
  <c r="C62" i="4"/>
  <c r="R62" i="4"/>
  <c r="J62" i="4"/>
  <c r="G46" i="1"/>
  <c r="E48" i="1"/>
  <c r="G51" i="1"/>
  <c r="G53" i="1"/>
  <c r="N14" i="2"/>
  <c r="F38" i="2"/>
  <c r="H39" i="2"/>
  <c r="B40" i="2"/>
  <c r="L40" i="2" s="1"/>
  <c r="D41" i="2"/>
  <c r="F42" i="2"/>
  <c r="H43" i="2"/>
  <c r="B44" i="2"/>
  <c r="L44" i="2" s="1"/>
  <c r="D45" i="2"/>
  <c r="N51" i="2"/>
  <c r="E6" i="1"/>
  <c r="F16" i="1" s="1"/>
  <c r="J7" i="1"/>
  <c r="EF184" i="4"/>
  <c r="DX184" i="4"/>
  <c r="DP184" i="4"/>
  <c r="DH184" i="4"/>
  <c r="CZ184" i="4"/>
  <c r="CR184" i="4"/>
  <c r="CJ184" i="4"/>
  <c r="CB184" i="4"/>
  <c r="BT184" i="4"/>
  <c r="BL184" i="4"/>
  <c r="BD184" i="4"/>
  <c r="AV184" i="4"/>
  <c r="AN184" i="4"/>
  <c r="AF184" i="4"/>
  <c r="X184" i="4"/>
  <c r="P184" i="4"/>
  <c r="H184" i="4"/>
  <c r="EE184" i="4"/>
  <c r="DW184" i="4"/>
  <c r="DO184" i="4"/>
  <c r="DG184" i="4"/>
  <c r="CY184" i="4"/>
  <c r="CQ184" i="4"/>
  <c r="CI184" i="4"/>
  <c r="CA184" i="4"/>
  <c r="BS184" i="4"/>
  <c r="BK184" i="4"/>
  <c r="BC184" i="4"/>
  <c r="AU184" i="4"/>
  <c r="AM184" i="4"/>
  <c r="AE184" i="4"/>
  <c r="W184" i="4"/>
  <c r="O184" i="4"/>
  <c r="G184" i="4"/>
  <c r="ED184" i="4"/>
  <c r="DV184" i="4"/>
  <c r="DN184" i="4"/>
  <c r="DF184" i="4"/>
  <c r="CX184" i="4"/>
  <c r="CP184" i="4"/>
  <c r="CH184" i="4"/>
  <c r="BZ184" i="4"/>
  <c r="BR184" i="4"/>
  <c r="BJ184" i="4"/>
  <c r="BB184" i="4"/>
  <c r="AT184" i="4"/>
  <c r="AL184" i="4"/>
  <c r="AD184" i="4"/>
  <c r="V184" i="4"/>
  <c r="N184" i="4"/>
  <c r="EC184" i="4"/>
  <c r="DU184" i="4"/>
  <c r="DM184" i="4"/>
  <c r="DE184" i="4"/>
  <c r="CW184" i="4"/>
  <c r="CO184" i="4"/>
  <c r="CG184" i="4"/>
  <c r="BY184" i="4"/>
  <c r="BQ184" i="4"/>
  <c r="BI184" i="4"/>
  <c r="BA184" i="4"/>
  <c r="AS184" i="4"/>
  <c r="AK184" i="4"/>
  <c r="AC184" i="4"/>
  <c r="U184" i="4"/>
  <c r="M184" i="4"/>
  <c r="EB184" i="4"/>
  <c r="DT184" i="4"/>
  <c r="DL184" i="4"/>
  <c r="DD184" i="4"/>
  <c r="CV184" i="4"/>
  <c r="CN184" i="4"/>
  <c r="CF184" i="4"/>
  <c r="BX184" i="4"/>
  <c r="BP184" i="4"/>
  <c r="BH184" i="4"/>
  <c r="EI184" i="4"/>
  <c r="EA184" i="4"/>
  <c r="DS184" i="4"/>
  <c r="DK184" i="4"/>
  <c r="DC184" i="4"/>
  <c r="CU184" i="4"/>
  <c r="CM184" i="4"/>
  <c r="CE184" i="4"/>
  <c r="BW184" i="4"/>
  <c r="BO184" i="4"/>
  <c r="BG184" i="4"/>
  <c r="AY184" i="4"/>
  <c r="AQ184" i="4"/>
  <c r="AI184" i="4"/>
  <c r="AA184" i="4"/>
  <c r="S184" i="4"/>
  <c r="K184" i="4"/>
  <c r="EH184" i="4"/>
  <c r="DZ184" i="4"/>
  <c r="DR184" i="4"/>
  <c r="DJ184" i="4"/>
  <c r="DB184" i="4"/>
  <c r="CT184" i="4"/>
  <c r="CL184" i="4"/>
  <c r="CD184" i="4"/>
  <c r="BV184" i="4"/>
  <c r="BN184" i="4"/>
  <c r="BF184" i="4"/>
  <c r="AX184" i="4"/>
  <c r="AP184" i="4"/>
  <c r="AH184" i="4"/>
  <c r="Z184" i="4"/>
  <c r="R184" i="4"/>
  <c r="J184" i="4"/>
  <c r="DQ184" i="4"/>
  <c r="BE184" i="4"/>
  <c r="Y184" i="4"/>
  <c r="L22" i="4"/>
  <c r="DI184" i="4"/>
  <c r="AZ184" i="4"/>
  <c r="T184" i="4"/>
  <c r="S22" i="4"/>
  <c r="K22" i="4"/>
  <c r="DA184" i="4"/>
  <c r="AW184" i="4"/>
  <c r="Q184" i="4"/>
  <c r="R22" i="4"/>
  <c r="J22" i="4"/>
  <c r="CS184" i="4"/>
  <c r="AR184" i="4"/>
  <c r="L184" i="4"/>
  <c r="Q22" i="4"/>
  <c r="I22" i="4"/>
  <c r="CK184" i="4"/>
  <c r="AO184" i="4"/>
  <c r="I184" i="4"/>
  <c r="P22" i="4"/>
  <c r="H22" i="4"/>
  <c r="CC184" i="4"/>
  <c r="AJ184" i="4"/>
  <c r="O22" i="4"/>
  <c r="G22" i="4"/>
  <c r="EG184" i="4"/>
  <c r="BU184" i="4"/>
  <c r="AG184" i="4"/>
  <c r="N22" i="4"/>
  <c r="DY184" i="4"/>
  <c r="BM184" i="4"/>
  <c r="AB184" i="4"/>
  <c r="M22" i="4"/>
  <c r="G12" i="1"/>
  <c r="E14" i="1"/>
  <c r="EF189" i="4"/>
  <c r="DX189" i="4"/>
  <c r="DP189" i="4"/>
  <c r="DH189" i="4"/>
  <c r="CZ189" i="4"/>
  <c r="CR189" i="4"/>
  <c r="CJ189" i="4"/>
  <c r="CB189" i="4"/>
  <c r="BT189" i="4"/>
  <c r="BL189" i="4"/>
  <c r="EE189" i="4"/>
  <c r="DW189" i="4"/>
  <c r="DO189" i="4"/>
  <c r="DG189" i="4"/>
  <c r="CY189" i="4"/>
  <c r="CQ189" i="4"/>
  <c r="CI189" i="4"/>
  <c r="CA189" i="4"/>
  <c r="BS189" i="4"/>
  <c r="BK189" i="4"/>
  <c r="BC189" i="4"/>
  <c r="AU189" i="4"/>
  <c r="AM189" i="4"/>
  <c r="AE189" i="4"/>
  <c r="W189" i="4"/>
  <c r="O189" i="4"/>
  <c r="EH189" i="4"/>
  <c r="DZ189" i="4"/>
  <c r="DR189" i="4"/>
  <c r="DJ189" i="4"/>
  <c r="DB189" i="4"/>
  <c r="CT189" i="4"/>
  <c r="CL189" i="4"/>
  <c r="CD189" i="4"/>
  <c r="BV189" i="4"/>
  <c r="BN189" i="4"/>
  <c r="BF189" i="4"/>
  <c r="AX189" i="4"/>
  <c r="AP189" i="4"/>
  <c r="AH189" i="4"/>
  <c r="Z189" i="4"/>
  <c r="R189" i="4"/>
  <c r="ED189" i="4"/>
  <c r="DS189" i="4"/>
  <c r="DE189" i="4"/>
  <c r="CS189" i="4"/>
  <c r="CF189" i="4"/>
  <c r="BR189" i="4"/>
  <c r="BG189" i="4"/>
  <c r="AV189" i="4"/>
  <c r="AK189" i="4"/>
  <c r="AA189" i="4"/>
  <c r="P189" i="4"/>
  <c r="EC189" i="4"/>
  <c r="DQ189" i="4"/>
  <c r="DD189" i="4"/>
  <c r="CP189" i="4"/>
  <c r="CE189" i="4"/>
  <c r="BQ189" i="4"/>
  <c r="BE189" i="4"/>
  <c r="AT189" i="4"/>
  <c r="AJ189" i="4"/>
  <c r="Y189" i="4"/>
  <c r="N189" i="4"/>
  <c r="EB189" i="4"/>
  <c r="DN189" i="4"/>
  <c r="DC189" i="4"/>
  <c r="CO189" i="4"/>
  <c r="CC189" i="4"/>
  <c r="BP189" i="4"/>
  <c r="BD189" i="4"/>
  <c r="AS189" i="4"/>
  <c r="AI189" i="4"/>
  <c r="X189" i="4"/>
  <c r="M189" i="4"/>
  <c r="EA189" i="4"/>
  <c r="DM189" i="4"/>
  <c r="DA189" i="4"/>
  <c r="CN189" i="4"/>
  <c r="BZ189" i="4"/>
  <c r="BO189" i="4"/>
  <c r="BB189" i="4"/>
  <c r="AR189" i="4"/>
  <c r="AG189" i="4"/>
  <c r="V189" i="4"/>
  <c r="L189" i="4"/>
  <c r="DY189" i="4"/>
  <c r="DL189" i="4"/>
  <c r="CX189" i="4"/>
  <c r="CM189" i="4"/>
  <c r="BY189" i="4"/>
  <c r="BM189" i="4"/>
  <c r="BA189" i="4"/>
  <c r="AQ189" i="4"/>
  <c r="AF189" i="4"/>
  <c r="U189" i="4"/>
  <c r="DV189" i="4"/>
  <c r="DK189" i="4"/>
  <c r="CW189" i="4"/>
  <c r="CK189" i="4"/>
  <c r="BX189" i="4"/>
  <c r="BJ189" i="4"/>
  <c r="AZ189" i="4"/>
  <c r="AO189" i="4"/>
  <c r="AD189" i="4"/>
  <c r="T189" i="4"/>
  <c r="EI189" i="4"/>
  <c r="DU189" i="4"/>
  <c r="DI189" i="4"/>
  <c r="CV189" i="4"/>
  <c r="CH189" i="4"/>
  <c r="BW189" i="4"/>
  <c r="BI189" i="4"/>
  <c r="AY189" i="4"/>
  <c r="AN189" i="4"/>
  <c r="AC189" i="4"/>
  <c r="S189" i="4"/>
  <c r="DT189" i="4"/>
  <c r="AB189" i="4"/>
  <c r="R27" i="4"/>
  <c r="DF189" i="4"/>
  <c r="Q189" i="4"/>
  <c r="Q27" i="4"/>
  <c r="CU189" i="4"/>
  <c r="P27" i="4"/>
  <c r="CG189" i="4"/>
  <c r="O27" i="4"/>
  <c r="BU189" i="4"/>
  <c r="N27" i="4"/>
  <c r="BH189" i="4"/>
  <c r="M27" i="4"/>
  <c r="AW189" i="4"/>
  <c r="L27" i="4"/>
  <c r="EG189" i="4"/>
  <c r="AL189" i="4"/>
  <c r="S27" i="4"/>
  <c r="EB191" i="4"/>
  <c r="DT191" i="4"/>
  <c r="DL191" i="4"/>
  <c r="DD191" i="4"/>
  <c r="CV191" i="4"/>
  <c r="CN191" i="4"/>
  <c r="CF191" i="4"/>
  <c r="BX191" i="4"/>
  <c r="BP191" i="4"/>
  <c r="BH191" i="4"/>
  <c r="AZ191" i="4"/>
  <c r="AR191" i="4"/>
  <c r="AJ191" i="4"/>
  <c r="AB191" i="4"/>
  <c r="T191" i="4"/>
  <c r="EI191" i="4"/>
  <c r="EA191" i="4"/>
  <c r="DS191" i="4"/>
  <c r="DK191" i="4"/>
  <c r="DC191" i="4"/>
  <c r="CU191" i="4"/>
  <c r="CM191" i="4"/>
  <c r="CE191" i="4"/>
  <c r="BW191" i="4"/>
  <c r="BO191" i="4"/>
  <c r="BG191" i="4"/>
  <c r="AY191" i="4"/>
  <c r="AQ191" i="4"/>
  <c r="AI191" i="4"/>
  <c r="AA191" i="4"/>
  <c r="S191" i="4"/>
  <c r="ED191" i="4"/>
  <c r="DV191" i="4"/>
  <c r="DN191" i="4"/>
  <c r="DF191" i="4"/>
  <c r="CX191" i="4"/>
  <c r="CP191" i="4"/>
  <c r="CH191" i="4"/>
  <c r="BZ191" i="4"/>
  <c r="BR191" i="4"/>
  <c r="BJ191" i="4"/>
  <c r="BB191" i="4"/>
  <c r="AT191" i="4"/>
  <c r="AL191" i="4"/>
  <c r="AD191" i="4"/>
  <c r="V191" i="4"/>
  <c r="N191" i="4"/>
  <c r="DX191" i="4"/>
  <c r="DJ191" i="4"/>
  <c r="CY191" i="4"/>
  <c r="CK191" i="4"/>
  <c r="BY191" i="4"/>
  <c r="BL191" i="4"/>
  <c r="AX191" i="4"/>
  <c r="AM191" i="4"/>
  <c r="Y191" i="4"/>
  <c r="EH191" i="4"/>
  <c r="DW191" i="4"/>
  <c r="DI191" i="4"/>
  <c r="CW191" i="4"/>
  <c r="CJ191" i="4"/>
  <c r="BV191" i="4"/>
  <c r="BK191" i="4"/>
  <c r="AW191" i="4"/>
  <c r="AK191" i="4"/>
  <c r="X191" i="4"/>
  <c r="EG191" i="4"/>
  <c r="DU191" i="4"/>
  <c r="DH191" i="4"/>
  <c r="CT191" i="4"/>
  <c r="CI191" i="4"/>
  <c r="BU191" i="4"/>
  <c r="BI191" i="4"/>
  <c r="AV191" i="4"/>
  <c r="AH191" i="4"/>
  <c r="W191" i="4"/>
  <c r="EF191" i="4"/>
  <c r="DR191" i="4"/>
  <c r="DG191" i="4"/>
  <c r="CS191" i="4"/>
  <c r="CG191" i="4"/>
  <c r="BT191" i="4"/>
  <c r="BF191" i="4"/>
  <c r="AU191" i="4"/>
  <c r="AG191" i="4"/>
  <c r="U191" i="4"/>
  <c r="EE191" i="4"/>
  <c r="DQ191" i="4"/>
  <c r="DE191" i="4"/>
  <c r="CR191" i="4"/>
  <c r="CD191" i="4"/>
  <c r="BS191" i="4"/>
  <c r="BE191" i="4"/>
  <c r="AS191" i="4"/>
  <c r="AF191" i="4"/>
  <c r="R191" i="4"/>
  <c r="EC191" i="4"/>
  <c r="DP191" i="4"/>
  <c r="DB191" i="4"/>
  <c r="CQ191" i="4"/>
  <c r="CC191" i="4"/>
  <c r="BQ191" i="4"/>
  <c r="BD191" i="4"/>
  <c r="AP191" i="4"/>
  <c r="AE191" i="4"/>
  <c r="Q191" i="4"/>
  <c r="DZ191" i="4"/>
  <c r="DO191" i="4"/>
  <c r="DA191" i="4"/>
  <c r="CO191" i="4"/>
  <c r="CB191" i="4"/>
  <c r="BN191" i="4"/>
  <c r="BC191" i="4"/>
  <c r="AO191" i="4"/>
  <c r="AC191" i="4"/>
  <c r="P191" i="4"/>
  <c r="CA191" i="4"/>
  <c r="N29" i="4"/>
  <c r="BM191" i="4"/>
  <c r="BA191" i="4"/>
  <c r="AN191" i="4"/>
  <c r="S29" i="4"/>
  <c r="DY191" i="4"/>
  <c r="Z191" i="4"/>
  <c r="R29" i="4"/>
  <c r="DM191" i="4"/>
  <c r="O191" i="4"/>
  <c r="Q29" i="4"/>
  <c r="CZ191" i="4"/>
  <c r="P29" i="4"/>
  <c r="CL191" i="4"/>
  <c r="O29" i="4"/>
  <c r="G19" i="1"/>
  <c r="E21" i="1"/>
  <c r="EH196" i="4"/>
  <c r="DZ196" i="4"/>
  <c r="DR196" i="4"/>
  <c r="DJ196" i="4"/>
  <c r="DB196" i="4"/>
  <c r="CT196" i="4"/>
  <c r="CL196" i="4"/>
  <c r="CD196" i="4"/>
  <c r="BV196" i="4"/>
  <c r="BN196" i="4"/>
  <c r="BF196" i="4"/>
  <c r="AX196" i="4"/>
  <c r="AP196" i="4"/>
  <c r="AH196" i="4"/>
  <c r="Z196" i="4"/>
  <c r="EG196" i="4"/>
  <c r="DY196" i="4"/>
  <c r="DQ196" i="4"/>
  <c r="DI196" i="4"/>
  <c r="DA196" i="4"/>
  <c r="CS196" i="4"/>
  <c r="CK196" i="4"/>
  <c r="CC196" i="4"/>
  <c r="BU196" i="4"/>
  <c r="BM196" i="4"/>
  <c r="BE196" i="4"/>
  <c r="AW196" i="4"/>
  <c r="AO196" i="4"/>
  <c r="AG196" i="4"/>
  <c r="Y196" i="4"/>
  <c r="EF196" i="4"/>
  <c r="DX196" i="4"/>
  <c r="DP196" i="4"/>
  <c r="DH196" i="4"/>
  <c r="CZ196" i="4"/>
  <c r="CR196" i="4"/>
  <c r="CJ196" i="4"/>
  <c r="CB196" i="4"/>
  <c r="BT196" i="4"/>
  <c r="BL196" i="4"/>
  <c r="BD196" i="4"/>
  <c r="AV196" i="4"/>
  <c r="AN196" i="4"/>
  <c r="AF196" i="4"/>
  <c r="X196" i="4"/>
  <c r="EE196" i="4"/>
  <c r="DW196" i="4"/>
  <c r="DO196" i="4"/>
  <c r="DG196" i="4"/>
  <c r="CY196" i="4"/>
  <c r="CQ196" i="4"/>
  <c r="CI196" i="4"/>
  <c r="CA196" i="4"/>
  <c r="BS196" i="4"/>
  <c r="BK196" i="4"/>
  <c r="BC196" i="4"/>
  <c r="AU196" i="4"/>
  <c r="AM196" i="4"/>
  <c r="AE196" i="4"/>
  <c r="W196" i="4"/>
  <c r="ED196" i="4"/>
  <c r="DV196" i="4"/>
  <c r="DN196" i="4"/>
  <c r="DF196" i="4"/>
  <c r="CX196" i="4"/>
  <c r="CP196" i="4"/>
  <c r="CH196" i="4"/>
  <c r="BZ196" i="4"/>
  <c r="BR196" i="4"/>
  <c r="BJ196" i="4"/>
  <c r="BB196" i="4"/>
  <c r="AT196" i="4"/>
  <c r="AL196" i="4"/>
  <c r="AD196" i="4"/>
  <c r="V196" i="4"/>
  <c r="EC196" i="4"/>
  <c r="DU196" i="4"/>
  <c r="DM196" i="4"/>
  <c r="DE196" i="4"/>
  <c r="CW196" i="4"/>
  <c r="CO196" i="4"/>
  <c r="CG196" i="4"/>
  <c r="BY196" i="4"/>
  <c r="BQ196" i="4"/>
  <c r="BI196" i="4"/>
  <c r="BA196" i="4"/>
  <c r="AS196" i="4"/>
  <c r="AK196" i="4"/>
  <c r="AC196" i="4"/>
  <c r="U196" i="4"/>
  <c r="EB196" i="4"/>
  <c r="DT196" i="4"/>
  <c r="DL196" i="4"/>
  <c r="DD196" i="4"/>
  <c r="CV196" i="4"/>
  <c r="CN196" i="4"/>
  <c r="CF196" i="4"/>
  <c r="BX196" i="4"/>
  <c r="BP196" i="4"/>
  <c r="BH196" i="4"/>
  <c r="AZ196" i="4"/>
  <c r="AR196" i="4"/>
  <c r="AJ196" i="4"/>
  <c r="AB196" i="4"/>
  <c r="T196" i="4"/>
  <c r="EA196" i="4"/>
  <c r="BO196" i="4"/>
  <c r="DS196" i="4"/>
  <c r="BG196" i="4"/>
  <c r="DK196" i="4"/>
  <c r="AY196" i="4"/>
  <c r="DC196" i="4"/>
  <c r="AQ196" i="4"/>
  <c r="CU196" i="4"/>
  <c r="AI196" i="4"/>
  <c r="CM196" i="4"/>
  <c r="AA196" i="4"/>
  <c r="CE196" i="4"/>
  <c r="S196" i="4"/>
  <c r="S34" i="4"/>
  <c r="EI196" i="4"/>
  <c r="BW196" i="4"/>
  <c r="J24" i="1"/>
  <c r="E32" i="1"/>
  <c r="E35" i="1"/>
  <c r="E37" i="1"/>
  <c r="J38" i="1"/>
  <c r="EC215" i="4"/>
  <c r="DU215" i="4"/>
  <c r="DM215" i="4"/>
  <c r="DE215" i="4"/>
  <c r="CW215" i="4"/>
  <c r="CO215" i="4"/>
  <c r="CG215" i="4"/>
  <c r="BY215" i="4"/>
  <c r="BQ215" i="4"/>
  <c r="BI215" i="4"/>
  <c r="BA215" i="4"/>
  <c r="AS215" i="4"/>
  <c r="EE215" i="4"/>
  <c r="DV215" i="4"/>
  <c r="ED215" i="4"/>
  <c r="DT215" i="4"/>
  <c r="DK215" i="4"/>
  <c r="DB215" i="4"/>
  <c r="CS215" i="4"/>
  <c r="CJ215" i="4"/>
  <c r="CA215" i="4"/>
  <c r="BR215" i="4"/>
  <c r="BH215" i="4"/>
  <c r="AY215" i="4"/>
  <c r="AP215" i="4"/>
  <c r="EB215" i="4"/>
  <c r="DS215" i="4"/>
  <c r="DJ215" i="4"/>
  <c r="DA215" i="4"/>
  <c r="CR215" i="4"/>
  <c r="CI215" i="4"/>
  <c r="BZ215" i="4"/>
  <c r="BP215" i="4"/>
  <c r="BG215" i="4"/>
  <c r="AX215" i="4"/>
  <c r="AO215" i="4"/>
  <c r="EI215" i="4"/>
  <c r="DZ215" i="4"/>
  <c r="DQ215" i="4"/>
  <c r="DH215" i="4"/>
  <c r="CY215" i="4"/>
  <c r="CP215" i="4"/>
  <c r="CF215" i="4"/>
  <c r="BW215" i="4"/>
  <c r="BN215" i="4"/>
  <c r="BE215" i="4"/>
  <c r="AV215" i="4"/>
  <c r="AM215" i="4"/>
  <c r="DX215" i="4"/>
  <c r="DG215" i="4"/>
  <c r="CT215" i="4"/>
  <c r="CD215" i="4"/>
  <c r="BO215" i="4"/>
  <c r="BB215" i="4"/>
  <c r="AL215" i="4"/>
  <c r="DW215" i="4"/>
  <c r="DF215" i="4"/>
  <c r="CQ215" i="4"/>
  <c r="CC215" i="4"/>
  <c r="BM215" i="4"/>
  <c r="AZ215" i="4"/>
  <c r="DR215" i="4"/>
  <c r="DD215" i="4"/>
  <c r="CN215" i="4"/>
  <c r="CB215" i="4"/>
  <c r="BL215" i="4"/>
  <c r="AW215" i="4"/>
  <c r="EG215" i="4"/>
  <c r="DO215" i="4"/>
  <c r="CZ215" i="4"/>
  <c r="CL215" i="4"/>
  <c r="BV215" i="4"/>
  <c r="BJ215" i="4"/>
  <c r="AT215" i="4"/>
  <c r="EF215" i="4"/>
  <c r="DN215" i="4"/>
  <c r="CX215" i="4"/>
  <c r="CK215" i="4"/>
  <c r="BU215" i="4"/>
  <c r="BF215" i="4"/>
  <c r="AR215" i="4"/>
  <c r="DY215" i="4"/>
  <c r="DI215" i="4"/>
  <c r="CU215" i="4"/>
  <c r="CE215" i="4"/>
  <c r="BS215" i="4"/>
  <c r="BC215" i="4"/>
  <c r="AN215" i="4"/>
  <c r="CM215" i="4"/>
  <c r="CH215" i="4"/>
  <c r="EH215" i="4"/>
  <c r="BX215" i="4"/>
  <c r="EA215" i="4"/>
  <c r="BT215" i="4"/>
  <c r="DP215" i="4"/>
  <c r="BK215" i="4"/>
  <c r="DL215" i="4"/>
  <c r="BD215" i="4"/>
  <c r="DC215" i="4"/>
  <c r="AU215" i="4"/>
  <c r="AQ215" i="4"/>
  <c r="CV215" i="4"/>
  <c r="U56" i="4"/>
  <c r="T56" i="4"/>
  <c r="G43" i="1"/>
  <c r="E45" i="1"/>
  <c r="EH223" i="4"/>
  <c r="DZ223" i="4"/>
  <c r="DR223" i="4"/>
  <c r="DJ223" i="4"/>
  <c r="DB223" i="4"/>
  <c r="CT223" i="4"/>
  <c r="CL223" i="4"/>
  <c r="CD223" i="4"/>
  <c r="BV223" i="4"/>
  <c r="BN223" i="4"/>
  <c r="BF223" i="4"/>
  <c r="AX223" i="4"/>
  <c r="EG223" i="4"/>
  <c r="DY223" i="4"/>
  <c r="DQ223" i="4"/>
  <c r="DI223" i="4"/>
  <c r="DA223" i="4"/>
  <c r="CS223" i="4"/>
  <c r="CK223" i="4"/>
  <c r="CC223" i="4"/>
  <c r="BU223" i="4"/>
  <c r="BM223" i="4"/>
  <c r="BE223" i="4"/>
  <c r="AW223" i="4"/>
  <c r="EF223" i="4"/>
  <c r="DX223" i="4"/>
  <c r="DP223" i="4"/>
  <c r="DH223" i="4"/>
  <c r="CZ223" i="4"/>
  <c r="CR223" i="4"/>
  <c r="CJ223" i="4"/>
  <c r="CB223" i="4"/>
  <c r="BT223" i="4"/>
  <c r="BL223" i="4"/>
  <c r="BD223" i="4"/>
  <c r="AV223" i="4"/>
  <c r="EE223" i="4"/>
  <c r="DW223" i="4"/>
  <c r="DO223" i="4"/>
  <c r="DG223" i="4"/>
  <c r="CY223" i="4"/>
  <c r="CQ223" i="4"/>
  <c r="CI223" i="4"/>
  <c r="CA223" i="4"/>
  <c r="BS223" i="4"/>
  <c r="BK223" i="4"/>
  <c r="BC223" i="4"/>
  <c r="AU223" i="4"/>
  <c r="EC223" i="4"/>
  <c r="DU223" i="4"/>
  <c r="DM223" i="4"/>
  <c r="DE223" i="4"/>
  <c r="CW223" i="4"/>
  <c r="CO223" i="4"/>
  <c r="CG223" i="4"/>
  <c r="BY223" i="4"/>
  <c r="BQ223" i="4"/>
  <c r="BI223" i="4"/>
  <c r="BA223" i="4"/>
  <c r="DN223" i="4"/>
  <c r="CU223" i="4"/>
  <c r="BX223" i="4"/>
  <c r="BB223" i="4"/>
  <c r="EI223" i="4"/>
  <c r="DL223" i="4"/>
  <c r="CP223" i="4"/>
  <c r="BW223" i="4"/>
  <c r="AZ223" i="4"/>
  <c r="ED223" i="4"/>
  <c r="DK223" i="4"/>
  <c r="CN223" i="4"/>
  <c r="BR223" i="4"/>
  <c r="AY223" i="4"/>
  <c r="EB223" i="4"/>
  <c r="DF223" i="4"/>
  <c r="CM223" i="4"/>
  <c r="BP223" i="4"/>
  <c r="AT223" i="4"/>
  <c r="DV223" i="4"/>
  <c r="DC223" i="4"/>
  <c r="CF223" i="4"/>
  <c r="BJ223" i="4"/>
  <c r="DT223" i="4"/>
  <c r="CX223" i="4"/>
  <c r="CE223" i="4"/>
  <c r="BH223" i="4"/>
  <c r="EA223" i="4"/>
  <c r="DS223" i="4"/>
  <c r="DD223" i="4"/>
  <c r="CV223" i="4"/>
  <c r="CH223" i="4"/>
  <c r="BZ223" i="4"/>
  <c r="BG223" i="4"/>
  <c r="BO223" i="4"/>
  <c r="L67" i="4"/>
  <c r="K67" i="4"/>
  <c r="R67" i="4"/>
  <c r="J67" i="4"/>
  <c r="Q67" i="4"/>
  <c r="I67" i="4"/>
  <c r="P67" i="4"/>
  <c r="H67" i="4"/>
  <c r="O67" i="4"/>
  <c r="N67" i="4"/>
  <c r="M67" i="4"/>
  <c r="ED225" i="4"/>
  <c r="DV225" i="4"/>
  <c r="DN225" i="4"/>
  <c r="DF225" i="4"/>
  <c r="CX225" i="4"/>
  <c r="CP225" i="4"/>
  <c r="CH225" i="4"/>
  <c r="BZ225" i="4"/>
  <c r="BR225" i="4"/>
  <c r="BJ225" i="4"/>
  <c r="BB225" i="4"/>
  <c r="EC225" i="4"/>
  <c r="DU225" i="4"/>
  <c r="DM225" i="4"/>
  <c r="DE225" i="4"/>
  <c r="CW225" i="4"/>
  <c r="CO225" i="4"/>
  <c r="CG225" i="4"/>
  <c r="BY225" i="4"/>
  <c r="BQ225" i="4"/>
  <c r="BI225" i="4"/>
  <c r="BA225" i="4"/>
  <c r="EB225" i="4"/>
  <c r="DT225" i="4"/>
  <c r="DL225" i="4"/>
  <c r="DD225" i="4"/>
  <c r="CV225" i="4"/>
  <c r="CN225" i="4"/>
  <c r="CF225" i="4"/>
  <c r="BX225" i="4"/>
  <c r="BP225" i="4"/>
  <c r="BH225" i="4"/>
  <c r="AZ225" i="4"/>
  <c r="EI225" i="4"/>
  <c r="EA225" i="4"/>
  <c r="DS225" i="4"/>
  <c r="DK225" i="4"/>
  <c r="DC225" i="4"/>
  <c r="CU225" i="4"/>
  <c r="CM225" i="4"/>
  <c r="CE225" i="4"/>
  <c r="BW225" i="4"/>
  <c r="BO225" i="4"/>
  <c r="BG225" i="4"/>
  <c r="AY225" i="4"/>
  <c r="EG225" i="4"/>
  <c r="DY225" i="4"/>
  <c r="DQ225" i="4"/>
  <c r="DI225" i="4"/>
  <c r="DA225" i="4"/>
  <c r="CS225" i="4"/>
  <c r="CK225" i="4"/>
  <c r="CC225" i="4"/>
  <c r="BU225" i="4"/>
  <c r="BM225" i="4"/>
  <c r="BE225" i="4"/>
  <c r="AW225" i="4"/>
  <c r="EF225" i="4"/>
  <c r="DX225" i="4"/>
  <c r="DP225" i="4"/>
  <c r="DH225" i="4"/>
  <c r="CZ225" i="4"/>
  <c r="CR225" i="4"/>
  <c r="CJ225" i="4"/>
  <c r="CB225" i="4"/>
  <c r="BT225" i="4"/>
  <c r="BL225" i="4"/>
  <c r="BD225" i="4"/>
  <c r="AV225" i="4"/>
  <c r="DZ225" i="4"/>
  <c r="CT225" i="4"/>
  <c r="BN225" i="4"/>
  <c r="DW225" i="4"/>
  <c r="CQ225" i="4"/>
  <c r="BK225" i="4"/>
  <c r="DR225" i="4"/>
  <c r="CL225" i="4"/>
  <c r="BF225" i="4"/>
  <c r="DO225" i="4"/>
  <c r="CI225" i="4"/>
  <c r="BC225" i="4"/>
  <c r="DG225" i="4"/>
  <c r="CA225" i="4"/>
  <c r="EH225" i="4"/>
  <c r="DB225" i="4"/>
  <c r="BV225" i="4"/>
  <c r="DJ225" i="4"/>
  <c r="CY225" i="4"/>
  <c r="CD225" i="4"/>
  <c r="BS225" i="4"/>
  <c r="AX225" i="4"/>
  <c r="EE225" i="4"/>
  <c r="R69" i="4"/>
  <c r="J69" i="4"/>
  <c r="Q69" i="4"/>
  <c r="P69" i="4"/>
  <c r="O69" i="4"/>
  <c r="N69" i="4"/>
  <c r="M69" i="4"/>
  <c r="L69" i="4"/>
  <c r="K69" i="4"/>
  <c r="EF227" i="4"/>
  <c r="DX227" i="4"/>
  <c r="EA227" i="4"/>
  <c r="DR227" i="4"/>
  <c r="DJ227" i="4"/>
  <c r="DB227" i="4"/>
  <c r="CT227" i="4"/>
  <c r="CL227" i="4"/>
  <c r="CD227" i="4"/>
  <c r="BV227" i="4"/>
  <c r="BN227" i="4"/>
  <c r="BF227" i="4"/>
  <c r="AX227" i="4"/>
  <c r="EI227" i="4"/>
  <c r="DZ227" i="4"/>
  <c r="DQ227" i="4"/>
  <c r="DI227" i="4"/>
  <c r="DA227" i="4"/>
  <c r="CS227" i="4"/>
  <c r="CK227" i="4"/>
  <c r="CC227" i="4"/>
  <c r="BU227" i="4"/>
  <c r="BM227" i="4"/>
  <c r="BE227" i="4"/>
  <c r="EH227" i="4"/>
  <c r="DY227" i="4"/>
  <c r="DP227" i="4"/>
  <c r="DH227" i="4"/>
  <c r="CZ227" i="4"/>
  <c r="CR227" i="4"/>
  <c r="CJ227" i="4"/>
  <c r="CB227" i="4"/>
  <c r="BT227" i="4"/>
  <c r="BL227" i="4"/>
  <c r="BD227" i="4"/>
  <c r="EG227" i="4"/>
  <c r="DW227" i="4"/>
  <c r="DO227" i="4"/>
  <c r="DG227" i="4"/>
  <c r="CY227" i="4"/>
  <c r="CQ227" i="4"/>
  <c r="CI227" i="4"/>
  <c r="CA227" i="4"/>
  <c r="BS227" i="4"/>
  <c r="BK227" i="4"/>
  <c r="BC227" i="4"/>
  <c r="ED227" i="4"/>
  <c r="DU227" i="4"/>
  <c r="DM227" i="4"/>
  <c r="DE227" i="4"/>
  <c r="CW227" i="4"/>
  <c r="CO227" i="4"/>
  <c r="CG227" i="4"/>
  <c r="BY227" i="4"/>
  <c r="BQ227" i="4"/>
  <c r="BI227" i="4"/>
  <c r="BA227" i="4"/>
  <c r="EC227" i="4"/>
  <c r="DT227" i="4"/>
  <c r="DL227" i="4"/>
  <c r="DD227" i="4"/>
  <c r="CV227" i="4"/>
  <c r="CN227" i="4"/>
  <c r="CF227" i="4"/>
  <c r="BX227" i="4"/>
  <c r="BP227" i="4"/>
  <c r="BH227" i="4"/>
  <c r="AZ227" i="4"/>
  <c r="DK227" i="4"/>
  <c r="CE227" i="4"/>
  <c r="AY227" i="4"/>
  <c r="DF227" i="4"/>
  <c r="BZ227" i="4"/>
  <c r="DC227" i="4"/>
  <c r="BW227" i="4"/>
  <c r="EE227" i="4"/>
  <c r="CX227" i="4"/>
  <c r="BR227" i="4"/>
  <c r="DV227" i="4"/>
  <c r="CP227" i="4"/>
  <c r="BJ227" i="4"/>
  <c r="DS227" i="4"/>
  <c r="CM227" i="4"/>
  <c r="BG227" i="4"/>
  <c r="CH227" i="4"/>
  <c r="BO227" i="4"/>
  <c r="BB227" i="4"/>
  <c r="EB227" i="4"/>
  <c r="CU227" i="4"/>
  <c r="DN227" i="4"/>
  <c r="P71" i="4"/>
  <c r="O71" i="4"/>
  <c r="N71" i="4"/>
  <c r="M71" i="4"/>
  <c r="L71" i="4"/>
  <c r="R71" i="4"/>
  <c r="Q71" i="4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E8" i="2"/>
  <c r="K8" i="2" s="1"/>
  <c r="O18" i="2"/>
  <c r="O26" i="2"/>
  <c r="O30" i="2"/>
  <c r="G38" i="2"/>
  <c r="I39" i="2"/>
  <c r="J39" i="2" s="1"/>
  <c r="C40" i="2"/>
  <c r="E41" i="2"/>
  <c r="K41" i="2" s="1"/>
  <c r="G42" i="2"/>
  <c r="I43" i="2"/>
  <c r="J43" i="2" s="1"/>
  <c r="C44" i="2"/>
  <c r="E45" i="2"/>
  <c r="K45" i="2" s="1"/>
  <c r="K53" i="2"/>
  <c r="M53" i="2" s="1"/>
  <c r="E61" i="3"/>
  <c r="D151" i="3"/>
  <c r="E38" i="2"/>
  <c r="K38" i="2" s="1"/>
  <c r="G9" i="1"/>
  <c r="ED198" i="4"/>
  <c r="DV198" i="4"/>
  <c r="DN198" i="4"/>
  <c r="DF198" i="4"/>
  <c r="CX198" i="4"/>
  <c r="CP198" i="4"/>
  <c r="CH198" i="4"/>
  <c r="BZ198" i="4"/>
  <c r="BR198" i="4"/>
  <c r="BJ198" i="4"/>
  <c r="BB198" i="4"/>
  <c r="AT198" i="4"/>
  <c r="AL198" i="4"/>
  <c r="AD198" i="4"/>
  <c r="V198" i="4"/>
  <c r="EC198" i="4"/>
  <c r="DU198" i="4"/>
  <c r="DM198" i="4"/>
  <c r="DE198" i="4"/>
  <c r="CW198" i="4"/>
  <c r="CO198" i="4"/>
  <c r="CG198" i="4"/>
  <c r="BY198" i="4"/>
  <c r="BQ198" i="4"/>
  <c r="BI198" i="4"/>
  <c r="BA198" i="4"/>
  <c r="AS198" i="4"/>
  <c r="AK198" i="4"/>
  <c r="AC198" i="4"/>
  <c r="U198" i="4"/>
  <c r="EB198" i="4"/>
  <c r="DT198" i="4"/>
  <c r="DL198" i="4"/>
  <c r="DD198" i="4"/>
  <c r="CV198" i="4"/>
  <c r="CN198" i="4"/>
  <c r="CF198" i="4"/>
  <c r="BX198" i="4"/>
  <c r="BP198" i="4"/>
  <c r="BH198" i="4"/>
  <c r="AZ198" i="4"/>
  <c r="AR198" i="4"/>
  <c r="AJ198" i="4"/>
  <c r="AB198" i="4"/>
  <c r="EI198" i="4"/>
  <c r="EA198" i="4"/>
  <c r="DS198" i="4"/>
  <c r="DK198" i="4"/>
  <c r="DC198" i="4"/>
  <c r="CU198" i="4"/>
  <c r="CM198" i="4"/>
  <c r="CE198" i="4"/>
  <c r="BW198" i="4"/>
  <c r="BO198" i="4"/>
  <c r="BG198" i="4"/>
  <c r="AY198" i="4"/>
  <c r="AQ198" i="4"/>
  <c r="AI198" i="4"/>
  <c r="AA198" i="4"/>
  <c r="EH198" i="4"/>
  <c r="DZ198" i="4"/>
  <c r="DR198" i="4"/>
  <c r="DJ198" i="4"/>
  <c r="DB198" i="4"/>
  <c r="CT198" i="4"/>
  <c r="CL198" i="4"/>
  <c r="CD198" i="4"/>
  <c r="BV198" i="4"/>
  <c r="BN198" i="4"/>
  <c r="BF198" i="4"/>
  <c r="AX198" i="4"/>
  <c r="AP198" i="4"/>
  <c r="AH198" i="4"/>
  <c r="Z198" i="4"/>
  <c r="EG198" i="4"/>
  <c r="DY198" i="4"/>
  <c r="DQ198" i="4"/>
  <c r="DI198" i="4"/>
  <c r="DA198" i="4"/>
  <c r="CS198" i="4"/>
  <c r="CK198" i="4"/>
  <c r="CC198" i="4"/>
  <c r="BU198" i="4"/>
  <c r="BM198" i="4"/>
  <c r="BE198" i="4"/>
  <c r="AW198" i="4"/>
  <c r="AO198" i="4"/>
  <c r="AG198" i="4"/>
  <c r="Y198" i="4"/>
  <c r="EF198" i="4"/>
  <c r="DX198" i="4"/>
  <c r="DP198" i="4"/>
  <c r="DH198" i="4"/>
  <c r="CZ198" i="4"/>
  <c r="CR198" i="4"/>
  <c r="CJ198" i="4"/>
  <c r="CB198" i="4"/>
  <c r="BT198" i="4"/>
  <c r="BL198" i="4"/>
  <c r="BD198" i="4"/>
  <c r="AV198" i="4"/>
  <c r="AN198" i="4"/>
  <c r="AF198" i="4"/>
  <c r="X198" i="4"/>
  <c r="CY198" i="4"/>
  <c r="AM198" i="4"/>
  <c r="CQ198" i="4"/>
  <c r="AE198" i="4"/>
  <c r="CI198" i="4"/>
  <c r="W198" i="4"/>
  <c r="CA198" i="4"/>
  <c r="EE198" i="4"/>
  <c r="BS198" i="4"/>
  <c r="DW198" i="4"/>
  <c r="BK198" i="4"/>
  <c r="DO198" i="4"/>
  <c r="BC198" i="4"/>
  <c r="N39" i="4"/>
  <c r="F39" i="4"/>
  <c r="DG198" i="4"/>
  <c r="U39" i="4"/>
  <c r="M39" i="4"/>
  <c r="E39" i="4"/>
  <c r="AU198" i="4"/>
  <c r="T39" i="4"/>
  <c r="L39" i="4"/>
  <c r="D39" i="4"/>
  <c r="S39" i="4"/>
  <c r="K39" i="4"/>
  <c r="C39" i="4"/>
  <c r="R39" i="4"/>
  <c r="J39" i="4"/>
  <c r="Q39" i="4"/>
  <c r="I39" i="4"/>
  <c r="P39" i="4"/>
  <c r="H39" i="4"/>
  <c r="O39" i="4"/>
  <c r="G39" i="4"/>
  <c r="G28" i="1"/>
  <c r="G48" i="1"/>
  <c r="F8" i="2"/>
  <c r="N21" i="2"/>
  <c r="N29" i="2"/>
  <c r="N33" i="2"/>
  <c r="H38" i="2"/>
  <c r="B39" i="2"/>
  <c r="L39" i="2" s="1"/>
  <c r="F41" i="2"/>
  <c r="D44" i="2"/>
  <c r="F45" i="2"/>
  <c r="N54" i="2"/>
  <c r="D59" i="3"/>
  <c r="F59" i="3" s="1"/>
  <c r="H59" i="3" s="1"/>
  <c r="E151" i="3"/>
  <c r="EB195" i="4"/>
  <c r="DT195" i="4"/>
  <c r="DL195" i="4"/>
  <c r="DD195" i="4"/>
  <c r="CV195" i="4"/>
  <c r="CN195" i="4"/>
  <c r="CF195" i="4"/>
  <c r="BX195" i="4"/>
  <c r="BP195" i="4"/>
  <c r="BH195" i="4"/>
  <c r="AZ195" i="4"/>
  <c r="AR195" i="4"/>
  <c r="AJ195" i="4"/>
  <c r="AB195" i="4"/>
  <c r="T195" i="4"/>
  <c r="EI195" i="4"/>
  <c r="EA195" i="4"/>
  <c r="DS195" i="4"/>
  <c r="DK195" i="4"/>
  <c r="DC195" i="4"/>
  <c r="CU195" i="4"/>
  <c r="CM195" i="4"/>
  <c r="CE195" i="4"/>
  <c r="BW195" i="4"/>
  <c r="BO195" i="4"/>
  <c r="BG195" i="4"/>
  <c r="AY195" i="4"/>
  <c r="AQ195" i="4"/>
  <c r="AI195" i="4"/>
  <c r="AA195" i="4"/>
  <c r="S195" i="4"/>
  <c r="EH195" i="4"/>
  <c r="DZ195" i="4"/>
  <c r="DR195" i="4"/>
  <c r="DJ195" i="4"/>
  <c r="DB195" i="4"/>
  <c r="CT195" i="4"/>
  <c r="CL195" i="4"/>
  <c r="CD195" i="4"/>
  <c r="BV195" i="4"/>
  <c r="BN195" i="4"/>
  <c r="BF195" i="4"/>
  <c r="AX195" i="4"/>
  <c r="AP195" i="4"/>
  <c r="AH195" i="4"/>
  <c r="Z195" i="4"/>
  <c r="R195" i="4"/>
  <c r="EG195" i="4"/>
  <c r="DY195" i="4"/>
  <c r="DQ195" i="4"/>
  <c r="DI195" i="4"/>
  <c r="DA195" i="4"/>
  <c r="CS195" i="4"/>
  <c r="CK195" i="4"/>
  <c r="CC195" i="4"/>
  <c r="BU195" i="4"/>
  <c r="BM195" i="4"/>
  <c r="BE195" i="4"/>
  <c r="AW195" i="4"/>
  <c r="AO195" i="4"/>
  <c r="AG195" i="4"/>
  <c r="Y195" i="4"/>
  <c r="EF195" i="4"/>
  <c r="DX195" i="4"/>
  <c r="DP195" i="4"/>
  <c r="DH195" i="4"/>
  <c r="CZ195" i="4"/>
  <c r="CR195" i="4"/>
  <c r="CJ195" i="4"/>
  <c r="CB195" i="4"/>
  <c r="BT195" i="4"/>
  <c r="BL195" i="4"/>
  <c r="BD195" i="4"/>
  <c r="AV195" i="4"/>
  <c r="AN195" i="4"/>
  <c r="AF195" i="4"/>
  <c r="X195" i="4"/>
  <c r="EE195" i="4"/>
  <c r="DW195" i="4"/>
  <c r="DO195" i="4"/>
  <c r="DG195" i="4"/>
  <c r="CY195" i="4"/>
  <c r="CQ195" i="4"/>
  <c r="CI195" i="4"/>
  <c r="CA195" i="4"/>
  <c r="BS195" i="4"/>
  <c r="BK195" i="4"/>
  <c r="BC195" i="4"/>
  <c r="AU195" i="4"/>
  <c r="AM195" i="4"/>
  <c r="AE195" i="4"/>
  <c r="W195" i="4"/>
  <c r="ED195" i="4"/>
  <c r="DV195" i="4"/>
  <c r="DN195" i="4"/>
  <c r="DF195" i="4"/>
  <c r="CX195" i="4"/>
  <c r="CP195" i="4"/>
  <c r="CH195" i="4"/>
  <c r="BZ195" i="4"/>
  <c r="BR195" i="4"/>
  <c r="BJ195" i="4"/>
  <c r="BB195" i="4"/>
  <c r="AT195" i="4"/>
  <c r="AL195" i="4"/>
  <c r="AD195" i="4"/>
  <c r="V195" i="4"/>
  <c r="EC195" i="4"/>
  <c r="BQ195" i="4"/>
  <c r="DU195" i="4"/>
  <c r="BI195" i="4"/>
  <c r="DM195" i="4"/>
  <c r="BA195" i="4"/>
  <c r="DE195" i="4"/>
  <c r="AS195" i="4"/>
  <c r="CW195" i="4"/>
  <c r="AK195" i="4"/>
  <c r="CO195" i="4"/>
  <c r="AC195" i="4"/>
  <c r="CG195" i="4"/>
  <c r="U195" i="4"/>
  <c r="S33" i="4"/>
  <c r="R33" i="4"/>
  <c r="BY195" i="4"/>
  <c r="EH206" i="4"/>
  <c r="DZ206" i="4"/>
  <c r="DR206" i="4"/>
  <c r="DJ206" i="4"/>
  <c r="DB206" i="4"/>
  <c r="CT206" i="4"/>
  <c r="CL206" i="4"/>
  <c r="CD206" i="4"/>
  <c r="BV206" i="4"/>
  <c r="BN206" i="4"/>
  <c r="BF206" i="4"/>
  <c r="AX206" i="4"/>
  <c r="AP206" i="4"/>
  <c r="AH206" i="4"/>
  <c r="EG206" i="4"/>
  <c r="DY206" i="4"/>
  <c r="DQ206" i="4"/>
  <c r="DI206" i="4"/>
  <c r="DA206" i="4"/>
  <c r="CS206" i="4"/>
  <c r="CK206" i="4"/>
  <c r="CC206" i="4"/>
  <c r="BU206" i="4"/>
  <c r="BM206" i="4"/>
  <c r="BE206" i="4"/>
  <c r="AW206" i="4"/>
  <c r="AO206" i="4"/>
  <c r="AG206" i="4"/>
  <c r="EF206" i="4"/>
  <c r="DX206" i="4"/>
  <c r="DP206" i="4"/>
  <c r="DH206" i="4"/>
  <c r="CZ206" i="4"/>
  <c r="CR206" i="4"/>
  <c r="CJ206" i="4"/>
  <c r="CB206" i="4"/>
  <c r="BT206" i="4"/>
  <c r="BL206" i="4"/>
  <c r="BD206" i="4"/>
  <c r="AV206" i="4"/>
  <c r="AN206" i="4"/>
  <c r="AF206" i="4"/>
  <c r="EE206" i="4"/>
  <c r="DW206" i="4"/>
  <c r="DO206" i="4"/>
  <c r="DG206" i="4"/>
  <c r="CY206" i="4"/>
  <c r="CQ206" i="4"/>
  <c r="CI206" i="4"/>
  <c r="CA206" i="4"/>
  <c r="BS206" i="4"/>
  <c r="BK206" i="4"/>
  <c r="BC206" i="4"/>
  <c r="AU206" i="4"/>
  <c r="AM206" i="4"/>
  <c r="AE206" i="4"/>
  <c r="EC206" i="4"/>
  <c r="DU206" i="4"/>
  <c r="DM206" i="4"/>
  <c r="DE206" i="4"/>
  <c r="CW206" i="4"/>
  <c r="CO206" i="4"/>
  <c r="CG206" i="4"/>
  <c r="BY206" i="4"/>
  <c r="BQ206" i="4"/>
  <c r="BI206" i="4"/>
  <c r="BA206" i="4"/>
  <c r="AS206" i="4"/>
  <c r="AK206" i="4"/>
  <c r="AC206" i="4"/>
  <c r="EB206" i="4"/>
  <c r="DT206" i="4"/>
  <c r="DL206" i="4"/>
  <c r="DD206" i="4"/>
  <c r="CV206" i="4"/>
  <c r="CN206" i="4"/>
  <c r="CF206" i="4"/>
  <c r="BX206" i="4"/>
  <c r="BP206" i="4"/>
  <c r="BH206" i="4"/>
  <c r="AZ206" i="4"/>
  <c r="AR206" i="4"/>
  <c r="AJ206" i="4"/>
  <c r="DN206" i="4"/>
  <c r="CH206" i="4"/>
  <c r="BB206" i="4"/>
  <c r="DK206" i="4"/>
  <c r="CE206" i="4"/>
  <c r="AY206" i="4"/>
  <c r="DF206" i="4"/>
  <c r="BZ206" i="4"/>
  <c r="AT206" i="4"/>
  <c r="EI206" i="4"/>
  <c r="DC206" i="4"/>
  <c r="BW206" i="4"/>
  <c r="AQ206" i="4"/>
  <c r="ED206" i="4"/>
  <c r="CX206" i="4"/>
  <c r="BR206" i="4"/>
  <c r="AL206" i="4"/>
  <c r="EA206" i="4"/>
  <c r="CU206" i="4"/>
  <c r="BO206" i="4"/>
  <c r="AI206" i="4"/>
  <c r="DV206" i="4"/>
  <c r="CP206" i="4"/>
  <c r="BJ206" i="4"/>
  <c r="AD206" i="4"/>
  <c r="CM206" i="4"/>
  <c r="BG206" i="4"/>
  <c r="N47" i="4"/>
  <c r="U47" i="4"/>
  <c r="M47" i="4"/>
  <c r="T47" i="4"/>
  <c r="L47" i="4"/>
  <c r="S47" i="4"/>
  <c r="K47" i="4"/>
  <c r="R47" i="4"/>
  <c r="DS206" i="4"/>
  <c r="Q47" i="4"/>
  <c r="P47" i="4"/>
  <c r="O47" i="4"/>
  <c r="EF203" i="4"/>
  <c r="DX203" i="4"/>
  <c r="DP203" i="4"/>
  <c r="DH203" i="4"/>
  <c r="CZ203" i="4"/>
  <c r="CR203" i="4"/>
  <c r="CJ203" i="4"/>
  <c r="CB203" i="4"/>
  <c r="BT203" i="4"/>
  <c r="BL203" i="4"/>
  <c r="BD203" i="4"/>
  <c r="AV203" i="4"/>
  <c r="AN203" i="4"/>
  <c r="AF203" i="4"/>
  <c r="EE203" i="4"/>
  <c r="DW203" i="4"/>
  <c r="DO203" i="4"/>
  <c r="DG203" i="4"/>
  <c r="CY203" i="4"/>
  <c r="CQ203" i="4"/>
  <c r="CI203" i="4"/>
  <c r="CA203" i="4"/>
  <c r="BS203" i="4"/>
  <c r="BK203" i="4"/>
  <c r="BC203" i="4"/>
  <c r="AU203" i="4"/>
  <c r="AM203" i="4"/>
  <c r="AE203" i="4"/>
  <c r="ED203" i="4"/>
  <c r="DV203" i="4"/>
  <c r="DN203" i="4"/>
  <c r="DF203" i="4"/>
  <c r="CX203" i="4"/>
  <c r="CP203" i="4"/>
  <c r="CH203" i="4"/>
  <c r="BZ203" i="4"/>
  <c r="BR203" i="4"/>
  <c r="BJ203" i="4"/>
  <c r="BB203" i="4"/>
  <c r="AT203" i="4"/>
  <c r="AL203" i="4"/>
  <c r="AD203" i="4"/>
  <c r="EC203" i="4"/>
  <c r="DU203" i="4"/>
  <c r="DM203" i="4"/>
  <c r="DE203" i="4"/>
  <c r="CW203" i="4"/>
  <c r="CO203" i="4"/>
  <c r="CG203" i="4"/>
  <c r="BY203" i="4"/>
  <c r="BQ203" i="4"/>
  <c r="BI203" i="4"/>
  <c r="BA203" i="4"/>
  <c r="AS203" i="4"/>
  <c r="AK203" i="4"/>
  <c r="AC203" i="4"/>
  <c r="EH203" i="4"/>
  <c r="DZ203" i="4"/>
  <c r="DR203" i="4"/>
  <c r="DJ203" i="4"/>
  <c r="DB203" i="4"/>
  <c r="CT203" i="4"/>
  <c r="CL203" i="4"/>
  <c r="CD203" i="4"/>
  <c r="BV203" i="4"/>
  <c r="BN203" i="4"/>
  <c r="BF203" i="4"/>
  <c r="AX203" i="4"/>
  <c r="AP203" i="4"/>
  <c r="AH203" i="4"/>
  <c r="Z203" i="4"/>
  <c r="EI203" i="4"/>
  <c r="DL203" i="4"/>
  <c r="CS203" i="4"/>
  <c r="BW203" i="4"/>
  <c r="AZ203" i="4"/>
  <c r="AG203" i="4"/>
  <c r="EG203" i="4"/>
  <c r="DK203" i="4"/>
  <c r="CN203" i="4"/>
  <c r="BU203" i="4"/>
  <c r="AY203" i="4"/>
  <c r="AB203" i="4"/>
  <c r="EB203" i="4"/>
  <c r="DI203" i="4"/>
  <c r="CM203" i="4"/>
  <c r="BP203" i="4"/>
  <c r="AW203" i="4"/>
  <c r="AA203" i="4"/>
  <c r="EA203" i="4"/>
  <c r="DD203" i="4"/>
  <c r="CK203" i="4"/>
  <c r="BO203" i="4"/>
  <c r="AR203" i="4"/>
  <c r="DY203" i="4"/>
  <c r="DC203" i="4"/>
  <c r="CF203" i="4"/>
  <c r="BM203" i="4"/>
  <c r="AQ203" i="4"/>
  <c r="DT203" i="4"/>
  <c r="DA203" i="4"/>
  <c r="CE203" i="4"/>
  <c r="BH203" i="4"/>
  <c r="AO203" i="4"/>
  <c r="DS203" i="4"/>
  <c r="CV203" i="4"/>
  <c r="CC203" i="4"/>
  <c r="BG203" i="4"/>
  <c r="AJ203" i="4"/>
  <c r="BX203" i="4"/>
  <c r="BE203" i="4"/>
  <c r="AI203" i="4"/>
  <c r="DQ203" i="4"/>
  <c r="R44" i="4"/>
  <c r="J44" i="4"/>
  <c r="Q44" i="4"/>
  <c r="I44" i="4"/>
  <c r="P44" i="4"/>
  <c r="H44" i="4"/>
  <c r="O44" i="4"/>
  <c r="N44" i="4"/>
  <c r="CU203" i="4"/>
  <c r="U44" i="4"/>
  <c r="M44" i="4"/>
  <c r="T44" i="4"/>
  <c r="L44" i="4"/>
  <c r="S44" i="4"/>
  <c r="K44" i="4"/>
  <c r="G36" i="1"/>
  <c r="D8" i="2"/>
  <c r="ED181" i="4"/>
  <c r="DV181" i="4"/>
  <c r="DN181" i="4"/>
  <c r="DF181" i="4"/>
  <c r="CX181" i="4"/>
  <c r="CP181" i="4"/>
  <c r="CH181" i="4"/>
  <c r="BZ181" i="4"/>
  <c r="BR181" i="4"/>
  <c r="BJ181" i="4"/>
  <c r="BB181" i="4"/>
  <c r="AT181" i="4"/>
  <c r="AL181" i="4"/>
  <c r="AD181" i="4"/>
  <c r="V181" i="4"/>
  <c r="N181" i="4"/>
  <c r="F181" i="4"/>
  <c r="EC181" i="4"/>
  <c r="DU181" i="4"/>
  <c r="DM181" i="4"/>
  <c r="DE181" i="4"/>
  <c r="CW181" i="4"/>
  <c r="CO181" i="4"/>
  <c r="CG181" i="4"/>
  <c r="BY181" i="4"/>
  <c r="BQ181" i="4"/>
  <c r="BI181" i="4"/>
  <c r="BA181" i="4"/>
  <c r="AS181" i="4"/>
  <c r="AK181" i="4"/>
  <c r="AC181" i="4"/>
  <c r="U181" i="4"/>
  <c r="M181" i="4"/>
  <c r="E181" i="4"/>
  <c r="EB181" i="4"/>
  <c r="DT181" i="4"/>
  <c r="DL181" i="4"/>
  <c r="DD181" i="4"/>
  <c r="CV181" i="4"/>
  <c r="CN181" i="4"/>
  <c r="CF181" i="4"/>
  <c r="BX181" i="4"/>
  <c r="BP181" i="4"/>
  <c r="BH181" i="4"/>
  <c r="AZ181" i="4"/>
  <c r="AR181" i="4"/>
  <c r="AJ181" i="4"/>
  <c r="AB181" i="4"/>
  <c r="T181" i="4"/>
  <c r="L181" i="4"/>
  <c r="D181" i="4"/>
  <c r="EI181" i="4"/>
  <c r="EA181" i="4"/>
  <c r="DS181" i="4"/>
  <c r="DK181" i="4"/>
  <c r="DC181" i="4"/>
  <c r="CU181" i="4"/>
  <c r="CM181" i="4"/>
  <c r="EG181" i="4"/>
  <c r="DY181" i="4"/>
  <c r="DQ181" i="4"/>
  <c r="DI181" i="4"/>
  <c r="DA181" i="4"/>
  <c r="CS181" i="4"/>
  <c r="CK181" i="4"/>
  <c r="CC181" i="4"/>
  <c r="BU181" i="4"/>
  <c r="BM181" i="4"/>
  <c r="BE181" i="4"/>
  <c r="AW181" i="4"/>
  <c r="AO181" i="4"/>
  <c r="AG181" i="4"/>
  <c r="Y181" i="4"/>
  <c r="Q181" i="4"/>
  <c r="I181" i="4"/>
  <c r="EF181" i="4"/>
  <c r="DX181" i="4"/>
  <c r="DP181" i="4"/>
  <c r="DH181" i="4"/>
  <c r="CZ181" i="4"/>
  <c r="CR181" i="4"/>
  <c r="CJ181" i="4"/>
  <c r="CB181" i="4"/>
  <c r="BT181" i="4"/>
  <c r="BL181" i="4"/>
  <c r="BD181" i="4"/>
  <c r="AV181" i="4"/>
  <c r="AN181" i="4"/>
  <c r="AF181" i="4"/>
  <c r="X181" i="4"/>
  <c r="P181" i="4"/>
  <c r="H181" i="4"/>
  <c r="DW181" i="4"/>
  <c r="CQ181" i="4"/>
  <c r="BS181" i="4"/>
  <c r="AX181" i="4"/>
  <c r="AA181" i="4"/>
  <c r="G181" i="4"/>
  <c r="R19" i="4"/>
  <c r="J19" i="4"/>
  <c r="DR181" i="4"/>
  <c r="CL181" i="4"/>
  <c r="BO181" i="4"/>
  <c r="AU181" i="4"/>
  <c r="Z181" i="4"/>
  <c r="Q19" i="4"/>
  <c r="I19" i="4"/>
  <c r="DO181" i="4"/>
  <c r="CI181" i="4"/>
  <c r="BN181" i="4"/>
  <c r="AQ181" i="4"/>
  <c r="W181" i="4"/>
  <c r="P19" i="4"/>
  <c r="H19" i="4"/>
  <c r="DJ181" i="4"/>
  <c r="CE181" i="4"/>
  <c r="BK181" i="4"/>
  <c r="AP181" i="4"/>
  <c r="S181" i="4"/>
  <c r="O19" i="4"/>
  <c r="G19" i="4"/>
  <c r="DG181" i="4"/>
  <c r="CD181" i="4"/>
  <c r="BG181" i="4"/>
  <c r="AM181" i="4"/>
  <c r="R181" i="4"/>
  <c r="N19" i="4"/>
  <c r="F19" i="4"/>
  <c r="EH181" i="4"/>
  <c r="DB181" i="4"/>
  <c r="CA181" i="4"/>
  <c r="BF181" i="4"/>
  <c r="AI181" i="4"/>
  <c r="O181" i="4"/>
  <c r="M19" i="4"/>
  <c r="E19" i="4"/>
  <c r="EE181" i="4"/>
  <c r="CY181" i="4"/>
  <c r="BW181" i="4"/>
  <c r="BC181" i="4"/>
  <c r="AH181" i="4"/>
  <c r="K181" i="4"/>
  <c r="L19" i="4"/>
  <c r="D19" i="4"/>
  <c r="DZ181" i="4"/>
  <c r="CT181" i="4"/>
  <c r="BV181" i="4"/>
  <c r="AY181" i="4"/>
  <c r="AE181" i="4"/>
  <c r="J181" i="4"/>
  <c r="S19" i="4"/>
  <c r="K19" i="4"/>
  <c r="J19" i="1"/>
  <c r="J20" i="1" s="1"/>
  <c r="G26" i="1"/>
  <c r="G30" i="1"/>
  <c r="EG212" i="4"/>
  <c r="DY212" i="4"/>
  <c r="DQ212" i="4"/>
  <c r="DI212" i="4"/>
  <c r="DA212" i="4"/>
  <c r="CS212" i="4"/>
  <c r="CK212" i="4"/>
  <c r="CC212" i="4"/>
  <c r="BU212" i="4"/>
  <c r="BM212" i="4"/>
  <c r="BE212" i="4"/>
  <c r="AW212" i="4"/>
  <c r="AO212" i="4"/>
  <c r="EI212" i="4"/>
  <c r="DZ212" i="4"/>
  <c r="DP212" i="4"/>
  <c r="DG212" i="4"/>
  <c r="CX212" i="4"/>
  <c r="CO212" i="4"/>
  <c r="CF212" i="4"/>
  <c r="BW212" i="4"/>
  <c r="BN212" i="4"/>
  <c r="BD212" i="4"/>
  <c r="AU212" i="4"/>
  <c r="AL212" i="4"/>
  <c r="EH212" i="4"/>
  <c r="DX212" i="4"/>
  <c r="DO212" i="4"/>
  <c r="DF212" i="4"/>
  <c r="CW212" i="4"/>
  <c r="CN212" i="4"/>
  <c r="CE212" i="4"/>
  <c r="BV212" i="4"/>
  <c r="BL212" i="4"/>
  <c r="BC212" i="4"/>
  <c r="AT212" i="4"/>
  <c r="AK212" i="4"/>
  <c r="EF212" i="4"/>
  <c r="DW212" i="4"/>
  <c r="DN212" i="4"/>
  <c r="DE212" i="4"/>
  <c r="CV212" i="4"/>
  <c r="CM212" i="4"/>
  <c r="CD212" i="4"/>
  <c r="BT212" i="4"/>
  <c r="BK212" i="4"/>
  <c r="BB212" i="4"/>
  <c r="AS212" i="4"/>
  <c r="AJ212" i="4"/>
  <c r="ED212" i="4"/>
  <c r="DU212" i="4"/>
  <c r="DL212" i="4"/>
  <c r="DC212" i="4"/>
  <c r="CT212" i="4"/>
  <c r="CJ212" i="4"/>
  <c r="CA212" i="4"/>
  <c r="BR212" i="4"/>
  <c r="BI212" i="4"/>
  <c r="AZ212" i="4"/>
  <c r="AQ212" i="4"/>
  <c r="EA212" i="4"/>
  <c r="DR212" i="4"/>
  <c r="DH212" i="4"/>
  <c r="CY212" i="4"/>
  <c r="CP212" i="4"/>
  <c r="CG212" i="4"/>
  <c r="BX212" i="4"/>
  <c r="BO212" i="4"/>
  <c r="BF212" i="4"/>
  <c r="AV212" i="4"/>
  <c r="AM212" i="4"/>
  <c r="EB212" i="4"/>
  <c r="DB212" i="4"/>
  <c r="CB212" i="4"/>
  <c r="BG212" i="4"/>
  <c r="DV212" i="4"/>
  <c r="CZ212" i="4"/>
  <c r="BZ212" i="4"/>
  <c r="BA212" i="4"/>
  <c r="DT212" i="4"/>
  <c r="CU212" i="4"/>
  <c r="BY212" i="4"/>
  <c r="AY212" i="4"/>
  <c r="DS212" i="4"/>
  <c r="CR212" i="4"/>
  <c r="BS212" i="4"/>
  <c r="AX212" i="4"/>
  <c r="DM212" i="4"/>
  <c r="CQ212" i="4"/>
  <c r="BQ212" i="4"/>
  <c r="AR212" i="4"/>
  <c r="DK212" i="4"/>
  <c r="CL212" i="4"/>
  <c r="BP212" i="4"/>
  <c r="AP212" i="4"/>
  <c r="EE212" i="4"/>
  <c r="DJ212" i="4"/>
  <c r="CI212" i="4"/>
  <c r="BJ212" i="4"/>
  <c r="AN212" i="4"/>
  <c r="EC212" i="4"/>
  <c r="DD212" i="4"/>
  <c r="CH212" i="4"/>
  <c r="BH212" i="4"/>
  <c r="AI212" i="4"/>
  <c r="U53" i="4"/>
  <c r="T53" i="4"/>
  <c r="S53" i="4"/>
  <c r="R53" i="4"/>
  <c r="Q53" i="4"/>
  <c r="G40" i="1"/>
  <c r="J43" i="1"/>
  <c r="EF220" i="4"/>
  <c r="DX220" i="4"/>
  <c r="DP220" i="4"/>
  <c r="DH220" i="4"/>
  <c r="CZ220" i="4"/>
  <c r="CR220" i="4"/>
  <c r="CJ220" i="4"/>
  <c r="CB220" i="4"/>
  <c r="BT220" i="4"/>
  <c r="BL220" i="4"/>
  <c r="EI220" i="4"/>
  <c r="EA220" i="4"/>
  <c r="DS220" i="4"/>
  <c r="DK220" i="4"/>
  <c r="DC220" i="4"/>
  <c r="CU220" i="4"/>
  <c r="CM220" i="4"/>
  <c r="CE220" i="4"/>
  <c r="BW220" i="4"/>
  <c r="BO220" i="4"/>
  <c r="BG220" i="4"/>
  <c r="AY220" i="4"/>
  <c r="AQ220" i="4"/>
  <c r="EC220" i="4"/>
  <c r="DR220" i="4"/>
  <c r="DG220" i="4"/>
  <c r="CW220" i="4"/>
  <c r="CL220" i="4"/>
  <c r="CA220" i="4"/>
  <c r="BQ220" i="4"/>
  <c r="BF220" i="4"/>
  <c r="AW220" i="4"/>
  <c r="EB220" i="4"/>
  <c r="DQ220" i="4"/>
  <c r="DF220" i="4"/>
  <c r="CV220" i="4"/>
  <c r="CK220" i="4"/>
  <c r="BZ220" i="4"/>
  <c r="BP220" i="4"/>
  <c r="BE220" i="4"/>
  <c r="AV220" i="4"/>
  <c r="DZ220" i="4"/>
  <c r="DO220" i="4"/>
  <c r="DE220" i="4"/>
  <c r="CT220" i="4"/>
  <c r="CI220" i="4"/>
  <c r="BY220" i="4"/>
  <c r="BN220" i="4"/>
  <c r="BD220" i="4"/>
  <c r="AU220" i="4"/>
  <c r="DY220" i="4"/>
  <c r="DN220" i="4"/>
  <c r="DD220" i="4"/>
  <c r="CS220" i="4"/>
  <c r="CH220" i="4"/>
  <c r="BX220" i="4"/>
  <c r="BM220" i="4"/>
  <c r="BC220" i="4"/>
  <c r="AT220" i="4"/>
  <c r="EG220" i="4"/>
  <c r="DV220" i="4"/>
  <c r="DL220" i="4"/>
  <c r="DA220" i="4"/>
  <c r="CP220" i="4"/>
  <c r="CF220" i="4"/>
  <c r="BU220" i="4"/>
  <c r="BJ220" i="4"/>
  <c r="BA220" i="4"/>
  <c r="AR220" i="4"/>
  <c r="EE220" i="4"/>
  <c r="DU220" i="4"/>
  <c r="DJ220" i="4"/>
  <c r="CY220" i="4"/>
  <c r="CO220" i="4"/>
  <c r="CD220" i="4"/>
  <c r="BS220" i="4"/>
  <c r="BI220" i="4"/>
  <c r="AZ220" i="4"/>
  <c r="EH220" i="4"/>
  <c r="CQ220" i="4"/>
  <c r="BB220" i="4"/>
  <c r="ED220" i="4"/>
  <c r="CN220" i="4"/>
  <c r="AX220" i="4"/>
  <c r="DW220" i="4"/>
  <c r="CG220" i="4"/>
  <c r="AS220" i="4"/>
  <c r="DT220" i="4"/>
  <c r="CC220" i="4"/>
  <c r="DM220" i="4"/>
  <c r="BV220" i="4"/>
  <c r="DI220" i="4"/>
  <c r="BR220" i="4"/>
  <c r="CX220" i="4"/>
  <c r="BH220" i="4"/>
  <c r="DB220" i="4"/>
  <c r="BK220" i="4"/>
  <c r="O64" i="4"/>
  <c r="G64" i="4"/>
  <c r="N64" i="4"/>
  <c r="F64" i="4"/>
  <c r="M64" i="4"/>
  <c r="E64" i="4"/>
  <c r="L64" i="4"/>
  <c r="K64" i="4"/>
  <c r="R64" i="4"/>
  <c r="J64" i="4"/>
  <c r="Q64" i="4"/>
  <c r="I64" i="4"/>
  <c r="P64" i="4"/>
  <c r="H64" i="4"/>
  <c r="EB229" i="4"/>
  <c r="DT229" i="4"/>
  <c r="DL229" i="4"/>
  <c r="DD229" i="4"/>
  <c r="CV229" i="4"/>
  <c r="CN229" i="4"/>
  <c r="CF229" i="4"/>
  <c r="BX229" i="4"/>
  <c r="BP229" i="4"/>
  <c r="BH229" i="4"/>
  <c r="AZ229" i="4"/>
  <c r="ED229" i="4"/>
  <c r="DU229" i="4"/>
  <c r="DK229" i="4"/>
  <c r="DB229" i="4"/>
  <c r="CS229" i="4"/>
  <c r="CJ229" i="4"/>
  <c r="CA229" i="4"/>
  <c r="BR229" i="4"/>
  <c r="BI229" i="4"/>
  <c r="EC229" i="4"/>
  <c r="DS229" i="4"/>
  <c r="DJ229" i="4"/>
  <c r="DA229" i="4"/>
  <c r="CR229" i="4"/>
  <c r="CI229" i="4"/>
  <c r="BZ229" i="4"/>
  <c r="BQ229" i="4"/>
  <c r="BG229" i="4"/>
  <c r="EA229" i="4"/>
  <c r="DR229" i="4"/>
  <c r="DI229" i="4"/>
  <c r="CZ229" i="4"/>
  <c r="CQ229" i="4"/>
  <c r="CH229" i="4"/>
  <c r="BY229" i="4"/>
  <c r="BO229" i="4"/>
  <c r="BF229" i="4"/>
  <c r="EI229" i="4"/>
  <c r="DZ229" i="4"/>
  <c r="DQ229" i="4"/>
  <c r="DH229" i="4"/>
  <c r="CY229" i="4"/>
  <c r="CP229" i="4"/>
  <c r="CG229" i="4"/>
  <c r="BW229" i="4"/>
  <c r="BN229" i="4"/>
  <c r="BE229" i="4"/>
  <c r="EG229" i="4"/>
  <c r="DX229" i="4"/>
  <c r="DO229" i="4"/>
  <c r="DF229" i="4"/>
  <c r="CW229" i="4"/>
  <c r="CM229" i="4"/>
  <c r="CD229" i="4"/>
  <c r="BU229" i="4"/>
  <c r="BL229" i="4"/>
  <c r="BC229" i="4"/>
  <c r="EF229" i="4"/>
  <c r="DW229" i="4"/>
  <c r="DN229" i="4"/>
  <c r="DE229" i="4"/>
  <c r="CU229" i="4"/>
  <c r="CL229" i="4"/>
  <c r="CC229" i="4"/>
  <c r="BT229" i="4"/>
  <c r="BK229" i="4"/>
  <c r="BB229" i="4"/>
  <c r="EH229" i="4"/>
  <c r="CX229" i="4"/>
  <c r="BM229" i="4"/>
  <c r="EE229" i="4"/>
  <c r="CT229" i="4"/>
  <c r="BJ229" i="4"/>
  <c r="DY229" i="4"/>
  <c r="CO229" i="4"/>
  <c r="BD229" i="4"/>
  <c r="DV229" i="4"/>
  <c r="CK229" i="4"/>
  <c r="BA229" i="4"/>
  <c r="DM229" i="4"/>
  <c r="CB229" i="4"/>
  <c r="DG229" i="4"/>
  <c r="BV229" i="4"/>
  <c r="DP229" i="4"/>
  <c r="DC229" i="4"/>
  <c r="CE229" i="4"/>
  <c r="BS229" i="4"/>
  <c r="Q73" i="4"/>
  <c r="P73" i="4"/>
  <c r="O73" i="4"/>
  <c r="N73" i="4"/>
  <c r="R73" i="4"/>
  <c r="EF231" i="4"/>
  <c r="DX231" i="4"/>
  <c r="DP231" i="4"/>
  <c r="DH231" i="4"/>
  <c r="CZ231" i="4"/>
  <c r="CR231" i="4"/>
  <c r="CJ231" i="4"/>
  <c r="CB231" i="4"/>
  <c r="BT231" i="4"/>
  <c r="BL231" i="4"/>
  <c r="BD231" i="4"/>
  <c r="EE231" i="4"/>
  <c r="DV231" i="4"/>
  <c r="DM231" i="4"/>
  <c r="DD231" i="4"/>
  <c r="CU231" i="4"/>
  <c r="CL231" i="4"/>
  <c r="CC231" i="4"/>
  <c r="BS231" i="4"/>
  <c r="BJ231" i="4"/>
  <c r="ED231" i="4"/>
  <c r="DU231" i="4"/>
  <c r="DL231" i="4"/>
  <c r="DC231" i="4"/>
  <c r="CT231" i="4"/>
  <c r="CK231" i="4"/>
  <c r="CA231" i="4"/>
  <c r="BR231" i="4"/>
  <c r="BI231" i="4"/>
  <c r="EC231" i="4"/>
  <c r="DT231" i="4"/>
  <c r="DK231" i="4"/>
  <c r="DB231" i="4"/>
  <c r="CS231" i="4"/>
  <c r="CI231" i="4"/>
  <c r="BZ231" i="4"/>
  <c r="BQ231" i="4"/>
  <c r="BH231" i="4"/>
  <c r="EB231" i="4"/>
  <c r="DS231" i="4"/>
  <c r="DJ231" i="4"/>
  <c r="DA231" i="4"/>
  <c r="CQ231" i="4"/>
  <c r="CH231" i="4"/>
  <c r="BY231" i="4"/>
  <c r="BP231" i="4"/>
  <c r="BG231" i="4"/>
  <c r="EI231" i="4"/>
  <c r="DZ231" i="4"/>
  <c r="DQ231" i="4"/>
  <c r="DG231" i="4"/>
  <c r="CX231" i="4"/>
  <c r="CO231" i="4"/>
  <c r="CF231" i="4"/>
  <c r="BW231" i="4"/>
  <c r="BN231" i="4"/>
  <c r="BE231" i="4"/>
  <c r="EH231" i="4"/>
  <c r="DY231" i="4"/>
  <c r="DO231" i="4"/>
  <c r="DF231" i="4"/>
  <c r="CW231" i="4"/>
  <c r="CN231" i="4"/>
  <c r="CE231" i="4"/>
  <c r="BV231" i="4"/>
  <c r="BM231" i="4"/>
  <c r="BC231" i="4"/>
  <c r="DE231" i="4"/>
  <c r="BU231" i="4"/>
  <c r="CY231" i="4"/>
  <c r="BO231" i="4"/>
  <c r="EG231" i="4"/>
  <c r="CV231" i="4"/>
  <c r="BK231" i="4"/>
  <c r="EA231" i="4"/>
  <c r="CP231" i="4"/>
  <c r="BF231" i="4"/>
  <c r="DR231" i="4"/>
  <c r="CG231" i="4"/>
  <c r="DN231" i="4"/>
  <c r="CD231" i="4"/>
  <c r="DW231" i="4"/>
  <c r="DI231" i="4"/>
  <c r="CM231" i="4"/>
  <c r="BX231" i="4"/>
  <c r="BB231" i="4"/>
  <c r="R75" i="4"/>
  <c r="P75" i="4"/>
  <c r="Q75" i="4"/>
  <c r="EB233" i="4"/>
  <c r="DT233" i="4"/>
  <c r="DL233" i="4"/>
  <c r="DD233" i="4"/>
  <c r="CV233" i="4"/>
  <c r="CN233" i="4"/>
  <c r="CF233" i="4"/>
  <c r="BX233" i="4"/>
  <c r="BP233" i="4"/>
  <c r="BH233" i="4"/>
  <c r="EH233" i="4"/>
  <c r="DZ233" i="4"/>
  <c r="DR233" i="4"/>
  <c r="DJ233" i="4"/>
  <c r="DB233" i="4"/>
  <c r="CT233" i="4"/>
  <c r="CL233" i="4"/>
  <c r="CD233" i="4"/>
  <c r="BV233" i="4"/>
  <c r="BN233" i="4"/>
  <c r="BF233" i="4"/>
  <c r="EC233" i="4"/>
  <c r="DQ233" i="4"/>
  <c r="DG233" i="4"/>
  <c r="CW233" i="4"/>
  <c r="CK233" i="4"/>
  <c r="CA233" i="4"/>
  <c r="BQ233" i="4"/>
  <c r="BE233" i="4"/>
  <c r="EA233" i="4"/>
  <c r="DP233" i="4"/>
  <c r="DF233" i="4"/>
  <c r="CU233" i="4"/>
  <c r="CJ233" i="4"/>
  <c r="BZ233" i="4"/>
  <c r="BO233" i="4"/>
  <c r="BD233" i="4"/>
  <c r="DY233" i="4"/>
  <c r="DO233" i="4"/>
  <c r="DE233" i="4"/>
  <c r="CS233" i="4"/>
  <c r="CI233" i="4"/>
  <c r="BY233" i="4"/>
  <c r="BM233" i="4"/>
  <c r="EI233" i="4"/>
  <c r="DX233" i="4"/>
  <c r="DN233" i="4"/>
  <c r="DC233" i="4"/>
  <c r="CR233" i="4"/>
  <c r="CH233" i="4"/>
  <c r="BW233" i="4"/>
  <c r="BL233" i="4"/>
  <c r="EF233" i="4"/>
  <c r="DV233" i="4"/>
  <c r="DK233" i="4"/>
  <c r="CZ233" i="4"/>
  <c r="CP233" i="4"/>
  <c r="CE233" i="4"/>
  <c r="BT233" i="4"/>
  <c r="BJ233" i="4"/>
  <c r="EE233" i="4"/>
  <c r="DU233" i="4"/>
  <c r="DI233" i="4"/>
  <c r="CY233" i="4"/>
  <c r="CO233" i="4"/>
  <c r="CC233" i="4"/>
  <c r="BS233" i="4"/>
  <c r="BI233" i="4"/>
  <c r="DS233" i="4"/>
  <c r="CB233" i="4"/>
  <c r="DM233" i="4"/>
  <c r="BU233" i="4"/>
  <c r="DH233" i="4"/>
  <c r="BR233" i="4"/>
  <c r="DA233" i="4"/>
  <c r="BK233" i="4"/>
  <c r="EG233" i="4"/>
  <c r="CQ233" i="4"/>
  <c r="ED233" i="4"/>
  <c r="CM233" i="4"/>
  <c r="DW233" i="4"/>
  <c r="CX233" i="4"/>
  <c r="BG233" i="4"/>
  <c r="CG233" i="4"/>
  <c r="R77" i="4"/>
  <c r="EG235" i="4"/>
  <c r="DY235" i="4"/>
  <c r="DQ235" i="4"/>
  <c r="DI235" i="4"/>
  <c r="DA235" i="4"/>
  <c r="CS235" i="4"/>
  <c r="CK235" i="4"/>
  <c r="CC235" i="4"/>
  <c r="BU235" i="4"/>
  <c r="BM235" i="4"/>
  <c r="EF235" i="4"/>
  <c r="DX235" i="4"/>
  <c r="DP235" i="4"/>
  <c r="DH235" i="4"/>
  <c r="CZ235" i="4"/>
  <c r="CR235" i="4"/>
  <c r="CJ235" i="4"/>
  <c r="CB235" i="4"/>
  <c r="BT235" i="4"/>
  <c r="BL235" i="4"/>
  <c r="ED235" i="4"/>
  <c r="DV235" i="4"/>
  <c r="DN235" i="4"/>
  <c r="DF235" i="4"/>
  <c r="CX235" i="4"/>
  <c r="CP235" i="4"/>
  <c r="CH235" i="4"/>
  <c r="BZ235" i="4"/>
  <c r="BR235" i="4"/>
  <c r="BJ235" i="4"/>
  <c r="DZ235" i="4"/>
  <c r="DL235" i="4"/>
  <c r="CY235" i="4"/>
  <c r="CM235" i="4"/>
  <c r="BY235" i="4"/>
  <c r="BN235" i="4"/>
  <c r="DW235" i="4"/>
  <c r="DK235" i="4"/>
  <c r="CW235" i="4"/>
  <c r="CL235" i="4"/>
  <c r="BX235" i="4"/>
  <c r="BK235" i="4"/>
  <c r="EI235" i="4"/>
  <c r="DU235" i="4"/>
  <c r="DJ235" i="4"/>
  <c r="CV235" i="4"/>
  <c r="CI235" i="4"/>
  <c r="BW235" i="4"/>
  <c r="BI235" i="4"/>
  <c r="EH235" i="4"/>
  <c r="DT235" i="4"/>
  <c r="DG235" i="4"/>
  <c r="CU235" i="4"/>
  <c r="CG235" i="4"/>
  <c r="BV235" i="4"/>
  <c r="BH235" i="4"/>
  <c r="EC235" i="4"/>
  <c r="DR235" i="4"/>
  <c r="DD235" i="4"/>
  <c r="CQ235" i="4"/>
  <c r="CE235" i="4"/>
  <c r="BQ235" i="4"/>
  <c r="BF235" i="4"/>
  <c r="EB235" i="4"/>
  <c r="DO235" i="4"/>
  <c r="DC235" i="4"/>
  <c r="CO235" i="4"/>
  <c r="CD235" i="4"/>
  <c r="BP235" i="4"/>
  <c r="DE235" i="4"/>
  <c r="BG235" i="4"/>
  <c r="DB235" i="4"/>
  <c r="CT235" i="4"/>
  <c r="CN235" i="4"/>
  <c r="EA235" i="4"/>
  <c r="CA235" i="4"/>
  <c r="DS235" i="4"/>
  <c r="BS235" i="4"/>
  <c r="CF235" i="4"/>
  <c r="BO235" i="4"/>
  <c r="DM235" i="4"/>
  <c r="EE235" i="4"/>
  <c r="M82" i="4"/>
  <c r="E82" i="4"/>
  <c r="P82" i="4"/>
  <c r="H82" i="4"/>
  <c r="O82" i="4"/>
  <c r="D82" i="4"/>
  <c r="N82" i="4"/>
  <c r="C82" i="4"/>
  <c r="L82" i="4"/>
  <c r="K82" i="4"/>
  <c r="J82" i="4"/>
  <c r="I82" i="4"/>
  <c r="G82" i="4"/>
  <c r="F82" i="4"/>
  <c r="EC237" i="4"/>
  <c r="DU237" i="4"/>
  <c r="DM237" i="4"/>
  <c r="DE237" i="4"/>
  <c r="CW237" i="4"/>
  <c r="CO237" i="4"/>
  <c r="CG237" i="4"/>
  <c r="BY237" i="4"/>
  <c r="BQ237" i="4"/>
  <c r="BI237" i="4"/>
  <c r="EB237" i="4"/>
  <c r="DT237" i="4"/>
  <c r="DL237" i="4"/>
  <c r="DD237" i="4"/>
  <c r="CV237" i="4"/>
  <c r="CN237" i="4"/>
  <c r="CF237" i="4"/>
  <c r="BX237" i="4"/>
  <c r="BP237" i="4"/>
  <c r="BH237" i="4"/>
  <c r="EI237" i="4"/>
  <c r="EA237" i="4"/>
  <c r="DS237" i="4"/>
  <c r="DK237" i="4"/>
  <c r="DC237" i="4"/>
  <c r="CU237" i="4"/>
  <c r="CM237" i="4"/>
  <c r="CE237" i="4"/>
  <c r="BW237" i="4"/>
  <c r="BO237" i="4"/>
  <c r="EH237" i="4"/>
  <c r="DZ237" i="4"/>
  <c r="DR237" i="4"/>
  <c r="DJ237" i="4"/>
  <c r="DB237" i="4"/>
  <c r="CT237" i="4"/>
  <c r="CL237" i="4"/>
  <c r="CD237" i="4"/>
  <c r="BV237" i="4"/>
  <c r="BN237" i="4"/>
  <c r="EG237" i="4"/>
  <c r="DY237" i="4"/>
  <c r="DQ237" i="4"/>
  <c r="DI237" i="4"/>
  <c r="DA237" i="4"/>
  <c r="CS237" i="4"/>
  <c r="CK237" i="4"/>
  <c r="CC237" i="4"/>
  <c r="BU237" i="4"/>
  <c r="BM237" i="4"/>
  <c r="EF237" i="4"/>
  <c r="DX237" i="4"/>
  <c r="DP237" i="4"/>
  <c r="DH237" i="4"/>
  <c r="CZ237" i="4"/>
  <c r="CR237" i="4"/>
  <c r="CJ237" i="4"/>
  <c r="CB237" i="4"/>
  <c r="BT237" i="4"/>
  <c r="BL237" i="4"/>
  <c r="EE237" i="4"/>
  <c r="DW237" i="4"/>
  <c r="DF237" i="4"/>
  <c r="BZ237" i="4"/>
  <c r="CY237" i="4"/>
  <c r="BS237" i="4"/>
  <c r="CX237" i="4"/>
  <c r="BR237" i="4"/>
  <c r="ED237" i="4"/>
  <c r="CQ237" i="4"/>
  <c r="BK237" i="4"/>
  <c r="DO237" i="4"/>
  <c r="CI237" i="4"/>
  <c r="DN237" i="4"/>
  <c r="CH237" i="4"/>
  <c r="CA237" i="4"/>
  <c r="BJ237" i="4"/>
  <c r="DV237" i="4"/>
  <c r="DG237" i="4"/>
  <c r="CP237" i="4"/>
  <c r="O84" i="4"/>
  <c r="G84" i="4"/>
  <c r="J84" i="4"/>
  <c r="P84" i="4"/>
  <c r="E84" i="4"/>
  <c r="N84" i="4"/>
  <c r="M84" i="4"/>
  <c r="L84" i="4"/>
  <c r="K84" i="4"/>
  <c r="I84" i="4"/>
  <c r="H84" i="4"/>
  <c r="F84" i="4"/>
  <c r="EB239" i="4"/>
  <c r="DT239" i="4"/>
  <c r="DL239" i="4"/>
  <c r="DD239" i="4"/>
  <c r="CV239" i="4"/>
  <c r="CN239" i="4"/>
  <c r="CF239" i="4"/>
  <c r="BX239" i="4"/>
  <c r="BP239" i="4"/>
  <c r="EE239" i="4"/>
  <c r="DW239" i="4"/>
  <c r="DO239" i="4"/>
  <c r="DG239" i="4"/>
  <c r="CY239" i="4"/>
  <c r="CQ239" i="4"/>
  <c r="CI239" i="4"/>
  <c r="CA239" i="4"/>
  <c r="BS239" i="4"/>
  <c r="BK239" i="4"/>
  <c r="EF239" i="4"/>
  <c r="DU239" i="4"/>
  <c r="DJ239" i="4"/>
  <c r="CZ239" i="4"/>
  <c r="CO239" i="4"/>
  <c r="CD239" i="4"/>
  <c r="BT239" i="4"/>
  <c r="ED239" i="4"/>
  <c r="DS239" i="4"/>
  <c r="DI239" i="4"/>
  <c r="CX239" i="4"/>
  <c r="CM239" i="4"/>
  <c r="CC239" i="4"/>
  <c r="BR239" i="4"/>
  <c r="EC239" i="4"/>
  <c r="DR239" i="4"/>
  <c r="DH239" i="4"/>
  <c r="CW239" i="4"/>
  <c r="CL239" i="4"/>
  <c r="CB239" i="4"/>
  <c r="BQ239" i="4"/>
  <c r="EA239" i="4"/>
  <c r="DQ239" i="4"/>
  <c r="DF239" i="4"/>
  <c r="CU239" i="4"/>
  <c r="CK239" i="4"/>
  <c r="BZ239" i="4"/>
  <c r="BO239" i="4"/>
  <c r="DZ239" i="4"/>
  <c r="DP239" i="4"/>
  <c r="DE239" i="4"/>
  <c r="CT239" i="4"/>
  <c r="CJ239" i="4"/>
  <c r="BY239" i="4"/>
  <c r="BN239" i="4"/>
  <c r="EI239" i="4"/>
  <c r="DY239" i="4"/>
  <c r="DN239" i="4"/>
  <c r="DC239" i="4"/>
  <c r="CS239" i="4"/>
  <c r="CH239" i="4"/>
  <c r="BW239" i="4"/>
  <c r="BM239" i="4"/>
  <c r="EH239" i="4"/>
  <c r="DX239" i="4"/>
  <c r="DM239" i="4"/>
  <c r="DB239" i="4"/>
  <c r="CR239" i="4"/>
  <c r="CG239" i="4"/>
  <c r="BV239" i="4"/>
  <c r="BL239" i="4"/>
  <c r="DA239" i="4"/>
  <c r="CP239" i="4"/>
  <c r="CE239" i="4"/>
  <c r="BU239" i="4"/>
  <c r="EG239" i="4"/>
  <c r="DV239" i="4"/>
  <c r="DK239" i="4"/>
  <c r="BJ239" i="4"/>
  <c r="I86" i="4"/>
  <c r="L86" i="4"/>
  <c r="O86" i="4"/>
  <c r="N86" i="4"/>
  <c r="M86" i="4"/>
  <c r="K86" i="4"/>
  <c r="J86" i="4"/>
  <c r="H86" i="4"/>
  <c r="G86" i="4"/>
  <c r="P86" i="4"/>
  <c r="EF241" i="4"/>
  <c r="DX241" i="4"/>
  <c r="DP241" i="4"/>
  <c r="DH241" i="4"/>
  <c r="CZ241" i="4"/>
  <c r="CR241" i="4"/>
  <c r="CJ241" i="4"/>
  <c r="CB241" i="4"/>
  <c r="BT241" i="4"/>
  <c r="BL241" i="4"/>
  <c r="EI241" i="4"/>
  <c r="EA241" i="4"/>
  <c r="DS241" i="4"/>
  <c r="DK241" i="4"/>
  <c r="DC241" i="4"/>
  <c r="CU241" i="4"/>
  <c r="CM241" i="4"/>
  <c r="CE241" i="4"/>
  <c r="BW241" i="4"/>
  <c r="BO241" i="4"/>
  <c r="EH241" i="4"/>
  <c r="DW241" i="4"/>
  <c r="DM241" i="4"/>
  <c r="DB241" i="4"/>
  <c r="CQ241" i="4"/>
  <c r="CG241" i="4"/>
  <c r="BV241" i="4"/>
  <c r="EG241" i="4"/>
  <c r="DV241" i="4"/>
  <c r="DL241" i="4"/>
  <c r="DA241" i="4"/>
  <c r="CP241" i="4"/>
  <c r="CF241" i="4"/>
  <c r="BU241" i="4"/>
  <c r="EE241" i="4"/>
  <c r="DU241" i="4"/>
  <c r="DJ241" i="4"/>
  <c r="CY241" i="4"/>
  <c r="CO241" i="4"/>
  <c r="CD241" i="4"/>
  <c r="BS241" i="4"/>
  <c r="ED241" i="4"/>
  <c r="DT241" i="4"/>
  <c r="DI241" i="4"/>
  <c r="CX241" i="4"/>
  <c r="CN241" i="4"/>
  <c r="CC241" i="4"/>
  <c r="BR241" i="4"/>
  <c r="EC241" i="4"/>
  <c r="DR241" i="4"/>
  <c r="DG241" i="4"/>
  <c r="CW241" i="4"/>
  <c r="CL241" i="4"/>
  <c r="CA241" i="4"/>
  <c r="BQ241" i="4"/>
  <c r="EB241" i="4"/>
  <c r="DQ241" i="4"/>
  <c r="DF241" i="4"/>
  <c r="CV241" i="4"/>
  <c r="CK241" i="4"/>
  <c r="BZ241" i="4"/>
  <c r="BP241" i="4"/>
  <c r="DZ241" i="4"/>
  <c r="DO241" i="4"/>
  <c r="DE241" i="4"/>
  <c r="CT241" i="4"/>
  <c r="CI241" i="4"/>
  <c r="BY241" i="4"/>
  <c r="BN241" i="4"/>
  <c r="BX241" i="4"/>
  <c r="BM241" i="4"/>
  <c r="DY241" i="4"/>
  <c r="DD241" i="4"/>
  <c r="CS241" i="4"/>
  <c r="DN241" i="4"/>
  <c r="CH241" i="4"/>
  <c r="K88" i="4"/>
  <c r="N88" i="4"/>
  <c r="L88" i="4"/>
  <c r="J88" i="4"/>
  <c r="I88" i="4"/>
  <c r="P88" i="4"/>
  <c r="O88" i="4"/>
  <c r="M88" i="4"/>
  <c r="EB243" i="4"/>
  <c r="DT243" i="4"/>
  <c r="DL243" i="4"/>
  <c r="DD243" i="4"/>
  <c r="CV243" i="4"/>
  <c r="CN243" i="4"/>
  <c r="CF243" i="4"/>
  <c r="BX243" i="4"/>
  <c r="BP243" i="4"/>
  <c r="EG243" i="4"/>
  <c r="DY243" i="4"/>
  <c r="DQ243" i="4"/>
  <c r="DI243" i="4"/>
  <c r="DA243" i="4"/>
  <c r="CS243" i="4"/>
  <c r="CK243" i="4"/>
  <c r="CC243" i="4"/>
  <c r="EF243" i="4"/>
  <c r="DX243" i="4"/>
  <c r="DP243" i="4"/>
  <c r="DH243" i="4"/>
  <c r="CZ243" i="4"/>
  <c r="CR243" i="4"/>
  <c r="CJ243" i="4"/>
  <c r="CB243" i="4"/>
  <c r="BT243" i="4"/>
  <c r="EE243" i="4"/>
  <c r="DW243" i="4"/>
  <c r="DO243" i="4"/>
  <c r="DG243" i="4"/>
  <c r="CY243" i="4"/>
  <c r="CQ243" i="4"/>
  <c r="CI243" i="4"/>
  <c r="CA243" i="4"/>
  <c r="BS243" i="4"/>
  <c r="DV243" i="4"/>
  <c r="DF243" i="4"/>
  <c r="CP243" i="4"/>
  <c r="BZ243" i="4"/>
  <c r="BN243" i="4"/>
  <c r="DU243" i="4"/>
  <c r="DE243" i="4"/>
  <c r="CO243" i="4"/>
  <c r="BY243" i="4"/>
  <c r="EI243" i="4"/>
  <c r="DS243" i="4"/>
  <c r="DC243" i="4"/>
  <c r="CM243" i="4"/>
  <c r="BW243" i="4"/>
  <c r="EH243" i="4"/>
  <c r="DR243" i="4"/>
  <c r="DB243" i="4"/>
  <c r="CL243" i="4"/>
  <c r="BV243" i="4"/>
  <c r="ED243" i="4"/>
  <c r="DN243" i="4"/>
  <c r="CX243" i="4"/>
  <c r="CH243" i="4"/>
  <c r="BU243" i="4"/>
  <c r="EC243" i="4"/>
  <c r="DM243" i="4"/>
  <c r="CW243" i="4"/>
  <c r="CG243" i="4"/>
  <c r="BR243" i="4"/>
  <c r="EA243" i="4"/>
  <c r="DK243" i="4"/>
  <c r="CU243" i="4"/>
  <c r="CE243" i="4"/>
  <c r="BQ243" i="4"/>
  <c r="DZ243" i="4"/>
  <c r="DJ243" i="4"/>
  <c r="CT243" i="4"/>
  <c r="CD243" i="4"/>
  <c r="BO243" i="4"/>
  <c r="M90" i="4"/>
  <c r="P90" i="4"/>
  <c r="O90" i="4"/>
  <c r="N90" i="4"/>
  <c r="L90" i="4"/>
  <c r="K90" i="4"/>
  <c r="EF245" i="4"/>
  <c r="DX245" i="4"/>
  <c r="DP245" i="4"/>
  <c r="DH245" i="4"/>
  <c r="CZ245" i="4"/>
  <c r="CR245" i="4"/>
  <c r="CJ245" i="4"/>
  <c r="CB245" i="4"/>
  <c r="BT245" i="4"/>
  <c r="EE245" i="4"/>
  <c r="DW245" i="4"/>
  <c r="DO245" i="4"/>
  <c r="DG245" i="4"/>
  <c r="CY245" i="4"/>
  <c r="CQ245" i="4"/>
  <c r="CI245" i="4"/>
  <c r="CA245" i="4"/>
  <c r="BS245" i="4"/>
  <c r="EC245" i="4"/>
  <c r="DU245" i="4"/>
  <c r="DM245" i="4"/>
  <c r="DE245" i="4"/>
  <c r="CW245" i="4"/>
  <c r="CO245" i="4"/>
  <c r="CG245" i="4"/>
  <c r="BY245" i="4"/>
  <c r="BQ245" i="4"/>
  <c r="EB245" i="4"/>
  <c r="DT245" i="4"/>
  <c r="DL245" i="4"/>
  <c r="DD245" i="4"/>
  <c r="CV245" i="4"/>
  <c r="CN245" i="4"/>
  <c r="CF245" i="4"/>
  <c r="BX245" i="4"/>
  <c r="BP245" i="4"/>
  <c r="EI245" i="4"/>
  <c r="EA245" i="4"/>
  <c r="DS245" i="4"/>
  <c r="DK245" i="4"/>
  <c r="DC245" i="4"/>
  <c r="CU245" i="4"/>
  <c r="CM245" i="4"/>
  <c r="CE245" i="4"/>
  <c r="BW245" i="4"/>
  <c r="EH245" i="4"/>
  <c r="DN245" i="4"/>
  <c r="CS245" i="4"/>
  <c r="BV245" i="4"/>
  <c r="EG245" i="4"/>
  <c r="DJ245" i="4"/>
  <c r="CP245" i="4"/>
  <c r="BU245" i="4"/>
  <c r="ED245" i="4"/>
  <c r="DI245" i="4"/>
  <c r="CL245" i="4"/>
  <c r="BR245" i="4"/>
  <c r="DZ245" i="4"/>
  <c r="DF245" i="4"/>
  <c r="CK245" i="4"/>
  <c r="DY245" i="4"/>
  <c r="DB245" i="4"/>
  <c r="CH245" i="4"/>
  <c r="DV245" i="4"/>
  <c r="DA245" i="4"/>
  <c r="CD245" i="4"/>
  <c r="DR245" i="4"/>
  <c r="CX245" i="4"/>
  <c r="CC245" i="4"/>
  <c r="BZ245" i="4"/>
  <c r="DQ245" i="4"/>
  <c r="CT245" i="4"/>
  <c r="O92" i="4"/>
  <c r="N92" i="4"/>
  <c r="M92" i="4"/>
  <c r="P92" i="4"/>
  <c r="EB247" i="4"/>
  <c r="DT247" i="4"/>
  <c r="DL247" i="4"/>
  <c r="DD247" i="4"/>
  <c r="CV247" i="4"/>
  <c r="CN247" i="4"/>
  <c r="CF247" i="4"/>
  <c r="BX247" i="4"/>
  <c r="EI247" i="4"/>
  <c r="EA247" i="4"/>
  <c r="DS247" i="4"/>
  <c r="DK247" i="4"/>
  <c r="DC247" i="4"/>
  <c r="CU247" i="4"/>
  <c r="CM247" i="4"/>
  <c r="CE247" i="4"/>
  <c r="BW247" i="4"/>
  <c r="EG247" i="4"/>
  <c r="DY247" i="4"/>
  <c r="DQ247" i="4"/>
  <c r="DI247" i="4"/>
  <c r="DA247" i="4"/>
  <c r="CS247" i="4"/>
  <c r="CK247" i="4"/>
  <c r="CC247" i="4"/>
  <c r="BU247" i="4"/>
  <c r="EF247" i="4"/>
  <c r="DX247" i="4"/>
  <c r="DP247" i="4"/>
  <c r="DH247" i="4"/>
  <c r="CZ247" i="4"/>
  <c r="CR247" i="4"/>
  <c r="CJ247" i="4"/>
  <c r="CB247" i="4"/>
  <c r="BT247" i="4"/>
  <c r="EE247" i="4"/>
  <c r="DW247" i="4"/>
  <c r="DO247" i="4"/>
  <c r="DG247" i="4"/>
  <c r="CY247" i="4"/>
  <c r="CQ247" i="4"/>
  <c r="CI247" i="4"/>
  <c r="CA247" i="4"/>
  <c r="BS247" i="4"/>
  <c r="ED247" i="4"/>
  <c r="DV247" i="4"/>
  <c r="DN247" i="4"/>
  <c r="DF247" i="4"/>
  <c r="CX247" i="4"/>
  <c r="CP247" i="4"/>
  <c r="CH247" i="4"/>
  <c r="BZ247" i="4"/>
  <c r="BR247" i="4"/>
  <c r="DZ247" i="4"/>
  <c r="CT247" i="4"/>
  <c r="DU247" i="4"/>
  <c r="CO247" i="4"/>
  <c r="DR247" i="4"/>
  <c r="CL247" i="4"/>
  <c r="DM247" i="4"/>
  <c r="CG247" i="4"/>
  <c r="DJ247" i="4"/>
  <c r="CD247" i="4"/>
  <c r="DE247" i="4"/>
  <c r="BY247" i="4"/>
  <c r="EH247" i="4"/>
  <c r="DB247" i="4"/>
  <c r="BV247" i="4"/>
  <c r="EC247" i="4"/>
  <c r="CW247" i="4"/>
  <c r="P94" i="4"/>
  <c r="O94" i="4"/>
  <c r="EF249" i="4"/>
  <c r="DX249" i="4"/>
  <c r="DP249" i="4"/>
  <c r="DH249" i="4"/>
  <c r="CZ249" i="4"/>
  <c r="CR249" i="4"/>
  <c r="CJ249" i="4"/>
  <c r="CB249" i="4"/>
  <c r="BT249" i="4"/>
  <c r="EE249" i="4"/>
  <c r="DW249" i="4"/>
  <c r="DO249" i="4"/>
  <c r="DG249" i="4"/>
  <c r="CY249" i="4"/>
  <c r="CQ249" i="4"/>
  <c r="CI249" i="4"/>
  <c r="CA249" i="4"/>
  <c r="EC249" i="4"/>
  <c r="DU249" i="4"/>
  <c r="DM249" i="4"/>
  <c r="DE249" i="4"/>
  <c r="CW249" i="4"/>
  <c r="CO249" i="4"/>
  <c r="CG249" i="4"/>
  <c r="BY249" i="4"/>
  <c r="EB249" i="4"/>
  <c r="DT249" i="4"/>
  <c r="DL249" i="4"/>
  <c r="DD249" i="4"/>
  <c r="CV249" i="4"/>
  <c r="CN249" i="4"/>
  <c r="CF249" i="4"/>
  <c r="BX249" i="4"/>
  <c r="EI249" i="4"/>
  <c r="EA249" i="4"/>
  <c r="DS249" i="4"/>
  <c r="DK249" i="4"/>
  <c r="DC249" i="4"/>
  <c r="CU249" i="4"/>
  <c r="CM249" i="4"/>
  <c r="CE249" i="4"/>
  <c r="BW249" i="4"/>
  <c r="EH249" i="4"/>
  <c r="DZ249" i="4"/>
  <c r="DR249" i="4"/>
  <c r="DJ249" i="4"/>
  <c r="DB249" i="4"/>
  <c r="CT249" i="4"/>
  <c r="CL249" i="4"/>
  <c r="CD249" i="4"/>
  <c r="BV249" i="4"/>
  <c r="EG249" i="4"/>
  <c r="DA249" i="4"/>
  <c r="BU249" i="4"/>
  <c r="ED249" i="4"/>
  <c r="CX249" i="4"/>
  <c r="DY249" i="4"/>
  <c r="CS249" i="4"/>
  <c r="DV249" i="4"/>
  <c r="CP249" i="4"/>
  <c r="DQ249" i="4"/>
  <c r="CK249" i="4"/>
  <c r="DN249" i="4"/>
  <c r="CH249" i="4"/>
  <c r="DI249" i="4"/>
  <c r="CC249" i="4"/>
  <c r="DF249" i="4"/>
  <c r="BZ249" i="4"/>
  <c r="S99" i="4"/>
  <c r="K99" i="4"/>
  <c r="C99" i="4"/>
  <c r="N99" i="4"/>
  <c r="F99" i="4"/>
  <c r="P99" i="4"/>
  <c r="E99" i="4"/>
  <c r="O99" i="4"/>
  <c r="D99" i="4"/>
  <c r="M99" i="4"/>
  <c r="B99" i="4"/>
  <c r="F10" i="4" s="1"/>
  <c r="L99" i="4"/>
  <c r="U99" i="4"/>
  <c r="J99" i="4"/>
  <c r="T99" i="4"/>
  <c r="I99" i="4"/>
  <c r="R99" i="4"/>
  <c r="H99" i="4"/>
  <c r="Q99" i="4"/>
  <c r="G99" i="4"/>
  <c r="EB251" i="4"/>
  <c r="DT251" i="4"/>
  <c r="DL251" i="4"/>
  <c r="DD251" i="4"/>
  <c r="CV251" i="4"/>
  <c r="CN251" i="4"/>
  <c r="CF251" i="4"/>
  <c r="BX251" i="4"/>
  <c r="EI251" i="4"/>
  <c r="EA251" i="4"/>
  <c r="DS251" i="4"/>
  <c r="DK251" i="4"/>
  <c r="DC251" i="4"/>
  <c r="CU251" i="4"/>
  <c r="CM251" i="4"/>
  <c r="CE251" i="4"/>
  <c r="BW251" i="4"/>
  <c r="EG251" i="4"/>
  <c r="DY251" i="4"/>
  <c r="DQ251" i="4"/>
  <c r="DI251" i="4"/>
  <c r="DA251" i="4"/>
  <c r="CS251" i="4"/>
  <c r="CK251" i="4"/>
  <c r="CC251" i="4"/>
  <c r="EF251" i="4"/>
  <c r="DX251" i="4"/>
  <c r="DP251" i="4"/>
  <c r="DH251" i="4"/>
  <c r="CZ251" i="4"/>
  <c r="CR251" i="4"/>
  <c r="CJ251" i="4"/>
  <c r="CB251" i="4"/>
  <c r="EE251" i="4"/>
  <c r="DW251" i="4"/>
  <c r="DO251" i="4"/>
  <c r="DG251" i="4"/>
  <c r="CY251" i="4"/>
  <c r="CQ251" i="4"/>
  <c r="CI251" i="4"/>
  <c r="CA251" i="4"/>
  <c r="ED251" i="4"/>
  <c r="DV251" i="4"/>
  <c r="DN251" i="4"/>
  <c r="DF251" i="4"/>
  <c r="CX251" i="4"/>
  <c r="CP251" i="4"/>
  <c r="CH251" i="4"/>
  <c r="BZ251" i="4"/>
  <c r="EH251" i="4"/>
  <c r="DB251" i="4"/>
  <c r="BV251" i="4"/>
  <c r="EC251" i="4"/>
  <c r="CW251" i="4"/>
  <c r="DZ251" i="4"/>
  <c r="CT251" i="4"/>
  <c r="DU251" i="4"/>
  <c r="CO251" i="4"/>
  <c r="DR251" i="4"/>
  <c r="CL251" i="4"/>
  <c r="DM251" i="4"/>
  <c r="CG251" i="4"/>
  <c r="DJ251" i="4"/>
  <c r="CD251" i="4"/>
  <c r="BY251" i="4"/>
  <c r="DE251" i="4"/>
  <c r="S101" i="4"/>
  <c r="K101" i="4"/>
  <c r="N101" i="4"/>
  <c r="F101" i="4"/>
  <c r="P101" i="4"/>
  <c r="E101" i="4"/>
  <c r="O101" i="4"/>
  <c r="D101" i="4"/>
  <c r="M101" i="4"/>
  <c r="L101" i="4"/>
  <c r="U101" i="4"/>
  <c r="J101" i="4"/>
  <c r="T101" i="4"/>
  <c r="I101" i="4"/>
  <c r="R101" i="4"/>
  <c r="H101" i="4"/>
  <c r="Q101" i="4"/>
  <c r="G101" i="4"/>
  <c r="EG253" i="4"/>
  <c r="DY253" i="4"/>
  <c r="DQ253" i="4"/>
  <c r="DI253" i="4"/>
  <c r="DA253" i="4"/>
  <c r="CS253" i="4"/>
  <c r="CK253" i="4"/>
  <c r="CC253" i="4"/>
  <c r="EE253" i="4"/>
  <c r="DW253" i="4"/>
  <c r="DO253" i="4"/>
  <c r="DG253" i="4"/>
  <c r="CY253" i="4"/>
  <c r="CQ253" i="4"/>
  <c r="CI253" i="4"/>
  <c r="CA253" i="4"/>
  <c r="EB253" i="4"/>
  <c r="DR253" i="4"/>
  <c r="DF253" i="4"/>
  <c r="CV253" i="4"/>
  <c r="CL253" i="4"/>
  <c r="BZ253" i="4"/>
  <c r="EA253" i="4"/>
  <c r="DP253" i="4"/>
  <c r="DE253" i="4"/>
  <c r="CU253" i="4"/>
  <c r="CJ253" i="4"/>
  <c r="BY253" i="4"/>
  <c r="DZ253" i="4"/>
  <c r="DN253" i="4"/>
  <c r="DD253" i="4"/>
  <c r="CT253" i="4"/>
  <c r="CH253" i="4"/>
  <c r="BX253" i="4"/>
  <c r="EI253" i="4"/>
  <c r="DX253" i="4"/>
  <c r="DM253" i="4"/>
  <c r="DC253" i="4"/>
  <c r="CR253" i="4"/>
  <c r="CG253" i="4"/>
  <c r="EH253" i="4"/>
  <c r="DV253" i="4"/>
  <c r="DL253" i="4"/>
  <c r="DB253" i="4"/>
  <c r="CP253" i="4"/>
  <c r="CF253" i="4"/>
  <c r="EF253" i="4"/>
  <c r="DU253" i="4"/>
  <c r="DK253" i="4"/>
  <c r="CZ253" i="4"/>
  <c r="CO253" i="4"/>
  <c r="CE253" i="4"/>
  <c r="ED253" i="4"/>
  <c r="DT253" i="4"/>
  <c r="DJ253" i="4"/>
  <c r="CX253" i="4"/>
  <c r="CN253" i="4"/>
  <c r="CD253" i="4"/>
  <c r="CB253" i="4"/>
  <c r="EC253" i="4"/>
  <c r="DS253" i="4"/>
  <c r="DH253" i="4"/>
  <c r="CW253" i="4"/>
  <c r="CM253" i="4"/>
  <c r="S103" i="4"/>
  <c r="K103" i="4"/>
  <c r="N103" i="4"/>
  <c r="F103" i="4"/>
  <c r="P103" i="4"/>
  <c r="O103" i="4"/>
  <c r="M103" i="4"/>
  <c r="L103" i="4"/>
  <c r="U103" i="4"/>
  <c r="J103" i="4"/>
  <c r="T103" i="4"/>
  <c r="I103" i="4"/>
  <c r="R103" i="4"/>
  <c r="H103" i="4"/>
  <c r="Q103" i="4"/>
  <c r="G103" i="4"/>
  <c r="EB255" i="4"/>
  <c r="DT255" i="4"/>
  <c r="DL255" i="4"/>
  <c r="DD255" i="4"/>
  <c r="CV255" i="4"/>
  <c r="CN255" i="4"/>
  <c r="CF255" i="4"/>
  <c r="EA255" i="4"/>
  <c r="DR255" i="4"/>
  <c r="DI255" i="4"/>
  <c r="CZ255" i="4"/>
  <c r="CQ255" i="4"/>
  <c r="CH255" i="4"/>
  <c r="EH255" i="4"/>
  <c r="DY255" i="4"/>
  <c r="DP255" i="4"/>
  <c r="DG255" i="4"/>
  <c r="CX255" i="4"/>
  <c r="CO255" i="4"/>
  <c r="CE255" i="4"/>
  <c r="EC255" i="4"/>
  <c r="DO255" i="4"/>
  <c r="DC255" i="4"/>
  <c r="CR255" i="4"/>
  <c r="CD255" i="4"/>
  <c r="DZ255" i="4"/>
  <c r="DN255" i="4"/>
  <c r="DB255" i="4"/>
  <c r="CP255" i="4"/>
  <c r="CC255" i="4"/>
  <c r="DX255" i="4"/>
  <c r="DM255" i="4"/>
  <c r="DA255" i="4"/>
  <c r="CM255" i="4"/>
  <c r="CB255" i="4"/>
  <c r="EI255" i="4"/>
  <c r="DW255" i="4"/>
  <c r="DK255" i="4"/>
  <c r="CY255" i="4"/>
  <c r="CL255" i="4"/>
  <c r="CA255" i="4"/>
  <c r="EG255" i="4"/>
  <c r="DV255" i="4"/>
  <c r="DJ255" i="4"/>
  <c r="CW255" i="4"/>
  <c r="CK255" i="4"/>
  <c r="BZ255" i="4"/>
  <c r="EF255" i="4"/>
  <c r="DU255" i="4"/>
  <c r="DH255" i="4"/>
  <c r="CU255" i="4"/>
  <c r="CJ255" i="4"/>
  <c r="EE255" i="4"/>
  <c r="DS255" i="4"/>
  <c r="DF255" i="4"/>
  <c r="CT255" i="4"/>
  <c r="CI255" i="4"/>
  <c r="ED255" i="4"/>
  <c r="DQ255" i="4"/>
  <c r="DE255" i="4"/>
  <c r="CS255" i="4"/>
  <c r="CG255" i="4"/>
  <c r="S105" i="4"/>
  <c r="K105" i="4"/>
  <c r="N105" i="4"/>
  <c r="O105" i="4"/>
  <c r="M105" i="4"/>
  <c r="L105" i="4"/>
  <c r="U105" i="4"/>
  <c r="J105" i="4"/>
  <c r="T105" i="4"/>
  <c r="I105" i="4"/>
  <c r="R105" i="4"/>
  <c r="H105" i="4"/>
  <c r="Q105" i="4"/>
  <c r="P105" i="4"/>
  <c r="EF257" i="4"/>
  <c r="DX257" i="4"/>
  <c r="DP257" i="4"/>
  <c r="DH257" i="4"/>
  <c r="CZ257" i="4"/>
  <c r="CR257" i="4"/>
  <c r="CJ257" i="4"/>
  <c r="CB257" i="4"/>
  <c r="EE257" i="4"/>
  <c r="DV257" i="4"/>
  <c r="DM257" i="4"/>
  <c r="DD257" i="4"/>
  <c r="CU257" i="4"/>
  <c r="CL257" i="4"/>
  <c r="CC257" i="4"/>
  <c r="ED257" i="4"/>
  <c r="DU257" i="4"/>
  <c r="DL257" i="4"/>
  <c r="DC257" i="4"/>
  <c r="CT257" i="4"/>
  <c r="CK257" i="4"/>
  <c r="EC257" i="4"/>
  <c r="DT257" i="4"/>
  <c r="DK257" i="4"/>
  <c r="DB257" i="4"/>
  <c r="CS257" i="4"/>
  <c r="CI257" i="4"/>
  <c r="EI257" i="4"/>
  <c r="DZ257" i="4"/>
  <c r="DS257" i="4"/>
  <c r="DF257" i="4"/>
  <c r="CP257" i="4"/>
  <c r="CD257" i="4"/>
  <c r="DR257" i="4"/>
  <c r="DE257" i="4"/>
  <c r="CO257" i="4"/>
  <c r="EH257" i="4"/>
  <c r="DQ257" i="4"/>
  <c r="DA257" i="4"/>
  <c r="CN257" i="4"/>
  <c r="EG257" i="4"/>
  <c r="DO257" i="4"/>
  <c r="CY257" i="4"/>
  <c r="CM257" i="4"/>
  <c r="EB257" i="4"/>
  <c r="DN257" i="4"/>
  <c r="CX257" i="4"/>
  <c r="CH257" i="4"/>
  <c r="EA257" i="4"/>
  <c r="DJ257" i="4"/>
  <c r="CW257" i="4"/>
  <c r="CG257" i="4"/>
  <c r="DY257" i="4"/>
  <c r="DI257" i="4"/>
  <c r="CV257" i="4"/>
  <c r="CF257" i="4"/>
  <c r="CE257" i="4"/>
  <c r="DW257" i="4"/>
  <c r="DG257" i="4"/>
  <c r="CQ257" i="4"/>
  <c r="S107" i="4"/>
  <c r="K107" i="4"/>
  <c r="N107" i="4"/>
  <c r="L107" i="4"/>
  <c r="U107" i="4"/>
  <c r="J107" i="4"/>
  <c r="T107" i="4"/>
  <c r="R107" i="4"/>
  <c r="Q107" i="4"/>
  <c r="P107" i="4"/>
  <c r="O107" i="4"/>
  <c r="M107" i="4"/>
  <c r="EB259" i="4"/>
  <c r="DT259" i="4"/>
  <c r="DL259" i="4"/>
  <c r="DD259" i="4"/>
  <c r="CV259" i="4"/>
  <c r="CN259" i="4"/>
  <c r="CF259" i="4"/>
  <c r="EH259" i="4"/>
  <c r="DY259" i="4"/>
  <c r="DP259" i="4"/>
  <c r="DG259" i="4"/>
  <c r="CX259" i="4"/>
  <c r="CO259" i="4"/>
  <c r="CE259" i="4"/>
  <c r="EG259" i="4"/>
  <c r="DX259" i="4"/>
  <c r="DO259" i="4"/>
  <c r="DF259" i="4"/>
  <c r="CW259" i="4"/>
  <c r="CM259" i="4"/>
  <c r="CD259" i="4"/>
  <c r="EF259" i="4"/>
  <c r="DW259" i="4"/>
  <c r="DN259" i="4"/>
  <c r="DE259" i="4"/>
  <c r="CU259" i="4"/>
  <c r="CL259" i="4"/>
  <c r="ED259" i="4"/>
  <c r="DU259" i="4"/>
  <c r="DK259" i="4"/>
  <c r="DB259" i="4"/>
  <c r="CS259" i="4"/>
  <c r="CJ259" i="4"/>
  <c r="EC259" i="4"/>
  <c r="DS259" i="4"/>
  <c r="DJ259" i="4"/>
  <c r="DA259" i="4"/>
  <c r="CR259" i="4"/>
  <c r="CI259" i="4"/>
  <c r="EA259" i="4"/>
  <c r="DC259" i="4"/>
  <c r="CG259" i="4"/>
  <c r="DZ259" i="4"/>
  <c r="CZ259" i="4"/>
  <c r="DV259" i="4"/>
  <c r="CY259" i="4"/>
  <c r="DR259" i="4"/>
  <c r="CT259" i="4"/>
  <c r="DQ259" i="4"/>
  <c r="CQ259" i="4"/>
  <c r="DM259" i="4"/>
  <c r="CP259" i="4"/>
  <c r="EI259" i="4"/>
  <c r="DI259" i="4"/>
  <c r="CK259" i="4"/>
  <c r="EE259" i="4"/>
  <c r="DH259" i="4"/>
  <c r="CH259" i="4"/>
  <c r="S109" i="4"/>
  <c r="N109" i="4"/>
  <c r="Q109" i="4"/>
  <c r="P109" i="4"/>
  <c r="O109" i="4"/>
  <c r="M109" i="4"/>
  <c r="L109" i="4"/>
  <c r="U109" i="4"/>
  <c r="T109" i="4"/>
  <c r="R109" i="4"/>
  <c r="EG261" i="4"/>
  <c r="DY261" i="4"/>
  <c r="DQ261" i="4"/>
  <c r="DI261" i="4"/>
  <c r="DA261" i="4"/>
  <c r="CS261" i="4"/>
  <c r="CK261" i="4"/>
  <c r="EF261" i="4"/>
  <c r="DX261" i="4"/>
  <c r="DP261" i="4"/>
  <c r="DH261" i="4"/>
  <c r="CZ261" i="4"/>
  <c r="CR261" i="4"/>
  <c r="CJ261" i="4"/>
  <c r="EC261" i="4"/>
  <c r="DU261" i="4"/>
  <c r="DM261" i="4"/>
  <c r="DE261" i="4"/>
  <c r="CW261" i="4"/>
  <c r="CO261" i="4"/>
  <c r="CG261" i="4"/>
  <c r="EB261" i="4"/>
  <c r="DT261" i="4"/>
  <c r="DL261" i="4"/>
  <c r="DZ261" i="4"/>
  <c r="DJ261" i="4"/>
  <c r="CV261" i="4"/>
  <c r="CI261" i="4"/>
  <c r="DW261" i="4"/>
  <c r="DG261" i="4"/>
  <c r="CU261" i="4"/>
  <c r="CH261" i="4"/>
  <c r="DV261" i="4"/>
  <c r="DF261" i="4"/>
  <c r="CT261" i="4"/>
  <c r="CF261" i="4"/>
  <c r="EI261" i="4"/>
  <c r="DS261" i="4"/>
  <c r="DD261" i="4"/>
  <c r="CQ261" i="4"/>
  <c r="EH261" i="4"/>
  <c r="DR261" i="4"/>
  <c r="DC261" i="4"/>
  <c r="CP261" i="4"/>
  <c r="EE261" i="4"/>
  <c r="DO261" i="4"/>
  <c r="DB261" i="4"/>
  <c r="CN261" i="4"/>
  <c r="EA261" i="4"/>
  <c r="DK261" i="4"/>
  <c r="CX261" i="4"/>
  <c r="CL261" i="4"/>
  <c r="ED261" i="4"/>
  <c r="DN261" i="4"/>
  <c r="CY261" i="4"/>
  <c r="CM261" i="4"/>
  <c r="S111" i="4"/>
  <c r="N111" i="4"/>
  <c r="U111" i="4"/>
  <c r="T111" i="4"/>
  <c r="R111" i="4"/>
  <c r="Q111" i="4"/>
  <c r="P111" i="4"/>
  <c r="O111" i="4"/>
  <c r="EC263" i="4"/>
  <c r="DU263" i="4"/>
  <c r="DM263" i="4"/>
  <c r="DE263" i="4"/>
  <c r="CW263" i="4"/>
  <c r="CO263" i="4"/>
  <c r="EB263" i="4"/>
  <c r="DT263" i="4"/>
  <c r="DL263" i="4"/>
  <c r="DD263" i="4"/>
  <c r="CV263" i="4"/>
  <c r="CN263" i="4"/>
  <c r="EI263" i="4"/>
  <c r="EA263" i="4"/>
  <c r="DS263" i="4"/>
  <c r="DK263" i="4"/>
  <c r="DC263" i="4"/>
  <c r="CU263" i="4"/>
  <c r="CM263" i="4"/>
  <c r="EG263" i="4"/>
  <c r="DY263" i="4"/>
  <c r="DQ263" i="4"/>
  <c r="DI263" i="4"/>
  <c r="DA263" i="4"/>
  <c r="CS263" i="4"/>
  <c r="CK263" i="4"/>
  <c r="EF263" i="4"/>
  <c r="DX263" i="4"/>
  <c r="DP263" i="4"/>
  <c r="DH263" i="4"/>
  <c r="CZ263" i="4"/>
  <c r="CR263" i="4"/>
  <c r="CJ263" i="4"/>
  <c r="DV263" i="4"/>
  <c r="CY263" i="4"/>
  <c r="DR263" i="4"/>
  <c r="CX263" i="4"/>
  <c r="DO263" i="4"/>
  <c r="CT263" i="4"/>
  <c r="EH263" i="4"/>
  <c r="DN263" i="4"/>
  <c r="CQ263" i="4"/>
  <c r="EE263" i="4"/>
  <c r="DJ263" i="4"/>
  <c r="CP263" i="4"/>
  <c r="ED263" i="4"/>
  <c r="DG263" i="4"/>
  <c r="CL263" i="4"/>
  <c r="DW263" i="4"/>
  <c r="DB263" i="4"/>
  <c r="CH263" i="4"/>
  <c r="DZ263" i="4"/>
  <c r="DF263" i="4"/>
  <c r="CI263" i="4"/>
  <c r="S113" i="4"/>
  <c r="P113" i="4"/>
  <c r="U113" i="4"/>
  <c r="T113" i="4"/>
  <c r="R113" i="4"/>
  <c r="Q113" i="4"/>
  <c r="EG265" i="4"/>
  <c r="DY265" i="4"/>
  <c r="DQ265" i="4"/>
  <c r="DI265" i="4"/>
  <c r="DA265" i="4"/>
  <c r="CS265" i="4"/>
  <c r="CK265" i="4"/>
  <c r="EF265" i="4"/>
  <c r="DX265" i="4"/>
  <c r="DP265" i="4"/>
  <c r="DH265" i="4"/>
  <c r="CZ265" i="4"/>
  <c r="CR265" i="4"/>
  <c r="CJ265" i="4"/>
  <c r="EE265" i="4"/>
  <c r="DW265" i="4"/>
  <c r="DO265" i="4"/>
  <c r="DG265" i="4"/>
  <c r="CY265" i="4"/>
  <c r="CQ265" i="4"/>
  <c r="ED265" i="4"/>
  <c r="DV265" i="4"/>
  <c r="DN265" i="4"/>
  <c r="DF265" i="4"/>
  <c r="CX265" i="4"/>
  <c r="CP265" i="4"/>
  <c r="EC265" i="4"/>
  <c r="DU265" i="4"/>
  <c r="DM265" i="4"/>
  <c r="DE265" i="4"/>
  <c r="CW265" i="4"/>
  <c r="CO265" i="4"/>
  <c r="EB265" i="4"/>
  <c r="DT265" i="4"/>
  <c r="DL265" i="4"/>
  <c r="DD265" i="4"/>
  <c r="CV265" i="4"/>
  <c r="CN265" i="4"/>
  <c r="EH265" i="4"/>
  <c r="DB265" i="4"/>
  <c r="EA265" i="4"/>
  <c r="CU265" i="4"/>
  <c r="DZ265" i="4"/>
  <c r="CT265" i="4"/>
  <c r="DS265" i="4"/>
  <c r="CM265" i="4"/>
  <c r="DR265" i="4"/>
  <c r="CL265" i="4"/>
  <c r="DK265" i="4"/>
  <c r="EI265" i="4"/>
  <c r="DC265" i="4"/>
  <c r="DJ265" i="4"/>
  <c r="S115" i="4"/>
  <c r="R115" i="4"/>
  <c r="U115" i="4"/>
  <c r="T115" i="4"/>
  <c r="EC267" i="4"/>
  <c r="DU267" i="4"/>
  <c r="DM267" i="4"/>
  <c r="DE267" i="4"/>
  <c r="CW267" i="4"/>
  <c r="CO267" i="4"/>
  <c r="EB267" i="4"/>
  <c r="DT267" i="4"/>
  <c r="DL267" i="4"/>
  <c r="DD267" i="4"/>
  <c r="CV267" i="4"/>
  <c r="CN267" i="4"/>
  <c r="EI267" i="4"/>
  <c r="EA267" i="4"/>
  <c r="DS267" i="4"/>
  <c r="DK267" i="4"/>
  <c r="DC267" i="4"/>
  <c r="CU267" i="4"/>
  <c r="CM267" i="4"/>
  <c r="EH267" i="4"/>
  <c r="DZ267" i="4"/>
  <c r="DR267" i="4"/>
  <c r="DJ267" i="4"/>
  <c r="DB267" i="4"/>
  <c r="CT267" i="4"/>
  <c r="CL267" i="4"/>
  <c r="EG267" i="4"/>
  <c r="DY267" i="4"/>
  <c r="DQ267" i="4"/>
  <c r="DI267" i="4"/>
  <c r="DA267" i="4"/>
  <c r="CS267" i="4"/>
  <c r="EF267" i="4"/>
  <c r="DX267" i="4"/>
  <c r="DP267" i="4"/>
  <c r="DH267" i="4"/>
  <c r="CZ267" i="4"/>
  <c r="CR267" i="4"/>
  <c r="ED267" i="4"/>
  <c r="CX267" i="4"/>
  <c r="DW267" i="4"/>
  <c r="CQ267" i="4"/>
  <c r="DV267" i="4"/>
  <c r="CP267" i="4"/>
  <c r="DO267" i="4"/>
  <c r="DN267" i="4"/>
  <c r="DG267" i="4"/>
  <c r="EE267" i="4"/>
  <c r="CY267" i="4"/>
  <c r="DF267" i="4"/>
  <c r="U117" i="4"/>
  <c r="T117" i="4"/>
  <c r="EH269" i="4"/>
  <c r="DZ269" i="4"/>
  <c r="DR269" i="4"/>
  <c r="DJ269" i="4"/>
  <c r="DB269" i="4"/>
  <c r="CT269" i="4"/>
  <c r="EA269" i="4"/>
  <c r="DQ269" i="4"/>
  <c r="DH269" i="4"/>
  <c r="CY269" i="4"/>
  <c r="EI269" i="4"/>
  <c r="DY269" i="4"/>
  <c r="DP269" i="4"/>
  <c r="DW269" i="4"/>
  <c r="DL269" i="4"/>
  <c r="DA269" i="4"/>
  <c r="CQ269" i="4"/>
  <c r="EG269" i="4"/>
  <c r="DV269" i="4"/>
  <c r="DK269" i="4"/>
  <c r="CZ269" i="4"/>
  <c r="CP269" i="4"/>
  <c r="EF269" i="4"/>
  <c r="DU269" i="4"/>
  <c r="DI269" i="4"/>
  <c r="CX269" i="4"/>
  <c r="CO269" i="4"/>
  <c r="EE269" i="4"/>
  <c r="DT269" i="4"/>
  <c r="DG269" i="4"/>
  <c r="CW269" i="4"/>
  <c r="CN269" i="4"/>
  <c r="ED269" i="4"/>
  <c r="DS269" i="4"/>
  <c r="DF269" i="4"/>
  <c r="CV269" i="4"/>
  <c r="EC269" i="4"/>
  <c r="DO269" i="4"/>
  <c r="DE269" i="4"/>
  <c r="CU269" i="4"/>
  <c r="EB269" i="4"/>
  <c r="DX269" i="4"/>
  <c r="DN269" i="4"/>
  <c r="DM269" i="4"/>
  <c r="DD269" i="4"/>
  <c r="DC269" i="4"/>
  <c r="CR269" i="4"/>
  <c r="CS269" i="4"/>
  <c r="K122" i="4"/>
  <c r="C122" i="4"/>
  <c r="N122" i="4"/>
  <c r="F122" i="4"/>
  <c r="O122" i="4"/>
  <c r="D122" i="4"/>
  <c r="M122" i="4"/>
  <c r="B122" i="4"/>
  <c r="E11" i="4" s="1"/>
  <c r="L122" i="4"/>
  <c r="J122" i="4"/>
  <c r="I122" i="4"/>
  <c r="H122" i="4"/>
  <c r="G122" i="4"/>
  <c r="P122" i="4"/>
  <c r="E122" i="4"/>
  <c r="ED271" i="4"/>
  <c r="DV271" i="4"/>
  <c r="DN271" i="4"/>
  <c r="DF271" i="4"/>
  <c r="CX271" i="4"/>
  <c r="CP271" i="4"/>
  <c r="EA271" i="4"/>
  <c r="DR271" i="4"/>
  <c r="DI271" i="4"/>
  <c r="CZ271" i="4"/>
  <c r="CQ271" i="4"/>
  <c r="EI271" i="4"/>
  <c r="DZ271" i="4"/>
  <c r="DQ271" i="4"/>
  <c r="DH271" i="4"/>
  <c r="CY271" i="4"/>
  <c r="EE271" i="4"/>
  <c r="DS271" i="4"/>
  <c r="DE271" i="4"/>
  <c r="CT271" i="4"/>
  <c r="EC271" i="4"/>
  <c r="DP271" i="4"/>
  <c r="DD271" i="4"/>
  <c r="CS271" i="4"/>
  <c r="EB271" i="4"/>
  <c r="DO271" i="4"/>
  <c r="DC271" i="4"/>
  <c r="CR271" i="4"/>
  <c r="DY271" i="4"/>
  <c r="DM271" i="4"/>
  <c r="DB271" i="4"/>
  <c r="DX271" i="4"/>
  <c r="DL271" i="4"/>
  <c r="DA271" i="4"/>
  <c r="EH271" i="4"/>
  <c r="DW271" i="4"/>
  <c r="DK271" i="4"/>
  <c r="CW271" i="4"/>
  <c r="CV271" i="4"/>
  <c r="CU271" i="4"/>
  <c r="EG271" i="4"/>
  <c r="EF271" i="4"/>
  <c r="DU271" i="4"/>
  <c r="DT271" i="4"/>
  <c r="DG271" i="4"/>
  <c r="DJ271" i="4"/>
  <c r="M124" i="4"/>
  <c r="E124" i="4"/>
  <c r="P124" i="4"/>
  <c r="H124" i="4"/>
  <c r="F124" i="4"/>
  <c r="O124" i="4"/>
  <c r="D124" i="4"/>
  <c r="N124" i="4"/>
  <c r="L124" i="4"/>
  <c r="K124" i="4"/>
  <c r="J124" i="4"/>
  <c r="I124" i="4"/>
  <c r="G124" i="4"/>
  <c r="EH273" i="4"/>
  <c r="DZ273" i="4"/>
  <c r="DR273" i="4"/>
  <c r="DJ273" i="4"/>
  <c r="DB273" i="4"/>
  <c r="CT273" i="4"/>
  <c r="EI273" i="4"/>
  <c r="DY273" i="4"/>
  <c r="DP273" i="4"/>
  <c r="DG273" i="4"/>
  <c r="CX273" i="4"/>
  <c r="EG273" i="4"/>
  <c r="DX273" i="4"/>
  <c r="DO273" i="4"/>
  <c r="DF273" i="4"/>
  <c r="CW273" i="4"/>
  <c r="EC273" i="4"/>
  <c r="DT273" i="4"/>
  <c r="DK273" i="4"/>
  <c r="DA273" i="4"/>
  <c r="CR273" i="4"/>
  <c r="ED273" i="4"/>
  <c r="DN273" i="4"/>
  <c r="CZ273" i="4"/>
  <c r="EB273" i="4"/>
  <c r="DM273" i="4"/>
  <c r="CY273" i="4"/>
  <c r="EA273" i="4"/>
  <c r="DL273" i="4"/>
  <c r="CV273" i="4"/>
  <c r="DW273" i="4"/>
  <c r="DI273" i="4"/>
  <c r="CU273" i="4"/>
  <c r="DV273" i="4"/>
  <c r="DH273" i="4"/>
  <c r="CS273" i="4"/>
  <c r="DU273" i="4"/>
  <c r="DE273" i="4"/>
  <c r="EF273" i="4"/>
  <c r="EE273" i="4"/>
  <c r="DS273" i="4"/>
  <c r="DQ273" i="4"/>
  <c r="DD273" i="4"/>
  <c r="DC273" i="4"/>
  <c r="O126" i="4"/>
  <c r="G126" i="4"/>
  <c r="J126" i="4"/>
  <c r="F126" i="4"/>
  <c r="P126" i="4"/>
  <c r="N126" i="4"/>
  <c r="M126" i="4"/>
  <c r="L126" i="4"/>
  <c r="K126" i="4"/>
  <c r="I126" i="4"/>
  <c r="H126" i="4"/>
  <c r="ED275" i="4"/>
  <c r="DV275" i="4"/>
  <c r="DN275" i="4"/>
  <c r="DF275" i="4"/>
  <c r="CX275" i="4"/>
  <c r="EI275" i="4"/>
  <c r="EA275" i="4"/>
  <c r="DS275" i="4"/>
  <c r="DK275" i="4"/>
  <c r="DC275" i="4"/>
  <c r="CU275" i="4"/>
  <c r="EH275" i="4"/>
  <c r="DX275" i="4"/>
  <c r="DM275" i="4"/>
  <c r="DB275" i="4"/>
  <c r="EG275" i="4"/>
  <c r="DW275" i="4"/>
  <c r="DL275" i="4"/>
  <c r="DA275" i="4"/>
  <c r="EB275" i="4"/>
  <c r="DQ275" i="4"/>
  <c r="DG275" i="4"/>
  <c r="CV275" i="4"/>
  <c r="EE275" i="4"/>
  <c r="DO275" i="4"/>
  <c r="CW275" i="4"/>
  <c r="EC275" i="4"/>
  <c r="DJ275" i="4"/>
  <c r="CT275" i="4"/>
  <c r="DZ275" i="4"/>
  <c r="DI275" i="4"/>
  <c r="DY275" i="4"/>
  <c r="DH275" i="4"/>
  <c r="DU275" i="4"/>
  <c r="DE275" i="4"/>
  <c r="DT275" i="4"/>
  <c r="DD275" i="4"/>
  <c r="EF275" i="4"/>
  <c r="DR275" i="4"/>
  <c r="DP275" i="4"/>
  <c r="CZ275" i="4"/>
  <c r="CY275" i="4"/>
  <c r="I128" i="4"/>
  <c r="L128" i="4"/>
  <c r="P128" i="4"/>
  <c r="O128" i="4"/>
  <c r="N128" i="4"/>
  <c r="M128" i="4"/>
  <c r="K128" i="4"/>
  <c r="J128" i="4"/>
  <c r="H128" i="4"/>
  <c r="EH277" i="4"/>
  <c r="DZ277" i="4"/>
  <c r="DR277" i="4"/>
  <c r="DJ277" i="4"/>
  <c r="DB277" i="4"/>
  <c r="EE277" i="4"/>
  <c r="DW277" i="4"/>
  <c r="DO277" i="4"/>
  <c r="DG277" i="4"/>
  <c r="CY277" i="4"/>
  <c r="EI277" i="4"/>
  <c r="DX277" i="4"/>
  <c r="DM277" i="4"/>
  <c r="DC277" i="4"/>
  <c r="EG277" i="4"/>
  <c r="DV277" i="4"/>
  <c r="DL277" i="4"/>
  <c r="DA277" i="4"/>
  <c r="EF277" i="4"/>
  <c r="DU277" i="4"/>
  <c r="DK277" i="4"/>
  <c r="CZ277" i="4"/>
  <c r="EB277" i="4"/>
  <c r="DQ277" i="4"/>
  <c r="DF277" i="4"/>
  <c r="CV277" i="4"/>
  <c r="DY277" i="4"/>
  <c r="DD277" i="4"/>
  <c r="DT277" i="4"/>
  <c r="CX277" i="4"/>
  <c r="DS277" i="4"/>
  <c r="CW277" i="4"/>
  <c r="DP277" i="4"/>
  <c r="DN277" i="4"/>
  <c r="ED277" i="4"/>
  <c r="DI277" i="4"/>
  <c r="DE277" i="4"/>
  <c r="EC277" i="4"/>
  <c r="DH277" i="4"/>
  <c r="EA277" i="4"/>
  <c r="L130" i="4"/>
  <c r="K130" i="4"/>
  <c r="N130" i="4"/>
  <c r="O130" i="4"/>
  <c r="M130" i="4"/>
  <c r="J130" i="4"/>
  <c r="P130" i="4"/>
  <c r="ED279" i="4"/>
  <c r="DV279" i="4"/>
  <c r="DN279" i="4"/>
  <c r="DF279" i="4"/>
  <c r="CX279" i="4"/>
  <c r="EI279" i="4"/>
  <c r="EA279" i="4"/>
  <c r="DS279" i="4"/>
  <c r="DK279" i="4"/>
  <c r="DC279" i="4"/>
  <c r="EH279" i="4"/>
  <c r="DX279" i="4"/>
  <c r="DM279" i="4"/>
  <c r="DB279" i="4"/>
  <c r="EG279" i="4"/>
  <c r="DW279" i="4"/>
  <c r="DL279" i="4"/>
  <c r="DA279" i="4"/>
  <c r="EF279" i="4"/>
  <c r="DU279" i="4"/>
  <c r="DJ279" i="4"/>
  <c r="CZ279" i="4"/>
  <c r="EE279" i="4"/>
  <c r="DT279" i="4"/>
  <c r="DI279" i="4"/>
  <c r="CY279" i="4"/>
  <c r="EB279" i="4"/>
  <c r="DQ279" i="4"/>
  <c r="DG279" i="4"/>
  <c r="DE279" i="4"/>
  <c r="EC279" i="4"/>
  <c r="DD279" i="4"/>
  <c r="DZ279" i="4"/>
  <c r="DY279" i="4"/>
  <c r="DR279" i="4"/>
  <c r="DP279" i="4"/>
  <c r="DO279" i="4"/>
  <c r="DH279" i="4"/>
  <c r="N132" i="4"/>
  <c r="M132" i="4"/>
  <c r="L132" i="4"/>
  <c r="P132" i="4"/>
  <c r="O132" i="4"/>
  <c r="EH281" i="4"/>
  <c r="DZ281" i="4"/>
  <c r="DR281" i="4"/>
  <c r="ED281" i="4"/>
  <c r="DV281" i="4"/>
  <c r="EC281" i="4"/>
  <c r="DS281" i="4"/>
  <c r="DJ281" i="4"/>
  <c r="DB281" i="4"/>
  <c r="DY281" i="4"/>
  <c r="DO281" i="4"/>
  <c r="DG281" i="4"/>
  <c r="DW281" i="4"/>
  <c r="DK281" i="4"/>
  <c r="CZ281" i="4"/>
  <c r="EI281" i="4"/>
  <c r="DU281" i="4"/>
  <c r="DI281" i="4"/>
  <c r="EG281" i="4"/>
  <c r="DT281" i="4"/>
  <c r="DH281" i="4"/>
  <c r="EF281" i="4"/>
  <c r="DQ281" i="4"/>
  <c r="DF281" i="4"/>
  <c r="EB281" i="4"/>
  <c r="DN281" i="4"/>
  <c r="DD281" i="4"/>
  <c r="DX281" i="4"/>
  <c r="DL281" i="4"/>
  <c r="DA281" i="4"/>
  <c r="EE281" i="4"/>
  <c r="EA281" i="4"/>
  <c r="DP281" i="4"/>
  <c r="DM281" i="4"/>
  <c r="DE281" i="4"/>
  <c r="DC281" i="4"/>
  <c r="P134" i="4"/>
  <c r="O134" i="4"/>
  <c r="N134" i="4"/>
  <c r="ED283" i="4"/>
  <c r="DV283" i="4"/>
  <c r="DN283" i="4"/>
  <c r="DF283" i="4"/>
  <c r="EH283" i="4"/>
  <c r="DZ283" i="4"/>
  <c r="DR283" i="4"/>
  <c r="DJ283" i="4"/>
  <c r="DB283" i="4"/>
  <c r="DY283" i="4"/>
  <c r="DO283" i="4"/>
  <c r="DD283" i="4"/>
  <c r="EF283" i="4"/>
  <c r="DU283" i="4"/>
  <c r="DK283" i="4"/>
  <c r="EA283" i="4"/>
  <c r="DP283" i="4"/>
  <c r="DE283" i="4"/>
  <c r="DT283" i="4"/>
  <c r="DC283" i="4"/>
  <c r="EI283" i="4"/>
  <c r="DS283" i="4"/>
  <c r="EG283" i="4"/>
  <c r="DQ283" i="4"/>
  <c r="EE283" i="4"/>
  <c r="DM283" i="4"/>
  <c r="EB283" i="4"/>
  <c r="DI283" i="4"/>
  <c r="DW283" i="4"/>
  <c r="DG283" i="4"/>
  <c r="EC283" i="4"/>
  <c r="DX283" i="4"/>
  <c r="DL283" i="4"/>
  <c r="DH283" i="4"/>
  <c r="P136" i="4"/>
  <c r="EH285" i="4"/>
  <c r="DZ285" i="4"/>
  <c r="DR285" i="4"/>
  <c r="DJ285" i="4"/>
  <c r="ED285" i="4"/>
  <c r="DV285" i="4"/>
  <c r="DN285" i="4"/>
  <c r="DF285" i="4"/>
  <c r="EE285" i="4"/>
  <c r="DT285" i="4"/>
  <c r="DI285" i="4"/>
  <c r="EA285" i="4"/>
  <c r="DP285" i="4"/>
  <c r="DE285" i="4"/>
  <c r="EF285" i="4"/>
  <c r="DU285" i="4"/>
  <c r="DK285" i="4"/>
  <c r="EI285" i="4"/>
  <c r="DQ285" i="4"/>
  <c r="EG285" i="4"/>
  <c r="DO285" i="4"/>
  <c r="EC285" i="4"/>
  <c r="DM285" i="4"/>
  <c r="EB285" i="4"/>
  <c r="DL285" i="4"/>
  <c r="DX285" i="4"/>
  <c r="DG285" i="4"/>
  <c r="DS285" i="4"/>
  <c r="DY285" i="4"/>
  <c r="DW285" i="4"/>
  <c r="DH285" i="4"/>
  <c r="DD285" i="4"/>
  <c r="K141" i="4"/>
  <c r="C141" i="4"/>
  <c r="J141" i="4"/>
  <c r="Q141" i="4"/>
  <c r="I141" i="4"/>
  <c r="N141" i="4"/>
  <c r="F141" i="4"/>
  <c r="M141" i="4"/>
  <c r="E141" i="4"/>
  <c r="P141" i="4"/>
  <c r="O141" i="4"/>
  <c r="L141" i="4"/>
  <c r="H141" i="4"/>
  <c r="G141" i="4"/>
  <c r="D141" i="4"/>
  <c r="ED287" i="4"/>
  <c r="DV287" i="4"/>
  <c r="DN287" i="4"/>
  <c r="DF287" i="4"/>
  <c r="EH287" i="4"/>
  <c r="DZ287" i="4"/>
  <c r="DR287" i="4"/>
  <c r="DJ287" i="4"/>
  <c r="EF287" i="4"/>
  <c r="DX287" i="4"/>
  <c r="DP287" i="4"/>
  <c r="DH287" i="4"/>
  <c r="EB287" i="4"/>
  <c r="DO287" i="4"/>
  <c r="DW287" i="4"/>
  <c r="DK287" i="4"/>
  <c r="EC287" i="4"/>
  <c r="DQ287" i="4"/>
  <c r="EE287" i="4"/>
  <c r="DI287" i="4"/>
  <c r="EA287" i="4"/>
  <c r="DG287" i="4"/>
  <c r="DY287" i="4"/>
  <c r="DU287" i="4"/>
  <c r="DS287" i="4"/>
  <c r="EG287" i="4"/>
  <c r="DL287" i="4"/>
  <c r="EI287" i="4"/>
  <c r="DT287" i="4"/>
  <c r="DM287" i="4"/>
  <c r="K143" i="4"/>
  <c r="J143" i="4"/>
  <c r="Q143" i="4"/>
  <c r="I143" i="4"/>
  <c r="N143" i="4"/>
  <c r="F143" i="4"/>
  <c r="M143" i="4"/>
  <c r="E143" i="4"/>
  <c r="P143" i="4"/>
  <c r="O143" i="4"/>
  <c r="L143" i="4"/>
  <c r="H143" i="4"/>
  <c r="G143" i="4"/>
  <c r="EH289" i="4"/>
  <c r="DZ289" i="4"/>
  <c r="DR289" i="4"/>
  <c r="DJ289" i="4"/>
  <c r="EF289" i="4"/>
  <c r="DX289" i="4"/>
  <c r="DP289" i="4"/>
  <c r="DH289" i="4"/>
  <c r="ED289" i="4"/>
  <c r="DV289" i="4"/>
  <c r="DN289" i="4"/>
  <c r="EB289" i="4"/>
  <c r="DT289" i="4"/>
  <c r="DL289" i="4"/>
  <c r="EI289" i="4"/>
  <c r="DS289" i="4"/>
  <c r="EC289" i="4"/>
  <c r="DM289" i="4"/>
  <c r="DU289" i="4"/>
  <c r="DY289" i="4"/>
  <c r="DW289" i="4"/>
  <c r="DQ289" i="4"/>
  <c r="DO289" i="4"/>
  <c r="EG289" i="4"/>
  <c r="DI289" i="4"/>
  <c r="EA289" i="4"/>
  <c r="EE289" i="4"/>
  <c r="DK289" i="4"/>
  <c r="K145" i="4"/>
  <c r="J145" i="4"/>
  <c r="Q145" i="4"/>
  <c r="I145" i="4"/>
  <c r="N145" i="4"/>
  <c r="M145" i="4"/>
  <c r="H145" i="4"/>
  <c r="G145" i="4"/>
  <c r="P145" i="4"/>
  <c r="O145" i="4"/>
  <c r="L145" i="4"/>
  <c r="ED291" i="4"/>
  <c r="DV291" i="4"/>
  <c r="DN291" i="4"/>
  <c r="EB291" i="4"/>
  <c r="DT291" i="4"/>
  <c r="DL291" i="4"/>
  <c r="EH291" i="4"/>
  <c r="DZ291" i="4"/>
  <c r="DR291" i="4"/>
  <c r="DJ291" i="4"/>
  <c r="EF291" i="4"/>
  <c r="DX291" i="4"/>
  <c r="DP291" i="4"/>
  <c r="EE291" i="4"/>
  <c r="DO291" i="4"/>
  <c r="DY291" i="4"/>
  <c r="EG291" i="4"/>
  <c r="DQ291" i="4"/>
  <c r="EA291" i="4"/>
  <c r="DW291" i="4"/>
  <c r="DU291" i="4"/>
  <c r="DS291" i="4"/>
  <c r="DK291" i="4"/>
  <c r="EC291" i="4"/>
  <c r="EI291" i="4"/>
  <c r="DM291" i="4"/>
  <c r="K147" i="4"/>
  <c r="J147" i="4"/>
  <c r="Q147" i="4"/>
  <c r="I147" i="4"/>
  <c r="N147" i="4"/>
  <c r="M147" i="4"/>
  <c r="P147" i="4"/>
  <c r="O147" i="4"/>
  <c r="L147" i="4"/>
  <c r="EH293" i="4"/>
  <c r="DZ293" i="4"/>
  <c r="DR293" i="4"/>
  <c r="EF293" i="4"/>
  <c r="DX293" i="4"/>
  <c r="DP293" i="4"/>
  <c r="ED293" i="4"/>
  <c r="DV293" i="4"/>
  <c r="DN293" i="4"/>
  <c r="EB293" i="4"/>
  <c r="DT293" i="4"/>
  <c r="DL293" i="4"/>
  <c r="DW293" i="4"/>
  <c r="EG293" i="4"/>
  <c r="DQ293" i="4"/>
  <c r="DY293" i="4"/>
  <c r="DS293" i="4"/>
  <c r="DO293" i="4"/>
  <c r="DM293" i="4"/>
  <c r="EI293" i="4"/>
  <c r="EC293" i="4"/>
  <c r="DU293" i="4"/>
  <c r="EA293" i="4"/>
  <c r="EE293" i="4"/>
  <c r="K149" i="4"/>
  <c r="Q149" i="4"/>
  <c r="N149" i="4"/>
  <c r="M149" i="4"/>
  <c r="P149" i="4"/>
  <c r="O149" i="4"/>
  <c r="L149" i="4"/>
  <c r="ED295" i="4"/>
  <c r="DV295" i="4"/>
  <c r="DN295" i="4"/>
  <c r="EB295" i="4"/>
  <c r="DT295" i="4"/>
  <c r="EH295" i="4"/>
  <c r="DZ295" i="4"/>
  <c r="DR295" i="4"/>
  <c r="EF295" i="4"/>
  <c r="DX295" i="4"/>
  <c r="DP295" i="4"/>
  <c r="EA295" i="4"/>
  <c r="DU295" i="4"/>
  <c r="EC295" i="4"/>
  <c r="DW295" i="4"/>
  <c r="DS295" i="4"/>
  <c r="DQ295" i="4"/>
  <c r="DO295" i="4"/>
  <c r="EG295" i="4"/>
  <c r="DY295" i="4"/>
  <c r="EI295" i="4"/>
  <c r="EE295" i="4"/>
  <c r="Q151" i="4"/>
  <c r="N151" i="4"/>
  <c r="M151" i="4"/>
  <c r="P151" i="4"/>
  <c r="O151" i="4"/>
  <c r="EH297" i="4"/>
  <c r="DZ297" i="4"/>
  <c r="DR297" i="4"/>
  <c r="EF297" i="4"/>
  <c r="DX297" i="4"/>
  <c r="DP297" i="4"/>
  <c r="ED297" i="4"/>
  <c r="DV297" i="4"/>
  <c r="EB297" i="4"/>
  <c r="DT297" i="4"/>
  <c r="EA297" i="4"/>
  <c r="DU297" i="4"/>
  <c r="EC297" i="4"/>
  <c r="DQ297" i="4"/>
  <c r="EI297" i="4"/>
  <c r="EG297" i="4"/>
  <c r="DY297" i="4"/>
  <c r="DS297" i="4"/>
  <c r="EE297" i="4"/>
  <c r="DW297" i="4"/>
  <c r="Q153" i="4"/>
  <c r="P153" i="4"/>
  <c r="O153" i="4"/>
  <c r="ED299" i="4"/>
  <c r="DV299" i="4"/>
  <c r="EB299" i="4"/>
  <c r="DT299" i="4"/>
  <c r="EH299" i="4"/>
  <c r="DZ299" i="4"/>
  <c r="DR299" i="4"/>
  <c r="EF299" i="4"/>
  <c r="DX299" i="4"/>
  <c r="DW299" i="4"/>
  <c r="EG299" i="4"/>
  <c r="DY299" i="4"/>
  <c r="EE299" i="4"/>
  <c r="EC299" i="4"/>
  <c r="EA299" i="4"/>
  <c r="DU299" i="4"/>
  <c r="DS299" i="4"/>
  <c r="EI299" i="4"/>
  <c r="Q155" i="4"/>
  <c r="EH301" i="4"/>
  <c r="DZ301" i="4"/>
  <c r="EF301" i="4"/>
  <c r="DX301" i="4"/>
  <c r="ED301" i="4"/>
  <c r="DV301" i="4"/>
  <c r="EB301" i="4"/>
  <c r="DT301" i="4"/>
  <c r="EE301" i="4"/>
  <c r="DY301" i="4"/>
  <c r="EG301" i="4"/>
  <c r="EI301" i="4"/>
  <c r="EC301" i="4"/>
  <c r="EA301" i="4"/>
  <c r="DW301" i="4"/>
  <c r="DU301" i="4"/>
  <c r="R160" i="4"/>
  <c r="J160" i="4"/>
  <c r="Q160" i="4"/>
  <c r="I160" i="4"/>
  <c r="P160" i="4"/>
  <c r="H160" i="4"/>
  <c r="M160" i="4"/>
  <c r="E160" i="4"/>
  <c r="L160" i="4"/>
  <c r="D160" i="4"/>
  <c r="O160" i="4"/>
  <c r="N160" i="4"/>
  <c r="K160" i="4"/>
  <c r="G160" i="4"/>
  <c r="F160" i="4"/>
  <c r="C160" i="4"/>
  <c r="ED303" i="4"/>
  <c r="DV303" i="4"/>
  <c r="EB303" i="4"/>
  <c r="EH303" i="4"/>
  <c r="DZ303" i="4"/>
  <c r="EF303" i="4"/>
  <c r="DX303" i="4"/>
  <c r="EI303" i="4"/>
  <c r="EC303" i="4"/>
  <c r="EG303" i="4"/>
  <c r="EE303" i="4"/>
  <c r="EA303" i="4"/>
  <c r="DY303" i="4"/>
  <c r="DW303" i="4"/>
  <c r="P162" i="4"/>
  <c r="H162" i="4"/>
  <c r="O162" i="4"/>
  <c r="G162" i="4"/>
  <c r="N162" i="4"/>
  <c r="F162" i="4"/>
  <c r="K162" i="4"/>
  <c r="R162" i="4"/>
  <c r="J162" i="4"/>
  <c r="Q162" i="4"/>
  <c r="M162" i="4"/>
  <c r="L162" i="4"/>
  <c r="I162" i="4"/>
  <c r="E162" i="4"/>
  <c r="EH305" i="4"/>
  <c r="DZ305" i="4"/>
  <c r="EF305" i="4"/>
  <c r="DX305" i="4"/>
  <c r="ED305" i="4"/>
  <c r="EB305" i="4"/>
  <c r="EI305" i="4"/>
  <c r="EC305" i="4"/>
  <c r="DY305" i="4"/>
  <c r="EG305" i="4"/>
  <c r="EA305" i="4"/>
  <c r="EE305" i="4"/>
  <c r="N164" i="4"/>
  <c r="M164" i="4"/>
  <c r="L164" i="4"/>
  <c r="Q164" i="4"/>
  <c r="I164" i="4"/>
  <c r="P164" i="4"/>
  <c r="H164" i="4"/>
  <c r="K164" i="4"/>
  <c r="J164" i="4"/>
  <c r="G164" i="4"/>
  <c r="R164" i="4"/>
  <c r="O164" i="4"/>
  <c r="ED307" i="4"/>
  <c r="EB307" i="4"/>
  <c r="EH307" i="4"/>
  <c r="DZ307" i="4"/>
  <c r="EF307" i="4"/>
  <c r="EE307" i="4"/>
  <c r="EG307" i="4"/>
  <c r="EI307" i="4"/>
  <c r="EC307" i="4"/>
  <c r="EA307" i="4"/>
  <c r="L166" i="4"/>
  <c r="K166" i="4"/>
  <c r="R166" i="4"/>
  <c r="J166" i="4"/>
  <c r="O166" i="4"/>
  <c r="N166" i="4"/>
  <c r="Q166" i="4"/>
  <c r="P166" i="4"/>
  <c r="M166" i="4"/>
  <c r="I166" i="4"/>
  <c r="EH309" i="4"/>
  <c r="EF309" i="4"/>
  <c r="ED309" i="4"/>
  <c r="EB309" i="4"/>
  <c r="EG309" i="4"/>
  <c r="EE309" i="4"/>
  <c r="EC309" i="4"/>
  <c r="EI309" i="4"/>
  <c r="R168" i="4"/>
  <c r="Q168" i="4"/>
  <c r="P168" i="4"/>
  <c r="M168" i="4"/>
  <c r="L168" i="4"/>
  <c r="O168" i="4"/>
  <c r="N168" i="4"/>
  <c r="K168" i="4"/>
  <c r="ED311" i="4"/>
  <c r="EH311" i="4"/>
  <c r="EF311" i="4"/>
  <c r="EI311" i="4"/>
  <c r="EG311" i="4"/>
  <c r="EE311" i="4"/>
  <c r="P170" i="4"/>
  <c r="O170" i="4"/>
  <c r="N170" i="4"/>
  <c r="R170" i="4"/>
  <c r="M170" i="4"/>
  <c r="Q170" i="4"/>
  <c r="EH313" i="4"/>
  <c r="EF313" i="4"/>
  <c r="EI313" i="4"/>
  <c r="EG313" i="4"/>
  <c r="Q172" i="4"/>
  <c r="P172" i="4"/>
  <c r="R172" i="4"/>
  <c r="O172" i="4"/>
  <c r="EH315" i="4"/>
  <c r="EI315" i="4"/>
  <c r="R174" i="4"/>
  <c r="Q174" i="4"/>
  <c r="N17" i="2"/>
  <c r="G6" i="1"/>
  <c r="E8" i="1"/>
  <c r="F67" i="1" s="1"/>
  <c r="EC186" i="4"/>
  <c r="DU186" i="4"/>
  <c r="DM186" i="4"/>
  <c r="DE186" i="4"/>
  <c r="CW186" i="4"/>
  <c r="CO186" i="4"/>
  <c r="CG186" i="4"/>
  <c r="BY186" i="4"/>
  <c r="BQ186" i="4"/>
  <c r="BI186" i="4"/>
  <c r="BA186" i="4"/>
  <c r="AS186" i="4"/>
  <c r="AK186" i="4"/>
  <c r="AC186" i="4"/>
  <c r="U186" i="4"/>
  <c r="M186" i="4"/>
  <c r="EF186" i="4"/>
  <c r="DX186" i="4"/>
  <c r="DP186" i="4"/>
  <c r="DH186" i="4"/>
  <c r="CZ186" i="4"/>
  <c r="CR186" i="4"/>
  <c r="CJ186" i="4"/>
  <c r="CB186" i="4"/>
  <c r="BT186" i="4"/>
  <c r="BL186" i="4"/>
  <c r="BD186" i="4"/>
  <c r="AV186" i="4"/>
  <c r="AN186" i="4"/>
  <c r="AF186" i="4"/>
  <c r="X186" i="4"/>
  <c r="P186" i="4"/>
  <c r="DZ186" i="4"/>
  <c r="DO186" i="4"/>
  <c r="DD186" i="4"/>
  <c r="CT186" i="4"/>
  <c r="CI186" i="4"/>
  <c r="BX186" i="4"/>
  <c r="BN186" i="4"/>
  <c r="BC186" i="4"/>
  <c r="AR186" i="4"/>
  <c r="AH186" i="4"/>
  <c r="W186" i="4"/>
  <c r="L186" i="4"/>
  <c r="EI186" i="4"/>
  <c r="DY186" i="4"/>
  <c r="DN186" i="4"/>
  <c r="DC186" i="4"/>
  <c r="CS186" i="4"/>
  <c r="CH186" i="4"/>
  <c r="BW186" i="4"/>
  <c r="BM186" i="4"/>
  <c r="BB186" i="4"/>
  <c r="AQ186" i="4"/>
  <c r="AG186" i="4"/>
  <c r="V186" i="4"/>
  <c r="K186" i="4"/>
  <c r="EH186" i="4"/>
  <c r="DW186" i="4"/>
  <c r="DL186" i="4"/>
  <c r="DB186" i="4"/>
  <c r="CQ186" i="4"/>
  <c r="CF186" i="4"/>
  <c r="BV186" i="4"/>
  <c r="BK186" i="4"/>
  <c r="AZ186" i="4"/>
  <c r="AP186" i="4"/>
  <c r="AE186" i="4"/>
  <c r="T186" i="4"/>
  <c r="J186" i="4"/>
  <c r="EG186" i="4"/>
  <c r="DV186" i="4"/>
  <c r="DK186" i="4"/>
  <c r="DA186" i="4"/>
  <c r="CP186" i="4"/>
  <c r="CE186" i="4"/>
  <c r="BU186" i="4"/>
  <c r="BJ186" i="4"/>
  <c r="AY186" i="4"/>
  <c r="AO186" i="4"/>
  <c r="AD186" i="4"/>
  <c r="S186" i="4"/>
  <c r="I186" i="4"/>
  <c r="EE186" i="4"/>
  <c r="DT186" i="4"/>
  <c r="DJ186" i="4"/>
  <c r="CY186" i="4"/>
  <c r="CN186" i="4"/>
  <c r="CD186" i="4"/>
  <c r="BS186" i="4"/>
  <c r="BH186" i="4"/>
  <c r="AX186" i="4"/>
  <c r="AM186" i="4"/>
  <c r="AB186" i="4"/>
  <c r="R186" i="4"/>
  <c r="ED186" i="4"/>
  <c r="DS186" i="4"/>
  <c r="DI186" i="4"/>
  <c r="CX186" i="4"/>
  <c r="CM186" i="4"/>
  <c r="CC186" i="4"/>
  <c r="BR186" i="4"/>
  <c r="BG186" i="4"/>
  <c r="AW186" i="4"/>
  <c r="AL186" i="4"/>
  <c r="AA186" i="4"/>
  <c r="Q186" i="4"/>
  <c r="EB186" i="4"/>
  <c r="DR186" i="4"/>
  <c r="DG186" i="4"/>
  <c r="CV186" i="4"/>
  <c r="CL186" i="4"/>
  <c r="CA186" i="4"/>
  <c r="BP186" i="4"/>
  <c r="BF186" i="4"/>
  <c r="AU186" i="4"/>
  <c r="AJ186" i="4"/>
  <c r="Z186" i="4"/>
  <c r="O186" i="4"/>
  <c r="CU186" i="4"/>
  <c r="N186" i="4"/>
  <c r="P24" i="4"/>
  <c r="CK186" i="4"/>
  <c r="O24" i="4"/>
  <c r="BZ186" i="4"/>
  <c r="N24" i="4"/>
  <c r="BO186" i="4"/>
  <c r="M24" i="4"/>
  <c r="BE186" i="4"/>
  <c r="L24" i="4"/>
  <c r="EA186" i="4"/>
  <c r="AT186" i="4"/>
  <c r="S24" i="4"/>
  <c r="K24" i="4"/>
  <c r="DQ186" i="4"/>
  <c r="AI186" i="4"/>
  <c r="R24" i="4"/>
  <c r="J24" i="4"/>
  <c r="DF186" i="4"/>
  <c r="Y186" i="4"/>
  <c r="Q24" i="4"/>
  <c r="I24" i="4"/>
  <c r="G14" i="1"/>
  <c r="EF193" i="4"/>
  <c r="DX193" i="4"/>
  <c r="DP193" i="4"/>
  <c r="DH193" i="4"/>
  <c r="CZ193" i="4"/>
  <c r="CR193" i="4"/>
  <c r="CJ193" i="4"/>
  <c r="CB193" i="4"/>
  <c r="BT193" i="4"/>
  <c r="BL193" i="4"/>
  <c r="BD193" i="4"/>
  <c r="AV193" i="4"/>
  <c r="AN193" i="4"/>
  <c r="AF193" i="4"/>
  <c r="X193" i="4"/>
  <c r="P193" i="4"/>
  <c r="EE193" i="4"/>
  <c r="DW193" i="4"/>
  <c r="DO193" i="4"/>
  <c r="DG193" i="4"/>
  <c r="CY193" i="4"/>
  <c r="CQ193" i="4"/>
  <c r="CI193" i="4"/>
  <c r="CA193" i="4"/>
  <c r="BS193" i="4"/>
  <c r="BK193" i="4"/>
  <c r="BC193" i="4"/>
  <c r="AU193" i="4"/>
  <c r="AM193" i="4"/>
  <c r="AE193" i="4"/>
  <c r="W193" i="4"/>
  <c r="ED193" i="4"/>
  <c r="DV193" i="4"/>
  <c r="DN193" i="4"/>
  <c r="DF193" i="4"/>
  <c r="CX193" i="4"/>
  <c r="CP193" i="4"/>
  <c r="CH193" i="4"/>
  <c r="BZ193" i="4"/>
  <c r="BR193" i="4"/>
  <c r="BJ193" i="4"/>
  <c r="BB193" i="4"/>
  <c r="AT193" i="4"/>
  <c r="AL193" i="4"/>
  <c r="AD193" i="4"/>
  <c r="V193" i="4"/>
  <c r="EC193" i="4"/>
  <c r="DU193" i="4"/>
  <c r="DM193" i="4"/>
  <c r="DE193" i="4"/>
  <c r="CW193" i="4"/>
  <c r="CO193" i="4"/>
  <c r="CG193" i="4"/>
  <c r="BY193" i="4"/>
  <c r="BQ193" i="4"/>
  <c r="BI193" i="4"/>
  <c r="BA193" i="4"/>
  <c r="AS193" i="4"/>
  <c r="AK193" i="4"/>
  <c r="AC193" i="4"/>
  <c r="U193" i="4"/>
  <c r="EB193" i="4"/>
  <c r="DT193" i="4"/>
  <c r="DL193" i="4"/>
  <c r="DD193" i="4"/>
  <c r="CV193" i="4"/>
  <c r="CN193" i="4"/>
  <c r="CF193" i="4"/>
  <c r="BX193" i="4"/>
  <c r="BP193" i="4"/>
  <c r="BH193" i="4"/>
  <c r="AZ193" i="4"/>
  <c r="AR193" i="4"/>
  <c r="AJ193" i="4"/>
  <c r="AB193" i="4"/>
  <c r="T193" i="4"/>
  <c r="EI193" i="4"/>
  <c r="EA193" i="4"/>
  <c r="DS193" i="4"/>
  <c r="DK193" i="4"/>
  <c r="DC193" i="4"/>
  <c r="CU193" i="4"/>
  <c r="CM193" i="4"/>
  <c r="CE193" i="4"/>
  <c r="BW193" i="4"/>
  <c r="BO193" i="4"/>
  <c r="BG193" i="4"/>
  <c r="AY193" i="4"/>
  <c r="AQ193" i="4"/>
  <c r="AI193" i="4"/>
  <c r="AA193" i="4"/>
  <c r="S193" i="4"/>
  <c r="EH193" i="4"/>
  <c r="DZ193" i="4"/>
  <c r="DR193" i="4"/>
  <c r="DJ193" i="4"/>
  <c r="DB193" i="4"/>
  <c r="CT193" i="4"/>
  <c r="CL193" i="4"/>
  <c r="CD193" i="4"/>
  <c r="BV193" i="4"/>
  <c r="BN193" i="4"/>
  <c r="BF193" i="4"/>
  <c r="AX193" i="4"/>
  <c r="AP193" i="4"/>
  <c r="AH193" i="4"/>
  <c r="Z193" i="4"/>
  <c r="R193" i="4"/>
  <c r="DI193" i="4"/>
  <c r="AW193" i="4"/>
  <c r="DA193" i="4"/>
  <c r="AO193" i="4"/>
  <c r="CS193" i="4"/>
  <c r="AG193" i="4"/>
  <c r="CK193" i="4"/>
  <c r="Y193" i="4"/>
  <c r="CC193" i="4"/>
  <c r="Q193" i="4"/>
  <c r="EG193" i="4"/>
  <c r="BU193" i="4"/>
  <c r="DY193" i="4"/>
  <c r="BM193" i="4"/>
  <c r="BE193" i="4"/>
  <c r="R31" i="4"/>
  <c r="Q31" i="4"/>
  <c r="P31" i="4"/>
  <c r="DQ193" i="4"/>
  <c r="S31" i="4"/>
  <c r="G21" i="1"/>
  <c r="E25" i="1"/>
  <c r="EB200" i="4"/>
  <c r="DT200" i="4"/>
  <c r="DL200" i="4"/>
  <c r="DD200" i="4"/>
  <c r="CV200" i="4"/>
  <c r="CN200" i="4"/>
  <c r="CF200" i="4"/>
  <c r="BX200" i="4"/>
  <c r="BP200" i="4"/>
  <c r="BH200" i="4"/>
  <c r="AZ200" i="4"/>
  <c r="AR200" i="4"/>
  <c r="AJ200" i="4"/>
  <c r="EF200" i="4"/>
  <c r="DX200" i="4"/>
  <c r="DP200" i="4"/>
  <c r="DH200" i="4"/>
  <c r="CZ200" i="4"/>
  <c r="CR200" i="4"/>
  <c r="CJ200" i="4"/>
  <c r="CB200" i="4"/>
  <c r="BT200" i="4"/>
  <c r="BL200" i="4"/>
  <c r="BD200" i="4"/>
  <c r="AV200" i="4"/>
  <c r="AN200" i="4"/>
  <c r="DZ200" i="4"/>
  <c r="DO200" i="4"/>
  <c r="DE200" i="4"/>
  <c r="CT200" i="4"/>
  <c r="CI200" i="4"/>
  <c r="BY200" i="4"/>
  <c r="BN200" i="4"/>
  <c r="BC200" i="4"/>
  <c r="AS200" i="4"/>
  <c r="AH200" i="4"/>
  <c r="Z200" i="4"/>
  <c r="EI200" i="4"/>
  <c r="DY200" i="4"/>
  <c r="DN200" i="4"/>
  <c r="DC200" i="4"/>
  <c r="CS200" i="4"/>
  <c r="CH200" i="4"/>
  <c r="BW200" i="4"/>
  <c r="BM200" i="4"/>
  <c r="BB200" i="4"/>
  <c r="AQ200" i="4"/>
  <c r="AG200" i="4"/>
  <c r="Y200" i="4"/>
  <c r="EH200" i="4"/>
  <c r="DW200" i="4"/>
  <c r="DM200" i="4"/>
  <c r="DB200" i="4"/>
  <c r="CQ200" i="4"/>
  <c r="CG200" i="4"/>
  <c r="BV200" i="4"/>
  <c r="BK200" i="4"/>
  <c r="BA200" i="4"/>
  <c r="AP200" i="4"/>
  <c r="AF200" i="4"/>
  <c r="X200" i="4"/>
  <c r="EG200" i="4"/>
  <c r="DV200" i="4"/>
  <c r="DK200" i="4"/>
  <c r="DA200" i="4"/>
  <c r="CP200" i="4"/>
  <c r="CE200" i="4"/>
  <c r="BU200" i="4"/>
  <c r="BJ200" i="4"/>
  <c r="AY200" i="4"/>
  <c r="AO200" i="4"/>
  <c r="AE200" i="4"/>
  <c r="W200" i="4"/>
  <c r="EE200" i="4"/>
  <c r="DU200" i="4"/>
  <c r="DJ200" i="4"/>
  <c r="CY200" i="4"/>
  <c r="CO200" i="4"/>
  <c r="CD200" i="4"/>
  <c r="BS200" i="4"/>
  <c r="BI200" i="4"/>
  <c r="AX200" i="4"/>
  <c r="AM200" i="4"/>
  <c r="AD200" i="4"/>
  <c r="ED200" i="4"/>
  <c r="DS200" i="4"/>
  <c r="DI200" i="4"/>
  <c r="CX200" i="4"/>
  <c r="CM200" i="4"/>
  <c r="CC200" i="4"/>
  <c r="BR200" i="4"/>
  <c r="BG200" i="4"/>
  <c r="AW200" i="4"/>
  <c r="AL200" i="4"/>
  <c r="AC200" i="4"/>
  <c r="EC200" i="4"/>
  <c r="DR200" i="4"/>
  <c r="DG200" i="4"/>
  <c r="CW200" i="4"/>
  <c r="CL200" i="4"/>
  <c r="CA200" i="4"/>
  <c r="BQ200" i="4"/>
  <c r="BF200" i="4"/>
  <c r="AU200" i="4"/>
  <c r="AK200" i="4"/>
  <c r="AB200" i="4"/>
  <c r="BO200" i="4"/>
  <c r="BE200" i="4"/>
  <c r="EA200" i="4"/>
  <c r="AT200" i="4"/>
  <c r="DQ200" i="4"/>
  <c r="AI200" i="4"/>
  <c r="DF200" i="4"/>
  <c r="AA200" i="4"/>
  <c r="CU200" i="4"/>
  <c r="CK200" i="4"/>
  <c r="N41" i="4"/>
  <c r="F41" i="4"/>
  <c r="U41" i="4"/>
  <c r="M41" i="4"/>
  <c r="E41" i="4"/>
  <c r="T41" i="4"/>
  <c r="L41" i="4"/>
  <c r="S41" i="4"/>
  <c r="K41" i="4"/>
  <c r="R41" i="4"/>
  <c r="J41" i="4"/>
  <c r="BZ200" i="4"/>
  <c r="Q41" i="4"/>
  <c r="I41" i="4"/>
  <c r="P41" i="4"/>
  <c r="H41" i="4"/>
  <c r="O41" i="4"/>
  <c r="G41" i="4"/>
  <c r="EH202" i="4"/>
  <c r="DZ202" i="4"/>
  <c r="DR202" i="4"/>
  <c r="DJ202" i="4"/>
  <c r="DB202" i="4"/>
  <c r="CT202" i="4"/>
  <c r="CL202" i="4"/>
  <c r="CD202" i="4"/>
  <c r="BV202" i="4"/>
  <c r="BN202" i="4"/>
  <c r="BF202" i="4"/>
  <c r="AX202" i="4"/>
  <c r="AP202" i="4"/>
  <c r="AH202" i="4"/>
  <c r="EG202" i="4"/>
  <c r="DY202" i="4"/>
  <c r="DQ202" i="4"/>
  <c r="DI202" i="4"/>
  <c r="DA202" i="4"/>
  <c r="CS202" i="4"/>
  <c r="CK202" i="4"/>
  <c r="CC202" i="4"/>
  <c r="BU202" i="4"/>
  <c r="BM202" i="4"/>
  <c r="BE202" i="4"/>
  <c r="AW202" i="4"/>
  <c r="AO202" i="4"/>
  <c r="AG202" i="4"/>
  <c r="Y202" i="4"/>
  <c r="EF202" i="4"/>
  <c r="DX202" i="4"/>
  <c r="DP202" i="4"/>
  <c r="DH202" i="4"/>
  <c r="CZ202" i="4"/>
  <c r="CR202" i="4"/>
  <c r="CJ202" i="4"/>
  <c r="CB202" i="4"/>
  <c r="BT202" i="4"/>
  <c r="BL202" i="4"/>
  <c r="BD202" i="4"/>
  <c r="AV202" i="4"/>
  <c r="AN202" i="4"/>
  <c r="AF202" i="4"/>
  <c r="EB202" i="4"/>
  <c r="DT202" i="4"/>
  <c r="DL202" i="4"/>
  <c r="DD202" i="4"/>
  <c r="CV202" i="4"/>
  <c r="CN202" i="4"/>
  <c r="CF202" i="4"/>
  <c r="BX202" i="4"/>
  <c r="BP202" i="4"/>
  <c r="BH202" i="4"/>
  <c r="AZ202" i="4"/>
  <c r="AR202" i="4"/>
  <c r="AJ202" i="4"/>
  <c r="AB202" i="4"/>
  <c r="DW202" i="4"/>
  <c r="DG202" i="4"/>
  <c r="CQ202" i="4"/>
  <c r="CA202" i="4"/>
  <c r="BK202" i="4"/>
  <c r="AU202" i="4"/>
  <c r="AE202" i="4"/>
  <c r="DV202" i="4"/>
  <c r="DF202" i="4"/>
  <c r="CP202" i="4"/>
  <c r="BZ202" i="4"/>
  <c r="BJ202" i="4"/>
  <c r="AT202" i="4"/>
  <c r="AD202" i="4"/>
  <c r="DU202" i="4"/>
  <c r="DE202" i="4"/>
  <c r="CO202" i="4"/>
  <c r="BY202" i="4"/>
  <c r="BI202" i="4"/>
  <c r="AS202" i="4"/>
  <c r="AC202" i="4"/>
  <c r="EI202" i="4"/>
  <c r="DS202" i="4"/>
  <c r="DC202" i="4"/>
  <c r="CM202" i="4"/>
  <c r="BW202" i="4"/>
  <c r="BG202" i="4"/>
  <c r="AQ202" i="4"/>
  <c r="AA202" i="4"/>
  <c r="EE202" i="4"/>
  <c r="DO202" i="4"/>
  <c r="CY202" i="4"/>
  <c r="CI202" i="4"/>
  <c r="BS202" i="4"/>
  <c r="BC202" i="4"/>
  <c r="AM202" i="4"/>
  <c r="Z202" i="4"/>
  <c r="ED202" i="4"/>
  <c r="DN202" i="4"/>
  <c r="CX202" i="4"/>
  <c r="CH202" i="4"/>
  <c r="BR202" i="4"/>
  <c r="BB202" i="4"/>
  <c r="AL202" i="4"/>
  <c r="EC202" i="4"/>
  <c r="DM202" i="4"/>
  <c r="CW202" i="4"/>
  <c r="CG202" i="4"/>
  <c r="BQ202" i="4"/>
  <c r="BA202" i="4"/>
  <c r="AK202" i="4"/>
  <c r="AY202" i="4"/>
  <c r="AI202" i="4"/>
  <c r="EA202" i="4"/>
  <c r="DK202" i="4"/>
  <c r="CU202" i="4"/>
  <c r="CE202" i="4"/>
  <c r="N43" i="4"/>
  <c r="U43" i="4"/>
  <c r="M43" i="4"/>
  <c r="T43" i="4"/>
  <c r="L43" i="4"/>
  <c r="S43" i="4"/>
  <c r="K43" i="4"/>
  <c r="R43" i="4"/>
  <c r="J43" i="4"/>
  <c r="Q43" i="4"/>
  <c r="I43" i="4"/>
  <c r="BO202" i="4"/>
  <c r="P43" i="4"/>
  <c r="H43" i="4"/>
  <c r="O43" i="4"/>
  <c r="G43" i="4"/>
  <c r="ED204" i="4"/>
  <c r="DV204" i="4"/>
  <c r="DN204" i="4"/>
  <c r="DF204" i="4"/>
  <c r="CX204" i="4"/>
  <c r="CP204" i="4"/>
  <c r="CH204" i="4"/>
  <c r="BZ204" i="4"/>
  <c r="BR204" i="4"/>
  <c r="BJ204" i="4"/>
  <c r="BB204" i="4"/>
  <c r="AT204" i="4"/>
  <c r="AL204" i="4"/>
  <c r="AD204" i="4"/>
  <c r="EC204" i="4"/>
  <c r="DU204" i="4"/>
  <c r="DM204" i="4"/>
  <c r="DE204" i="4"/>
  <c r="CW204" i="4"/>
  <c r="CO204" i="4"/>
  <c r="CG204" i="4"/>
  <c r="BY204" i="4"/>
  <c r="BQ204" i="4"/>
  <c r="BI204" i="4"/>
  <c r="BA204" i="4"/>
  <c r="AS204" i="4"/>
  <c r="AK204" i="4"/>
  <c r="AC204" i="4"/>
  <c r="EB204" i="4"/>
  <c r="DT204" i="4"/>
  <c r="DL204" i="4"/>
  <c r="DD204" i="4"/>
  <c r="CV204" i="4"/>
  <c r="CN204" i="4"/>
  <c r="CF204" i="4"/>
  <c r="BX204" i="4"/>
  <c r="BP204" i="4"/>
  <c r="BH204" i="4"/>
  <c r="AZ204" i="4"/>
  <c r="AR204" i="4"/>
  <c r="AJ204" i="4"/>
  <c r="AB204" i="4"/>
  <c r="EI204" i="4"/>
  <c r="EA204" i="4"/>
  <c r="DS204" i="4"/>
  <c r="DK204" i="4"/>
  <c r="DC204" i="4"/>
  <c r="CU204" i="4"/>
  <c r="CM204" i="4"/>
  <c r="CE204" i="4"/>
  <c r="BW204" i="4"/>
  <c r="BO204" i="4"/>
  <c r="BG204" i="4"/>
  <c r="AY204" i="4"/>
  <c r="AQ204" i="4"/>
  <c r="AI204" i="4"/>
  <c r="AA204" i="4"/>
  <c r="EG204" i="4"/>
  <c r="DY204" i="4"/>
  <c r="DQ204" i="4"/>
  <c r="DI204" i="4"/>
  <c r="DA204" i="4"/>
  <c r="CS204" i="4"/>
  <c r="CK204" i="4"/>
  <c r="CC204" i="4"/>
  <c r="BU204" i="4"/>
  <c r="BM204" i="4"/>
  <c r="BE204" i="4"/>
  <c r="EF204" i="4"/>
  <c r="DX204" i="4"/>
  <c r="DP204" i="4"/>
  <c r="DH204" i="4"/>
  <c r="CZ204" i="4"/>
  <c r="CR204" i="4"/>
  <c r="CJ204" i="4"/>
  <c r="CB204" i="4"/>
  <c r="BT204" i="4"/>
  <c r="BL204" i="4"/>
  <c r="BD204" i="4"/>
  <c r="AV204" i="4"/>
  <c r="AN204" i="4"/>
  <c r="AF204" i="4"/>
  <c r="EH204" i="4"/>
  <c r="DB204" i="4"/>
  <c r="BV204" i="4"/>
  <c r="AU204" i="4"/>
  <c r="EE204" i="4"/>
  <c r="CY204" i="4"/>
  <c r="BS204" i="4"/>
  <c r="AP204" i="4"/>
  <c r="DZ204" i="4"/>
  <c r="CT204" i="4"/>
  <c r="BN204" i="4"/>
  <c r="AO204" i="4"/>
  <c r="DW204" i="4"/>
  <c r="CQ204" i="4"/>
  <c r="BK204" i="4"/>
  <c r="AM204" i="4"/>
  <c r="DR204" i="4"/>
  <c r="CL204" i="4"/>
  <c r="BF204" i="4"/>
  <c r="AH204" i="4"/>
  <c r="DO204" i="4"/>
  <c r="CI204" i="4"/>
  <c r="BC204" i="4"/>
  <c r="AG204" i="4"/>
  <c r="DJ204" i="4"/>
  <c r="CD204" i="4"/>
  <c r="AX204" i="4"/>
  <c r="AE204" i="4"/>
  <c r="DG204" i="4"/>
  <c r="CA204" i="4"/>
  <c r="AW204" i="4"/>
  <c r="N45" i="4"/>
  <c r="U45" i="4"/>
  <c r="M45" i="4"/>
  <c r="T45" i="4"/>
  <c r="L45" i="4"/>
  <c r="S45" i="4"/>
  <c r="K45" i="4"/>
  <c r="R45" i="4"/>
  <c r="J45" i="4"/>
  <c r="Q45" i="4"/>
  <c r="I45" i="4"/>
  <c r="P45" i="4"/>
  <c r="O45" i="4"/>
  <c r="G32" i="1"/>
  <c r="L33" i="1"/>
  <c r="J46" i="1" s="1"/>
  <c r="G35" i="1"/>
  <c r="G37" i="1"/>
  <c r="E39" i="1"/>
  <c r="EG217" i="4"/>
  <c r="DY217" i="4"/>
  <c r="DQ217" i="4"/>
  <c r="DI217" i="4"/>
  <c r="DA217" i="4"/>
  <c r="CS217" i="4"/>
  <c r="CK217" i="4"/>
  <c r="CC217" i="4"/>
  <c r="BU217" i="4"/>
  <c r="BM217" i="4"/>
  <c r="BE217" i="4"/>
  <c r="AW217" i="4"/>
  <c r="AO217" i="4"/>
  <c r="EB217" i="4"/>
  <c r="DS217" i="4"/>
  <c r="DJ217" i="4"/>
  <c r="CZ217" i="4"/>
  <c r="CQ217" i="4"/>
  <c r="CH217" i="4"/>
  <c r="BY217" i="4"/>
  <c r="BP217" i="4"/>
  <c r="BG217" i="4"/>
  <c r="AX217" i="4"/>
  <c r="AN217" i="4"/>
  <c r="EA217" i="4"/>
  <c r="DR217" i="4"/>
  <c r="DH217" i="4"/>
  <c r="CY217" i="4"/>
  <c r="CP217" i="4"/>
  <c r="CG217" i="4"/>
  <c r="BX217" i="4"/>
  <c r="BO217" i="4"/>
  <c r="BF217" i="4"/>
  <c r="AV217" i="4"/>
  <c r="EI217" i="4"/>
  <c r="DZ217" i="4"/>
  <c r="DP217" i="4"/>
  <c r="DG217" i="4"/>
  <c r="CX217" i="4"/>
  <c r="CO217" i="4"/>
  <c r="CF217" i="4"/>
  <c r="BW217" i="4"/>
  <c r="BN217" i="4"/>
  <c r="BD217" i="4"/>
  <c r="AU217" i="4"/>
  <c r="EF217" i="4"/>
  <c r="DW217" i="4"/>
  <c r="DN217" i="4"/>
  <c r="DE217" i="4"/>
  <c r="CV217" i="4"/>
  <c r="CM217" i="4"/>
  <c r="CD217" i="4"/>
  <c r="BT217" i="4"/>
  <c r="BK217" i="4"/>
  <c r="BB217" i="4"/>
  <c r="AS217" i="4"/>
  <c r="EE217" i="4"/>
  <c r="DV217" i="4"/>
  <c r="DO217" i="4"/>
  <c r="CW217" i="4"/>
  <c r="CE217" i="4"/>
  <c r="BL217" i="4"/>
  <c r="AT217" i="4"/>
  <c r="DM217" i="4"/>
  <c r="CU217" i="4"/>
  <c r="CB217" i="4"/>
  <c r="BJ217" i="4"/>
  <c r="AR217" i="4"/>
  <c r="EH217" i="4"/>
  <c r="DL217" i="4"/>
  <c r="CT217" i="4"/>
  <c r="CA217" i="4"/>
  <c r="BI217" i="4"/>
  <c r="AQ217" i="4"/>
  <c r="EC217" i="4"/>
  <c r="DF217" i="4"/>
  <c r="CN217" i="4"/>
  <c r="BV217" i="4"/>
  <c r="BC217" i="4"/>
  <c r="DX217" i="4"/>
  <c r="DD217" i="4"/>
  <c r="CL217" i="4"/>
  <c r="BS217" i="4"/>
  <c r="BA217" i="4"/>
  <c r="DT217" i="4"/>
  <c r="DB217" i="4"/>
  <c r="CI217" i="4"/>
  <c r="BQ217" i="4"/>
  <c r="AY217" i="4"/>
  <c r="BR217" i="4"/>
  <c r="ED217" i="4"/>
  <c r="BH217" i="4"/>
  <c r="DU217" i="4"/>
  <c r="AZ217" i="4"/>
  <c r="DK217" i="4"/>
  <c r="AP217" i="4"/>
  <c r="DC217" i="4"/>
  <c r="CR217" i="4"/>
  <c r="CJ217" i="4"/>
  <c r="BZ217" i="4"/>
  <c r="R61" i="4"/>
  <c r="J61" i="4"/>
  <c r="B61" i="4"/>
  <c r="D8" i="4" s="1"/>
  <c r="Q61" i="4"/>
  <c r="I61" i="4"/>
  <c r="P61" i="4"/>
  <c r="H61" i="4"/>
  <c r="O61" i="4"/>
  <c r="G61" i="4"/>
  <c r="N61" i="4"/>
  <c r="F61" i="4"/>
  <c r="M61" i="4"/>
  <c r="E61" i="4"/>
  <c r="L61" i="4"/>
  <c r="D61" i="4"/>
  <c r="K61" i="4"/>
  <c r="C61" i="4"/>
  <c r="G45" i="1"/>
  <c r="E47" i="1"/>
  <c r="F47" i="1" s="1"/>
  <c r="E56" i="1"/>
  <c r="E58" i="1"/>
  <c r="E60" i="1"/>
  <c r="E62" i="1"/>
  <c r="E64" i="1"/>
  <c r="E66" i="1"/>
  <c r="E68" i="1"/>
  <c r="E70" i="1"/>
  <c r="F70" i="1" s="1"/>
  <c r="E72" i="1"/>
  <c r="E74" i="1"/>
  <c r="E76" i="1"/>
  <c r="E78" i="1"/>
  <c r="E80" i="1"/>
  <c r="E82" i="1"/>
  <c r="E84" i="1"/>
  <c r="E86" i="1"/>
  <c r="F86" i="1" s="1"/>
  <c r="E88" i="1"/>
  <c r="E90" i="1"/>
  <c r="E92" i="1"/>
  <c r="E94" i="1"/>
  <c r="E96" i="1"/>
  <c r="E98" i="1"/>
  <c r="E100" i="1"/>
  <c r="E102" i="1"/>
  <c r="F102" i="1" s="1"/>
  <c r="E104" i="1"/>
  <c r="E106" i="1"/>
  <c r="E108" i="1"/>
  <c r="E110" i="1"/>
  <c r="E112" i="1"/>
  <c r="E114" i="1"/>
  <c r="E116" i="1"/>
  <c r="E118" i="1"/>
  <c r="F118" i="1" s="1"/>
  <c r="E120" i="1"/>
  <c r="E122" i="1"/>
  <c r="E124" i="1"/>
  <c r="E126" i="1"/>
  <c r="E128" i="1"/>
  <c r="E130" i="1"/>
  <c r="E132" i="1"/>
  <c r="E134" i="1"/>
  <c r="F134" i="1" s="1"/>
  <c r="E136" i="1"/>
  <c r="E138" i="1"/>
  <c r="E140" i="1"/>
  <c r="E142" i="1"/>
  <c r="G8" i="2"/>
  <c r="I38" i="2"/>
  <c r="J38" i="2" s="1"/>
  <c r="C39" i="2"/>
  <c r="E40" i="2"/>
  <c r="K40" i="2" s="1"/>
  <c r="G41" i="2"/>
  <c r="I42" i="2"/>
  <c r="J42" i="2" s="1"/>
  <c r="C43" i="2"/>
  <c r="E44" i="2"/>
  <c r="K44" i="2" s="1"/>
  <c r="G45" i="2"/>
  <c r="C152" i="3"/>
  <c r="F152" i="3" s="1"/>
  <c r="H152" i="3" s="1"/>
  <c r="E8" i="4"/>
  <c r="N63" i="2" l="1"/>
  <c r="O63" i="2"/>
  <c r="O53" i="2"/>
  <c r="N53" i="2"/>
  <c r="F34" i="1"/>
  <c r="F136" i="1"/>
  <c r="F120" i="1"/>
  <c r="F104" i="1"/>
  <c r="F88" i="1"/>
  <c r="F72" i="1"/>
  <c r="F56" i="1"/>
  <c r="F39" i="1"/>
  <c r="F21" i="1"/>
  <c r="F151" i="3"/>
  <c r="H151" i="3" s="1"/>
  <c r="J11" i="1"/>
  <c r="J12" i="1"/>
  <c r="M45" i="2"/>
  <c r="D9" i="4"/>
  <c r="F9" i="4"/>
  <c r="G9" i="4" s="1"/>
  <c r="J8" i="2"/>
  <c r="J45" i="1"/>
  <c r="F31" i="1"/>
  <c r="F81" i="1"/>
  <c r="F121" i="1"/>
  <c r="F61" i="1"/>
  <c r="F19" i="1"/>
  <c r="F18" i="1"/>
  <c r="F135" i="1"/>
  <c r="F103" i="1"/>
  <c r="F71" i="1"/>
  <c r="F46" i="1"/>
  <c r="F53" i="1"/>
  <c r="F27" i="1"/>
  <c r="F73" i="1"/>
  <c r="F113" i="1"/>
  <c r="F44" i="1"/>
  <c r="F131" i="1"/>
  <c r="F99" i="1"/>
  <c r="J40" i="1"/>
  <c r="F132" i="1"/>
  <c r="F116" i="1"/>
  <c r="F100" i="1"/>
  <c r="F84" i="1"/>
  <c r="F68" i="1"/>
  <c r="F37" i="1"/>
  <c r="F51" i="1"/>
  <c r="J39" i="1"/>
  <c r="F17" i="1"/>
  <c r="M38" i="2"/>
  <c r="F11" i="1"/>
  <c r="F65" i="1"/>
  <c r="O28" i="2"/>
  <c r="N28" i="2"/>
  <c r="F105" i="1"/>
  <c r="F43" i="1"/>
  <c r="O6" i="2"/>
  <c r="N6" i="2"/>
  <c r="F127" i="1"/>
  <c r="F95" i="1"/>
  <c r="F63" i="1"/>
  <c r="F82" i="1"/>
  <c r="F25" i="1"/>
  <c r="N40" i="2"/>
  <c r="F35" i="1"/>
  <c r="F6" i="1"/>
  <c r="M40" i="2"/>
  <c r="O40" i="2" s="1"/>
  <c r="F9" i="1"/>
  <c r="J44" i="1"/>
  <c r="J41" i="1"/>
  <c r="J48" i="1" s="1"/>
  <c r="F13" i="4"/>
  <c r="E13" i="4"/>
  <c r="G13" i="4" s="1"/>
  <c r="D13" i="4"/>
  <c r="J47" i="1"/>
  <c r="F38" i="1"/>
  <c r="F15" i="1"/>
  <c r="F41" i="1"/>
  <c r="F137" i="1"/>
  <c r="F57" i="1"/>
  <c r="N16" i="2"/>
  <c r="O16" i="2"/>
  <c r="F97" i="1"/>
  <c r="F13" i="1"/>
  <c r="O27" i="2"/>
  <c r="N27" i="2"/>
  <c r="F123" i="1"/>
  <c r="F91" i="1"/>
  <c r="F59" i="1"/>
  <c r="F114" i="1"/>
  <c r="F96" i="1"/>
  <c r="F8" i="1"/>
  <c r="E10" i="4"/>
  <c r="G10" i="4" s="1"/>
  <c r="D10" i="4"/>
  <c r="F32" i="1"/>
  <c r="F28" i="1"/>
  <c r="M41" i="2"/>
  <c r="D12" i="4"/>
  <c r="F33" i="1"/>
  <c r="F7" i="1"/>
  <c r="F36" i="1"/>
  <c r="F49" i="1"/>
  <c r="F10" i="1"/>
  <c r="F117" i="1"/>
  <c r="F52" i="1"/>
  <c r="F141" i="1"/>
  <c r="F89" i="1"/>
  <c r="J37" i="1"/>
  <c r="F29" i="1"/>
  <c r="F119" i="1"/>
  <c r="F87" i="1"/>
  <c r="F12" i="1"/>
  <c r="F8" i="4"/>
  <c r="F48" i="1"/>
  <c r="F98" i="1"/>
  <c r="F112" i="1"/>
  <c r="F142" i="1"/>
  <c r="F94" i="1"/>
  <c r="F26" i="1"/>
  <c r="D6" i="4"/>
  <c r="E6" i="4"/>
  <c r="G6" i="4" s="1"/>
  <c r="D7" i="4"/>
  <c r="N8" i="2"/>
  <c r="J42" i="1"/>
  <c r="F60" i="3"/>
  <c r="H60" i="3" s="1"/>
  <c r="K42" i="2"/>
  <c r="M42" i="2" s="1"/>
  <c r="F109" i="1"/>
  <c r="F55" i="1"/>
  <c r="F133" i="1"/>
  <c r="F85" i="1"/>
  <c r="F20" i="1"/>
  <c r="O15" i="2"/>
  <c r="N15" i="2"/>
  <c r="F115" i="1"/>
  <c r="F83" i="1"/>
  <c r="F130" i="1"/>
  <c r="F80" i="1"/>
  <c r="F126" i="1"/>
  <c r="F78" i="1"/>
  <c r="O43" i="2"/>
  <c r="N43" i="2"/>
  <c r="F108" i="1"/>
  <c r="F60" i="1"/>
  <c r="F14" i="1"/>
  <c r="J9" i="1" s="1"/>
  <c r="M44" i="2"/>
  <c r="O44" i="2" s="1"/>
  <c r="F40" i="1"/>
  <c r="D14" i="4"/>
  <c r="E14" i="4"/>
  <c r="G14" i="4" s="1"/>
  <c r="M8" i="2"/>
  <c r="O8" i="2" s="1"/>
  <c r="F24" i="1"/>
  <c r="K39" i="2"/>
  <c r="M39" i="2" s="1"/>
  <c r="F54" i="1"/>
  <c r="F101" i="1"/>
  <c r="F129" i="1"/>
  <c r="F77" i="1"/>
  <c r="F143" i="1"/>
  <c r="F111" i="1"/>
  <c r="F79" i="1"/>
  <c r="G8" i="4"/>
  <c r="F66" i="1"/>
  <c r="F128" i="1"/>
  <c r="F64" i="1"/>
  <c r="F110" i="1"/>
  <c r="F62" i="1"/>
  <c r="F140" i="1"/>
  <c r="F124" i="1"/>
  <c r="F92" i="1"/>
  <c r="F76" i="1"/>
  <c r="F138" i="1"/>
  <c r="F122" i="1"/>
  <c r="F106" i="1"/>
  <c r="F90" i="1"/>
  <c r="F74" i="1"/>
  <c r="F58" i="1"/>
  <c r="F11" i="4"/>
  <c r="G11" i="4" s="1"/>
  <c r="D11" i="4"/>
  <c r="N44" i="2"/>
  <c r="F45" i="1"/>
  <c r="F22" i="1"/>
  <c r="J8" i="1" s="1"/>
  <c r="J10" i="1" s="1"/>
  <c r="O38" i="2"/>
  <c r="N38" i="2"/>
  <c r="F50" i="1"/>
  <c r="F93" i="1"/>
  <c r="F125" i="1"/>
  <c r="F69" i="1"/>
  <c r="F42" i="1"/>
  <c r="F30" i="1"/>
  <c r="F139" i="1"/>
  <c r="F107" i="1"/>
  <c r="F75" i="1"/>
  <c r="F23" i="1"/>
  <c r="O39" i="2" l="1"/>
  <c r="N39" i="2"/>
  <c r="O42" i="2"/>
  <c r="N42" i="2"/>
  <c r="J13" i="1"/>
  <c r="J14" i="1" s="1"/>
  <c r="J21" i="1"/>
  <c r="N41" i="2"/>
  <c r="O41" i="2"/>
  <c r="J49" i="1"/>
  <c r="O45" i="2"/>
  <c r="N45" i="2"/>
</calcChain>
</file>

<file path=xl/sharedStrings.xml><?xml version="1.0" encoding="utf-8"?>
<sst xmlns="http://schemas.openxmlformats.org/spreadsheetml/2006/main" count="1731" uniqueCount="490">
  <si>
    <t>SEGURANÇA E ROBUSTEZ — 60 ensaios</t>
  </si>
  <si>
    <t>Categoria</t>
  </si>
  <si>
    <t>Conformes</t>
  </si>
  <si>
    <t>Hipótese não confirmada</t>
  </si>
  <si>
    <t>Total</t>
  </si>
  <si>
    <t>Envolvente radial</t>
  </si>
  <si>
    <t>Limites em Z</t>
  </si>
  <si>
    <t>Quaternion inválido</t>
  </si>
  <si>
    <t>Fronteira radial</t>
  </si>
  <si>
    <t>Colisão com a célula</t>
  </si>
  <si>
    <t>Controlo positivo</t>
  </si>
  <si>
    <t>Alcance experimental</t>
  </si>
  <si>
    <t>NaN / infinito</t>
  </si>
  <si>
    <t>Robustez operacional</t>
  </si>
  <si>
    <t>TESTES ESTATÍSTICOS — cálculo passo a passo, verificável célula a célula</t>
  </si>
  <si>
    <t>Todos os valores desta folha são calculados por fórmula a partir dos dados em bruto das colunas B e C. Nada está escrito à mão.</t>
  </si>
  <si>
    <t>1. DADOS EMPARELHADOS — os 138 pares concluídos com sucesso pelas duas estratégias (Secção 5.4)</t>
  </si>
  <si>
    <t>2. WILCOXON EMPARELHADO</t>
  </si>
  <si>
    <t>Cenário</t>
  </si>
  <si>
    <t>Temporal (s)</t>
  </si>
  <si>
    <t>Estados (s)</t>
  </si>
  <si>
    <t>Diferença d</t>
  </si>
  <si>
    <t>|d|</t>
  </si>
  <si>
    <t>Posto de |d|</t>
  </si>
  <si>
    <t>Sinal</t>
  </si>
  <si>
    <t>Número de pares (n)</t>
  </si>
  <si>
    <t>R01</t>
  </si>
  <si>
    <t>Vitórias dos estados (d &lt; 0)</t>
  </si>
  <si>
    <t>Vitórias do temporal (d &gt; 0)</t>
  </si>
  <si>
    <t>Soma dos postos com d &lt; 0  (W−)</t>
  </si>
  <si>
    <t>Soma dos postos com d &gt; 0  (W+)</t>
  </si>
  <si>
    <t>Estatística W (a menor das duas)</t>
  </si>
  <si>
    <t>Média esperada de W se não houvesse diferença</t>
  </si>
  <si>
    <t>Desvio-padrão de W</t>
  </si>
  <si>
    <t>z = (W − média) / desvio-padrão</t>
  </si>
  <si>
    <t>p (bilateral, aproximação normal)</t>
  </si>
  <si>
    <t>3. TESTE t EMPARELHADO (verificação — função nativa do Excel)</t>
  </si>
  <si>
    <t>p do teste t emparelhado bilateral</t>
  </si>
  <si>
    <t>Diferença média (s)</t>
  </si>
  <si>
    <t>Melhoria relativa (%)</t>
  </si>
  <si>
    <t>Correlação rank-biserial (dimensão do efeito)</t>
  </si>
  <si>
    <t>4. VERIFICAÇÃO DA NORMALIDADE DAS DIFERENÇAS</t>
  </si>
  <si>
    <t>R04</t>
  </si>
  <si>
    <t>Assimetria das diferenças (0 = simétrica)</t>
  </si>
  <si>
    <t>Curtose das diferenças (0 = normal)</t>
  </si>
  <si>
    <t>Shapiro-Wilk (calculado fora do Excel)</t>
  </si>
  <si>
    <t>Conclusão: normalidade rejeitada. O teste principal é o de Wilcoxon, definido por robustez e consistência entre métricas; o teste t fica como verificação.</t>
  </si>
  <si>
    <t>5. TESTE EXATO DE FISHER — SUBSTITUÍDO, ver folha «Testes emparelhados»</t>
  </si>
  <si>
    <t>As duas estratégias executaram as mesmas 147 condições auditadas, pelo que os resultados são emparelhados e o teste de Fisher, que pressupõe amostras independentes, não é aplicável. O capítulo usa o teste exato de McNemar, na folha «Testes emparelhados» (p = 1,000). O cálculo abaixo fica como registo do que foi feito antes da auditoria.</t>
  </si>
  <si>
    <t>Sucessos</t>
  </si>
  <si>
    <t>Falhas</t>
  </si>
  <si>
    <t>Temporal</t>
  </si>
  <si>
    <t>Estados</t>
  </si>
  <si>
    <t>Tabelas possíveis com as mesmas margens (falhas na temporal, de 0 a 10):</t>
  </si>
  <si>
    <t>Falhas temporal</t>
  </si>
  <si>
    <t>Probabilidade</t>
  </si>
  <si>
    <t>R08</t>
  </si>
  <si>
    <t>Probabilidade da tabela observada (4 falhas)</t>
  </si>
  <si>
    <t>p = soma das tabelas tão ou menos prováveis</t>
  </si>
  <si>
    <t>Conclusão: p muito acima de 0,05, a diferença não é significativa</t>
  </si>
  <si>
    <t>6. DIMENSÃO DAS AMOSTRAS (o «n» impresso em cada figura)</t>
  </si>
  <si>
    <t>Campanha</t>
  </si>
  <si>
    <t>n</t>
  </si>
  <si>
    <t>Origem</t>
  </si>
  <si>
    <t>Pares emparelhados concluídos com sucesso (tempo de ciclo)</t>
  </si>
  <si>
    <t>Folha «Dados Análise» do ficheiro de tempos, coluna «Par válido»</t>
  </si>
  <si>
    <t>Condições auditadas por estratégia (taxa de sucesso)</t>
  </si>
  <si>
    <t>160 condições nominais − 13 sem registo primário</t>
  </si>
  <si>
    <t>Ciclos no total</t>
  </si>
  <si>
    <t>147 × 2 arquiteturas</t>
  </si>
  <si>
    <t>Execuções de comando (pick-and-place)</t>
  </si>
  <si>
    <t>100 ciclos × 9 comandos</t>
  </si>
  <si>
    <t>Ciclos de pick-and-place</t>
  </si>
  <si>
    <t>10 pares de poses × 10 repetições</t>
  </si>
  <si>
    <t>Movimentos por planeador, sem obstáculos</t>
  </si>
  <si>
    <t>Folha «Dados Análise» do ficheiro de pick</t>
  </si>
  <si>
    <t>Movimentos por planeador, com obstáculos</t>
  </si>
  <si>
    <t>17 movimentos × 5 repetições</t>
  </si>
  <si>
    <t>R10</t>
  </si>
  <si>
    <t>Poses medidas para o erro de TCP</t>
  </si>
  <si>
    <t>Folha «Métricas Quantitativas»</t>
  </si>
  <si>
    <t>Movimentos com erro registado</t>
  </si>
  <si>
    <t>2 por ciclo × 100 ciclos</t>
  </si>
  <si>
    <t>Ensaios de segurança</t>
  </si>
  <si>
    <t>Folha «Segurança»</t>
  </si>
  <si>
    <t>Ensaios de robustez</t>
  </si>
  <si>
    <t>Folha «Robustez»</t>
  </si>
  <si>
    <t>O07</t>
  </si>
  <si>
    <t>O03</t>
  </si>
  <si>
    <t>O13</t>
  </si>
  <si>
    <t>O17</t>
  </si>
  <si>
    <t>ESTATÍSTICA DESCRITIVA E INTERVALOS DE CONFIANÇA A 95 %</t>
  </si>
  <si>
    <t>Tudo o que está nesta folha é fórmula. Altere um valor nos dados de origem e todos os resumos, margens de erro e intervalos se atualizam. O IC 95 % é o intervalo em que se situa a média verdadeira da população, com 95 % de confiança.</t>
  </si>
  <si>
    <t>1. TEMPO DE CICLO — os 138 pares concluídos com sucesso pelas duas estratégias (Secção 5.4)</t>
  </si>
  <si>
    <t>Condição</t>
  </si>
  <si>
    <t>Média</t>
  </si>
  <si>
    <t>Mediana</t>
  </si>
  <si>
    <t>Desvio-padrão</t>
  </si>
  <si>
    <t>Mínimo</t>
  </si>
  <si>
    <t>Máximo</t>
  </si>
  <si>
    <t>Q1</t>
  </si>
  <si>
    <t>Q3</t>
  </si>
  <si>
    <t>IQR</t>
  </si>
  <si>
    <t>Erro-padrão</t>
  </si>
  <si>
    <t>t crítico</t>
  </si>
  <si>
    <t>Margem de erro</t>
  </si>
  <si>
    <t>IC 95 % inferior</t>
  </si>
  <si>
    <t>IC 95 % superior</t>
  </si>
  <si>
    <t>Arquitetura temporal</t>
  </si>
  <si>
    <t>Arquitetura por respostas</t>
  </si>
  <si>
    <t>Diferença (respostas − temporal)</t>
  </si>
  <si>
    <t>O IC 95 % da diferença não contém o zero, o que confirma que a redução do tempo de ciclo não é atribuível ao acaso. É a leitura equivalente à do valor de p do teste de Wilcoxon.</t>
  </si>
  <si>
    <t>2. TEMPO DE CICLO POR CENÁRIO — arquitetura temporal</t>
  </si>
  <si>
    <t>3. TEMPO DE CICLO POR CENÁRIO — arquitetura por respostas</t>
  </si>
  <si>
    <t>4. DIFERENÇA EMPARELHADA POR CENÁRIO (respostas − temporal)</t>
  </si>
  <si>
    <t>Um IC 95 % que atravessa o zero significa que, nesse cenário, a diferença observada é compatível com a ausência de efeito. É o que sucede nos cenários em que o teste de Wilcoxon por cenário também não é significativo.</t>
  </si>
  <si>
    <t>5. OUTRAS GRANDEZAS COM IC 95 % (Secções 5.5 e 5.6)</t>
  </si>
  <si>
    <t>Erro euclidiano por movimento (mm)</t>
  </si>
  <si>
    <t>Erro euclidiano na flange (mm)</t>
  </si>
  <si>
    <t>Erro euclidiano com TCP corrigido (mm)</t>
  </si>
  <si>
    <t>Distância de contorno (mm)</t>
  </si>
  <si>
    <t>Distância de bloqueio (mm)</t>
  </si>
  <si>
    <t>O IC 95 % da distância de bloqueio desce abaixo de zero, o que é impossível para uma distância. É o sinal de que a média não descreve este grupo — daí a apresentação da mediana e da amplitude no texto.</t>
  </si>
  <si>
    <t>6. TEMPO TOTAL POR PLANEADOR, COM IC 95 % (Secção 5.7)</t>
  </si>
  <si>
    <t>RRTConnect — Sem obstáculos (tempo total, s)</t>
  </si>
  <si>
    <t>RRTstar — Sem obstáculos (tempo total, s)</t>
  </si>
  <si>
    <t>PRMstar — Sem obstáculos (tempo total, s)</t>
  </si>
  <si>
    <t>RRTConnect — Com obstáculos (tempo total, s)</t>
  </si>
  <si>
    <t>RRTstar — Com obstáculos (tempo total, s)</t>
  </si>
  <si>
    <t>PRMstar — Com obstáculos (tempo total, s)</t>
  </si>
  <si>
    <t>7. LEITURA GRÁFICA DOS INTERVALOS DE CONFIANÇA</t>
  </si>
  <si>
    <t>8. REDUÇÃO DO TEMPO DE CICLO — ESTIMATIVA DE HODGES-LEHMANN</t>
  </si>
  <si>
    <t>Os intervalos dos blocos 1 a 6 são calculados pela distribuição t e pressupõem normalidade. Como o teste de Shapiro-Wilk a rejeita para as diferenças emparelhadas, o Capítulo 5 reporta para essas diferenças a estimativa de Hodges-Lehmann e o intervalo distribution-free correspondente ao teste de Wilcoxon, que é o que consta da Tabela 29. Os dois métodos coincidem no valor agregado; divergem no cenário R01, onde o intervalo pela t exclui o zero por dois milésimos e o de Hodges-Lehmann não o exclui, em coerência com p = 0,067.</t>
  </si>
  <si>
    <t>Redução HL (s)</t>
  </si>
  <si>
    <t>IC 95 % HL inferior</t>
  </si>
  <si>
    <t>IC 95 % HL superior</t>
  </si>
  <si>
    <t>IC 95 % t inferior</t>
  </si>
  <si>
    <t>IC 95 % t superior</t>
  </si>
  <si>
    <t>p de Wilcoxon</t>
  </si>
  <si>
    <t>Agregado</t>
  </si>
  <si>
    <t>Calculado por analise_estatistica_cap5.py e testes_emparelhados.py (scipy) sobre o livro auditado. O Excel não dispõe de função para as médias de Walsh na forma agregada, pelo que estes valores são reproduzíveis correndo os scripts sobre os mesmos ficheiros de ensaios. A folha «Hodges-Lehmann» reproduz o mesmo cálculo em fórmula.</t>
  </si>
  <si>
    <t>TESTES EMPARELHADOS — FRIEDMAN, WILCOXON COM HOLM, Q DE COCHRAN E McNEMAR</t>
  </si>
  <si>
    <t>O desenho é emparelhado: cada movimento foi executado pelos três planeadores e cada ciclo pelas duas arquiteturas. Os testes para grupos independentes não são aplicáveis. Tudo o que está abaixo é fórmula.</t>
  </si>
  <si>
    <t>CAMPANHA 1 — ciclo completo, sem obstáculos</t>
  </si>
  <si>
    <t>Blocos totais: 50. Blocos completos (concluídos pelos três planeadores): 49. As métricas contínuas usam os blocos completos; a taxa de sucesso usa todos.</t>
  </si>
  <si>
    <t>Bloco</t>
  </si>
  <si>
    <t>RRTConnect — Tempo total (s)</t>
  </si>
  <si>
    <t>RRTstar — Tempo total (s)</t>
  </si>
  <si>
    <t>PRMstar — Tempo total (s)</t>
  </si>
  <si>
    <t>posto RRTConnect</t>
  </si>
  <si>
    <t>posto RRTstar</t>
  </si>
  <si>
    <t>posto PRMstar</t>
  </si>
  <si>
    <t>RRTConnect — Comprimento (m)</t>
  </si>
  <si>
    <t>RRTstar — Comprimento (m)</t>
  </si>
  <si>
    <t>PRMstar — Comprimento (m)</t>
  </si>
  <si>
    <t>RRTConnect — Tempo de planeamento (s)</t>
  </si>
  <si>
    <t>RRTstar — Tempo de planeamento (s)</t>
  </si>
  <si>
    <t>PRMstar — Tempo de planeamento (s)</t>
  </si>
  <si>
    <t>(1, 1)</t>
  </si>
  <si>
    <t>(1, 10)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</si>
  <si>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</si>
  <si>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</si>
  <si>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</si>
  <si>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</si>
  <si>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</si>
  <si>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</si>
  <si>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</si>
  <si>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</si>
  <si>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</si>
  <si>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</si>
  <si>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</si>
  <si>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</si>
  <si>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</si>
  <si>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</si>
  <si>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</si>
  <si>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</si>
  <si>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</si>
  <si>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(3, 1)</t>
  </si>
  <si>
    <t>(3, 10)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</si>
  <si>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</si>
  <si>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</si>
  <si>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</si>
  <si>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</si>
  <si>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</si>
  <si>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</si>
  <si>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</si>
  <si>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</si>
  <si>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(4, 1)</t>
  </si>
  <si>
    <t>(4, 10)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</si>
  <si>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</si>
  <si>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</si>
  <si>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</si>
  <si>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</si>
  <si>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</si>
  <si>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</si>
  <si>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</si>
  <si>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</si>
  <si>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(5, 1)</t>
  </si>
  <si>
    <t>(5, 10)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</si>
  <si>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</si>
  <si>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</si>
  <si>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</si>
  <si>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</si>
  <si>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</si>
  <si>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</si>
  <si>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</si>
  <si>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</si>
  <si>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Métrica</t>
  </si>
  <si>
    <t>n blocos</t>
  </si>
  <si>
    <t>ΣR RRTConnect</t>
  </si>
  <si>
    <t>ΣR RRTstar</t>
  </si>
  <si>
    <t>ΣR PRMstar</t>
  </si>
  <si>
    <t>χ² de Friedman</t>
  </si>
  <si>
    <t>gl</t>
  </si>
  <si>
    <t>p</t>
  </si>
  <si>
    <t>Tempo total (s)</t>
  </si>
  <si>
    <t>Comprimento (m)</t>
  </si>
  <si>
    <t>Tempo de planeamento (s)</t>
  </si>
  <si>
    <t>Taxa de sucesso</t>
  </si>
  <si>
    <t>Sucessos RRTConnect</t>
  </si>
  <si>
    <t>Sucessos RRTstar</t>
  </si>
  <si>
    <t>Sucessos PRMstar</t>
  </si>
  <si>
    <t>Blocos</t>
  </si>
  <si>
    <t>Q de Cochran</t>
  </si>
  <si>
    <t>Blocos concluídos</t>
  </si>
  <si>
    <t>CAMPANHA 2 — movimento isolado, com obstáculos</t>
  </si>
  <si>
    <t>Blocos totais: 85. Blocos completos (concluídos pelos três planeadores): 78. As métricas contínuas usam os blocos completos; a taxa de sucesso usa todos.</t>
  </si>
  <si>
    <t>('O03_1', 1)</t>
  </si>
  <si>
    <t>('O03_1', 2)</t>
  </si>
  <si>
    <t>('O03_1', 3)</t>
  </si>
  <si>
    <t>('O03_1', 4)</t>
  </si>
  <si>
    <t>('O03_1', 5)</t>
  </si>
  <si>
    <t>('O03_2', 1)</t>
  </si>
  <si>
    <t>('O03_2', 2)</t>
  </si>
  <si>
    <t>('O03_2', 4)</t>
  </si>
  <si>
    <t>('O03_2', 5)</t>
  </si>
  <si>
    <t>('O07_1', 1)</t>
  </si>
  <si>
    <t>('O07_1', 2)</t>
  </si>
  <si>
    <t>('O07_1', 3)</t>
  </si>
  <si>
    <t>('O07_1', 4)</t>
  </si>
  <si>
    <t>('O07_1', 5)</t>
  </si>
  <si>
    <t>('O07_2', 2)</t>
  </si>
  <si>
    <t>('O07_2', 4)</t>
  </si>
  <si>
    <t>('O07_2', 5)</t>
  </si>
  <si>
    <t>('O13_1', 1)</t>
  </si>
  <si>
    <t>('O13_1', 2)</t>
  </si>
  <si>
    <t>('O13_1', 3)</t>
  </si>
  <si>
    <t>('O13_1', 4)</t>
  </si>
  <si>
    <t>('O13_1', 5)</t>
  </si>
  <si>
    <t>('O13_2', 1)</t>
  </si>
  <si>
    <t>('O13_2', 2)</t>
  </si>
  <si>
    <t>('O13_2', 3)</t>
  </si>
  <si>
    <t>('O13_2', 4)</t>
  </si>
  <si>
    <t>('O13_2', 5)</t>
  </si>
  <si>
    <t>('O17_1', 1)</t>
  </si>
  <si>
    <t>('O17_1', 2)</t>
  </si>
  <si>
    <t>('O17_1', 3)</t>
  </si>
  <si>
    <t>('O17_1', 4)</t>
  </si>
  <si>
    <t>('O17_1', 5)</t>
  </si>
  <si>
    <t>('O17_2', 1)</t>
  </si>
  <si>
    <t>('O17_2', 3)</t>
  </si>
  <si>
    <t>('O17_2', 4)</t>
  </si>
  <si>
    <t>('O17_2', 5)</t>
  </si>
  <si>
    <t>('O19_1', 1)</t>
  </si>
  <si>
    <t>('O19_1', 2)</t>
  </si>
  <si>
    <t>('O19_1', 3)</t>
  </si>
  <si>
    <t>('O19_1', 4)</t>
  </si>
  <si>
    <t>('O19_1', 5)</t>
  </si>
  <si>
    <t>('O19_2', 1)</t>
  </si>
  <si>
    <t>('O19_2', 2)</t>
  </si>
  <si>
    <t>('O19_2', 3)</t>
  </si>
  <si>
    <t>('O19_2', 4)</t>
  </si>
  <si>
    <t>('O19_3', 1)</t>
  </si>
  <si>
    <t>('O19_3', 2)</t>
  </si>
  <si>
    <t>('O19_3', 3)</t>
  </si>
  <si>
    <t>('O20_1', 1)</t>
  </si>
  <si>
    <t>('O20_1', 2)</t>
  </si>
  <si>
    <t>('O20_1', 3)</t>
  </si>
  <si>
    <t>('O20_1', 4)</t>
  </si>
  <si>
    <t>('O20_1', 5)</t>
  </si>
  <si>
    <t>('O20_2', 1)</t>
  </si>
  <si>
    <t>('O20_2', 2)</t>
  </si>
  <si>
    <t>('O20_2', 3)</t>
  </si>
  <si>
    <t>('O20_2', 4)</t>
  </si>
  <si>
    <t>('O20_2', 5)</t>
  </si>
  <si>
    <t>('O20_3', 1)</t>
  </si>
  <si>
    <t>('O20_3', 2)</t>
  </si>
  <si>
    <t>('O20_3', 3)</t>
  </si>
  <si>
    <t>('O20_3', 4)</t>
  </si>
  <si>
    <t>('O20_3', 5)</t>
  </si>
  <si>
    <t>('O21', 1)</t>
  </si>
  <si>
    <t>('O21', 2)</t>
  </si>
  <si>
    <t>('O21', 3)</t>
  </si>
  <si>
    <t>('O21', 4)</t>
  </si>
  <si>
    <t>('O21', 5)</t>
  </si>
  <si>
    <t>('O22_1', 1)</t>
  </si>
  <si>
    <t>('O22_1', 2)</t>
  </si>
  <si>
    <t>('O22_1', 3)</t>
  </si>
  <si>
    <t>('O22_1', 4)</t>
  </si>
  <si>
    <t>('O22_1', 5)</t>
  </si>
  <si>
    <t>('O22_2', 1)</t>
  </si>
  <si>
    <t>('O22_2', 2)</t>
  </si>
  <si>
    <t>('O22_2', 3)</t>
  </si>
  <si>
    <t>('O22_2', 4)</t>
  </si>
  <si>
    <t>('O22_2', 5)</t>
  </si>
  <si>
    <t>COMPARAÇÕES PAR A PAR — Wilcoxon emparelhado com correção de Holm-Bonferroni</t>
  </si>
  <si>
    <t>Calculado por testes_emparelhados.py (scipy). O Excel não dispõe de função para o teste de Wilcoxon emparelhado; os valores são reproduzíveis correndo o script sobre os mesmos ficheiros.</t>
  </si>
  <si>
    <t>Par comparado</t>
  </si>
  <si>
    <t>p corrigido por Holm</t>
  </si>
  <si>
    <t>Significativo a 5 %</t>
  </si>
  <si>
    <t>Sem obstáculos</t>
  </si>
  <si>
    <t>Tempo total</t>
  </si>
  <si>
    <t>RRTConnect vs. RRTstar</t>
  </si>
  <si>
    <t>Sim</t>
  </si>
  <si>
    <t>RRTConnect vs. PRMstar</t>
  </si>
  <si>
    <t>RRTstar vs. PRMstar</t>
  </si>
  <si>
    <t>Não</t>
  </si>
  <si>
    <t>Comprimento</t>
  </si>
  <si>
    <t>Tempo de planeamento</t>
  </si>
  <si>
    <t>Com obstáculos</t>
  </si>
  <si>
    <t>—</t>
  </si>
  <si>
    <t>Friedman não significativo; não se fazem comparações par a par</t>
  </si>
  <si>
    <t>TAXA DE SUCESSO DO CICLO — McNemar exato (substitui o teste de Fisher)</t>
  </si>
  <si>
    <t>Cada repetição foi executada pelas duas estratégias nas mesmas condições, pelo que os resultados são emparelhados e o teste de Fisher, que pressupõe amostras independentes, não é aplicável. A tabela assenta nas 147 condições com registo primário das duas estratégias.</t>
  </si>
  <si>
    <t>Sucesso por respostas</t>
  </si>
  <si>
    <t>Falha por respostas</t>
  </si>
  <si>
    <t>Sucesso temporal</t>
  </si>
  <si>
    <t>Falha temporal</t>
  </si>
  <si>
    <t>Pares discordantes</t>
  </si>
  <si>
    <t>Menor das duas contagens</t>
  </si>
  <si>
    <t>p exato bilateral (binomial)</t>
  </si>
  <si>
    <t>ESTIMATIVA DE HODGES-LEHMANN E INTERVALO DE CONFIANÇA A 95 % — TUDO EM FÓRMULA</t>
  </si>
  <si>
    <t>A mediana e os quartis descrevem a amostra. Para a diferença emparelhada é preciso um intervalo que não pressuponha normalidade, porque o teste de Shapiro-Wilk a rejeita. O método é o de Hodges-Lehmann: calculam-se as médias de todos os pares de diferenças — as médias de Walsh —, a estimativa é a mediana desse conjunto e os limites do intervalo são a k-ésima menor e a k-ésima maior, com k dado pela distribuição de Wilcoxon. Base: os 138 pares concluídos com sucesso pelas duas estratégias.</t>
  </si>
  <si>
    <t>k = ARRED(n(n+1)/4 − 1,959964 × RAIZ(n(n+1)(2n+1)/24); 0) + 1. As grelhas triangulares abaixo contêm as médias de Walsh; as células vazias são texto e não entram em MED, MENOR nem MAIOR.</t>
  </si>
  <si>
    <t>k</t>
  </si>
  <si>
    <t>Exclui o zero?</t>
  </si>
  <si>
    <t>As grelhas que se seguem são o cálculo intermédio. Podem ser ocultadas sem afetar os resultados acima.</t>
  </si>
  <si>
    <t>Médias de Walsh — R01 (n = 18)</t>
  </si>
  <si>
    <t>Médias de Walsh — R04 (n = 20)</t>
  </si>
  <si>
    <t>Médias de Walsh — R08 (n = 17)</t>
  </si>
  <si>
    <t>Médias de Walsh — R10 (n = 15)</t>
  </si>
  <si>
    <t>Médias de Walsh — O07 (n = 20)</t>
  </si>
  <si>
    <t>Médias de Walsh — O03 (n = 15)</t>
  </si>
  <si>
    <t>Médias de Walsh — O13 (n = 16)</t>
  </si>
  <si>
    <t>Médias de Walsh — O17 (n = 17)</t>
  </si>
  <si>
    <t>Médias de Walsh — Agregado (n = 138)</t>
  </si>
  <si>
    <t>SINCRONIZAÇÃO TEMPORAL vs. POR RESPOSTAS — dados e gráficos editáveis</t>
  </si>
  <si>
    <t>Dados por cenário (apenas os 138 pares concluídos com sucesso pelas duas estratégias)</t>
  </si>
  <si>
    <t>Pares</t>
  </si>
  <si>
    <t>IC95 temporal</t>
  </si>
  <si>
    <t>IC95 estados</t>
  </si>
  <si>
    <t>Melhoria (%)</t>
  </si>
  <si>
    <t>Resultados agregados (138 pares para os tempos; 147 pares para a taxa de sucesso)</t>
  </si>
  <si>
    <t>Unidade</t>
  </si>
  <si>
    <t>Tempo médio de ciclo</t>
  </si>
  <si>
    <t>s</t>
  </si>
  <si>
    <t>Mediana do tempo de ciclo</t>
  </si>
  <si>
    <t>Espera improdutiva média</t>
  </si>
  <si>
    <t>Taxa de sucesso do ciclo</t>
  </si>
  <si>
    <t>%</t>
  </si>
  <si>
    <t>Tempo médio de recuperação — apenas supervisão por respostas (s)</t>
  </si>
  <si>
    <t>O tempo de recuperação abrange as seis ocorrências de resposta de erro registadas na supervisão por respostas; uma delas, a repetição 16 do cenário O03, pertence a uma condição excluída da comparação emparelhada por falta do registo primário da estratégia temporal. A supervisão temporal não possui grandeza equivalente: o fluxo não lê as respostas, não deteta a falha e não contém blocos de cancelamento, pelo que o gráfico correspondente foi removido.</t>
  </si>
  <si>
    <t>TEMPO POR ETAPA DO CICLO — cenários R01 e O07</t>
  </si>
  <si>
    <t>Etapa</t>
  </si>
  <si>
    <t>PICK</t>
  </si>
  <si>
    <t>TARGET_PICK</t>
  </si>
  <si>
    <t>MOVE_PICK</t>
  </si>
  <si>
    <t>CLOSE</t>
  </si>
  <si>
    <t>TARGET_PLACE</t>
  </si>
  <si>
    <t>MOVE_PLACE</t>
  </si>
  <si>
    <t>OPEN</t>
  </si>
  <si>
    <t>FINISH_HOME</t>
  </si>
  <si>
    <t>CICLO DE RECOLHA E DEPOSIÇÃO — 100 ciclos, 900 execuções</t>
  </si>
  <si>
    <t>Comando</t>
  </si>
  <si>
    <t>Execuções</t>
  </si>
  <si>
    <t>Taxa (%)</t>
  </si>
  <si>
    <t>PICK_POSE</t>
  </si>
  <si>
    <t>TARGET_POSE</t>
  </si>
  <si>
    <t>IR_POSE</t>
  </si>
  <si>
    <t>FECHAR_GARRA</t>
  </si>
  <si>
    <t>ABRIR_GARRA</t>
  </si>
  <si>
    <t>TERMINAR_TAREFA</t>
  </si>
  <si>
    <t>REMOVER_PECA</t>
  </si>
  <si>
    <t>Comando vs. ciclo</t>
  </si>
  <si>
    <t>Unidade de análise</t>
  </si>
  <si>
    <t>Ensaios</t>
  </si>
  <si>
    <t>Por comando</t>
  </si>
  <si>
    <t>Por ciclo</t>
  </si>
  <si>
    <t>Tempos por tipo de comando</t>
  </si>
  <si>
    <t>Resposta PICK_POSE</t>
  </si>
  <si>
    <t>ms</t>
  </si>
  <si>
    <t>Resposta TARGET_POSE</t>
  </si>
  <si>
    <t>IR_POSE — planeamento</t>
  </si>
  <si>
    <t>IR_POSE — execução</t>
  </si>
  <si>
    <t>IR_POSE — total</t>
  </si>
  <si>
    <t>TERMINAR — planeamento</t>
  </si>
  <si>
    <t>TERMINAR — execução</t>
  </si>
  <si>
    <t>TERMINAR — total</t>
  </si>
  <si>
    <t>Os tempos de resposta de PICK_POSE e de TARGET_POSE estão em milissegundos e por isso não figuram neste gráfico; constam da tabela acima.</t>
  </si>
  <si>
    <t>ERRO DE POSICIONAMENTO — efeito da correção do ponto de controlo</t>
  </si>
  <si>
    <t>Componente</t>
  </si>
  <si>
    <t>Flange (mm)</t>
  </si>
  <si>
    <t>TCP corrigido (mm)</t>
  </si>
  <si>
    <t>DP flange</t>
  </si>
  <si>
    <t>DP corrigido</t>
  </si>
  <si>
    <t>Erro X</t>
  </si>
  <si>
    <t>Erro Y</t>
  </si>
  <si>
    <t>Erro Z</t>
  </si>
  <si>
    <t>Euclidiano</t>
  </si>
  <si>
    <t>Distribuição do erro euclidiano (200 movimentos)</t>
  </si>
  <si>
    <t>Intervalo (mm)</t>
  </si>
  <si>
    <t>Movimentos</t>
  </si>
  <si>
    <t>0,00–0,13</t>
  </si>
  <si>
    <t>0,13–0,26</t>
  </si>
  <si>
    <t>0,26–0,39</t>
  </si>
  <si>
    <t>0,39–0,52</t>
  </si>
  <si>
    <t>0,52–0,65</t>
  </si>
  <si>
    <t>0,65–0,78</t>
  </si>
  <si>
    <t>0,78–0,91</t>
  </si>
  <si>
    <t>0,91–1,03</t>
  </si>
  <si>
    <t>1,03–1,16</t>
  </si>
  <si>
    <t>1,16–1,29</t>
  </si>
  <si>
    <t>1,29–1,42</t>
  </si>
  <si>
    <t>1,42–1,55</t>
  </si>
  <si>
    <t>1,55–1,68</t>
  </si>
  <si>
    <t>1,68–1,81</t>
  </si>
  <si>
    <t>1,81–1,94</t>
  </si>
  <si>
    <t>1,94–2,07</t>
  </si>
  <si>
    <t>COMPARAÇÃO DE PLANEADORES — duas campanhas independentes</t>
  </si>
  <si>
    <t>Ciclo completo, sem obstáculos (n = 50 por planeador)</t>
  </si>
  <si>
    <t>Planeador</t>
  </si>
  <si>
    <t>t. planeamento (s)</t>
  </si>
  <si>
    <t>DP</t>
  </si>
  <si>
    <t>t. total (s)</t>
  </si>
  <si>
    <t>Pontos</t>
  </si>
  <si>
    <t>RRTConnect</t>
  </si>
  <si>
    <t>RRTstar</t>
  </si>
  <si>
    <t>PRMstar</t>
  </si>
  <si>
    <t>Movimento com obstáculos (n = 85 por planeador)</t>
  </si>
  <si>
    <t>Taxa de sucesso nas duas campanhas</t>
  </si>
  <si>
    <t>Sem obstáculos (%)</t>
  </si>
  <si>
    <t>Com obstáculos (%)</t>
  </si>
  <si>
    <t>Discretização da trajetória (número médio de pontos)</t>
  </si>
  <si>
    <t>PREVENÇÃO DE COLISÕES — distâncias registadas</t>
  </si>
  <si>
    <t>Ensaio</t>
  </si>
  <si>
    <t>Tipo</t>
  </si>
  <si>
    <t>Distância mínima (mm)</t>
  </si>
  <si>
    <t>O02</t>
  </si>
  <si>
    <t>Bloqueio</t>
  </si>
  <si>
    <t>O06</t>
  </si>
  <si>
    <t>O10</t>
  </si>
  <si>
    <t>O12</t>
  </si>
  <si>
    <t>O16</t>
  </si>
  <si>
    <t>Contorno</t>
  </si>
  <si>
    <t>O19</t>
  </si>
  <si>
    <t>O20 (CORREDOR ESTREITO)</t>
  </si>
  <si>
    <t>O21</t>
  </si>
  <si>
    <t>Estatísticas por tipo de ensaio</t>
  </si>
  <si>
    <t>Média (mm)</t>
  </si>
  <si>
    <t>Mediana (mm)</t>
  </si>
  <si>
    <t>DP (mm)</t>
  </si>
  <si>
    <t>DADOS EM BRUTO PARA AS ESTATÍSTICAS DESCRITIVAS</t>
  </si>
  <si>
    <t>Valores lidos dos ficheiros de ensaios. A folha «Estatística descritiva» calcula sobre estas colunas.</t>
  </si>
  <si>
    <t>DADOS EM BRUTO DOS PLANEADORES E TESTES NÃO PARAMÉTRICOS</t>
  </si>
  <si>
    <t>Os três planeadores executaram exatamente os mesmos movimentos: o desenho é em blocos emparelhados e os testes para grupos independentes não são aplicáveis. O capítulo usa Friedman, Wilcoxon com correção de Holm e Q de Cochran, na folha «Testes emparelhados». Os cálculos desta folha ficam como registo da versão anterior.</t>
  </si>
  <si>
    <t>Só constam as execuções concluídas; as recusadas pelo controlador não têm métricas associadas e são contabilizadas à parte, na taxa de sucesso.</t>
  </si>
  <si>
    <t>KRUSKAL-WALLIS — campanha «Sem obstáculos» — SUBSTITUÍDO</t>
  </si>
  <si>
    <t>n RRTConnect</t>
  </si>
  <si>
    <t>n RRTstar</t>
  </si>
  <si>
    <t>n PRMstar</t>
  </si>
  <si>
    <t>H</t>
  </si>
  <si>
    <t>Graus de liberdade</t>
  </si>
  <si>
    <t>KRUSKAL-WALLIS — campanha «Com obstáculos» — SUBSTITUÍDO</t>
  </si>
  <si>
    <t>MANN-WHITNEY PAR A PAR COM CORREÇÃO DE BONFERRONI — campanha «Sem obstáculos» — SUBSTITUÍDO</t>
  </si>
  <si>
    <t>Métrica e par comparado</t>
  </si>
  <si>
    <t>n1</t>
  </si>
  <si>
    <t>n2</t>
  </si>
  <si>
    <t>U</t>
  </si>
  <si>
    <t>z</t>
  </si>
  <si>
    <t>p × 3 (Bonferroni)</t>
  </si>
  <si>
    <t>Tempo total (s) — RRTConnect vs RRTstar</t>
  </si>
  <si>
    <t>Tempo total (s) — RRTConnect vs PRMstar</t>
  </si>
  <si>
    <t>Tempo total (s) — RRTstar vs PRMstar</t>
  </si>
  <si>
    <t>Comprimento (m) — RRTConnect vs RRTstar</t>
  </si>
  <si>
    <t>Comprimento (m) — RRTConnect vs PRMstar</t>
  </si>
  <si>
    <t>Comprimento (m) — RRTstar vs PRMstar</t>
  </si>
  <si>
    <t>Tempo de planeamento (s) — RRTConnect vs RRTstar</t>
  </si>
  <si>
    <t>Tempo de planeamento (s) — RRTConnect vs PRMstar</t>
  </si>
  <si>
    <t>Tempo de planeamento (s) — RRTstar vs PRMstar</t>
  </si>
  <si>
    <t>A correção de Bonferroni multiplica o valor de p pelo número de comparações (3). Sem ela, comparar três grupos dois a dois inflaciona a probabilidade de encontrar uma diferença que não existe.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</si>
</sst>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"/>
  </numFmts>
  <fonts count="21" x14ac:knownFonts="1">
    <font>
      <sz val="11"/>
      <color theme="1"/>
      <name val="Calibri"/>
      <family val="2"/>
      <charset val="1"/>
    </font>
    <font>
      <b/>
      <sz val="12"/>
      <color rgb="FFFFFFFF"/>
      <name val="Calibri"/>
      <charset val="1"/>
    </font>
    <font>
      <i/>
      <sz val="10"/>
      <color rgb="FF52514E"/>
      <name val="Calibri"/>
      <charset val="1"/>
    </font>
    <font>
      <b/>
      <sz val="11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0.5"/>
      <color rgb="FF8A6100"/>
      <name val="Calibri"/>
      <charset val="1"/>
    </font>
    <font>
      <b/>
      <sz val="9.5"/>
      <color rgb="FF8A6100"/>
      <name val="Calibri"/>
      <charset val="1"/>
    </font>
    <font>
      <i/>
      <sz val="10"/>
      <name val="Calibri"/>
      <charset val="1"/>
    </font>
    <font>
      <sz val="9"/>
      <color rgb="FF52514E"/>
      <name val="Calibri"/>
      <charset val="1"/>
    </font>
    <font>
      <i/>
      <sz val="9"/>
      <color rgb="FF595959"/>
      <name val="Calibri"/>
      <charset val="1"/>
    </font>
    <font>
      <b/>
      <sz val="10.5"/>
      <color rgb="FF1F3864"/>
      <name val="Calibri"/>
      <charset val="1"/>
    </font>
    <font>
      <b/>
      <sz val="9.5"/>
      <name val="Calibri"/>
      <charset val="1"/>
    </font>
    <font>
      <sz val="9"/>
      <name val="Calibri"/>
      <charset val="1"/>
    </font>
    <font>
      <sz val="9.5"/>
      <name val="Calibri"/>
      <charset val="1"/>
    </font>
    <font>
      <i/>
      <sz val="9"/>
      <color rgb="FF595959"/>
      <name val="Cambria"/>
      <charset val="1"/>
    </font>
    <font>
      <b/>
      <sz val="10"/>
      <color rgb="FF1F3864"/>
      <name val="Calibri"/>
      <charset val="1"/>
    </font>
    <font>
      <b/>
      <sz val="11"/>
      <color rgb="FF1F3864"/>
      <name val="Calibri"/>
      <charset val="1"/>
    </font>
    <font>
      <sz val="10"/>
      <name val="Calibri"/>
    </font>
    <font>
      <b/>
      <sz val="10"/>
      <name val="Calibri"/>
    </font>
    <font>
      <i/>
      <sz val="9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FEEEA"/>
        <bgColor rgb="FFFFF3CD"/>
      </patternFill>
    </fill>
    <fill>
      <patternFill patternType="solid">
        <fgColor rgb="FFFFF3CD"/>
        <bgColor rgb="FFEFEE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EB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wrapText="1"/>
    </xf>
    <xf numFmtId="0" fontId="5" fillId="0" borderId="0" xfId="0" applyFont="1"/>
    <xf numFmtId="2" fontId="5" fillId="0" borderId="0" xfId="0" applyNumberFormat="1" applyFont="1"/>
    <xf numFmtId="164" fontId="0" fillId="0" borderId="0" xfId="0" applyNumberFormat="1"/>
    <xf numFmtId="165" fontId="4" fillId="0" borderId="0" xfId="0" applyNumberFormat="1" applyFont="1"/>
    <xf numFmtId="11" fontId="4" fillId="0" borderId="0" xfId="0" applyNumberFormat="1" applyFont="1"/>
    <xf numFmtId="2" fontId="0" fillId="0" borderId="0" xfId="0" applyNumberFormat="1"/>
    <xf numFmtId="166" fontId="0" fillId="0" borderId="0" xfId="0" applyNumberFormat="1"/>
    <xf numFmtId="0" fontId="6" fillId="0" borderId="0" xfId="0" applyFont="1"/>
    <xf numFmtId="0" fontId="7" fillId="4" borderId="0" xfId="0" applyFont="1" applyFill="1" applyAlignment="1">
      <alignment vertical="center" wrapText="1"/>
    </xf>
    <xf numFmtId="0" fontId="4" fillId="0" borderId="0" xfId="0" applyFont="1"/>
    <xf numFmtId="0" fontId="8" fillId="0" borderId="0" xfId="0" applyFont="1"/>
    <xf numFmtId="0" fontId="4" fillId="3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67" fontId="5" fillId="0" borderId="1" xfId="0" applyNumberFormat="1" applyFont="1" applyBorder="1"/>
    <xf numFmtId="0" fontId="13" fillId="0" borderId="0" xfId="0" applyFont="1"/>
    <xf numFmtId="165" fontId="13" fillId="0" borderId="0" xfId="0" applyNumberFormat="1" applyFont="1"/>
    <xf numFmtId="1" fontId="13" fillId="0" borderId="0" xfId="0" applyNumberFormat="1" applyFont="1"/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4" fillId="0" borderId="1" xfId="0" applyFont="1" applyBorder="1"/>
    <xf numFmtId="168" fontId="14" fillId="0" borderId="1" xfId="0" applyNumberFormat="1" applyFont="1" applyBorder="1"/>
    <xf numFmtId="0" fontId="10" fillId="0" borderId="0" xfId="0" applyFont="1" applyAlignment="1">
      <alignment vertical="top" wrapText="1"/>
    </xf>
    <xf numFmtId="0" fontId="0" fillId="0" borderId="1" xfId="0" applyBorder="1"/>
    <xf numFmtId="0" fontId="16" fillId="0" borderId="0" xfId="0" applyFont="1"/>
    <xf numFmtId="0" fontId="4" fillId="3" borderId="1" xfId="0" applyFont="1" applyFill="1" applyBorder="1" applyAlignment="1">
      <alignment horizontal="center" wrapText="1"/>
    </xf>
    <xf numFmtId="0" fontId="15" fillId="0" borderId="0" xfId="0" applyFont="1"/>
    <xf numFmtId="0" fontId="17" fillId="0" borderId="0" xfId="0" applyFont="1"/>
    <xf numFmtId="169" fontId="0" fillId="0" borderId="1" xfId="0" applyNumberFormat="1" applyBorder="1"/>
    <xf numFmtId="165" fontId="0" fillId="0" borderId="0" xfId="0" applyNumberFormat="1"/>
    <xf numFmtId="166" fontId="0" fillId="0" borderId="1" xfId="0" applyNumberFormat="1" applyBorder="1"/>
    <xf numFmtId="0" fontId="18" fillId="0" borderId="1" xfId="0" applyFont="1" applyBorder="1"/>
    <xf numFmtId="0" fontId="19" fillId="0" borderId="1" xfId="0" applyFont="1" applyBorder="1"/>
    <xf numFmtId="0" fontId="20" fillId="0" borderId="0" xfId="0" applyFont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08080"/>
      <rgbColor rgb="FFBFBEB9"/>
      <rgbColor rgb="FF878787"/>
      <rgbColor rgb="FF9999FF"/>
      <rgbColor rgb="FF993366"/>
      <rgbColor rgb="FFFFF3CD"/>
      <rgbColor rgb="FFEFEE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864"/>
      <rgbColor rgb="FF1BAF7A"/>
      <rgbColor rgb="FF003300"/>
      <rgbColor rgb="FF333300"/>
      <rgbColor rgb="FF993300"/>
      <rgbColor rgb="FF993366"/>
      <rgbColor rgb="FF33339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600" b="1" strike="noStrike" spc="-1">
                <a:solidFill>
                  <a:srgbClr val="000000"/>
                </a:solidFill>
                <a:latin typeface="Calibri"/>
              </a:rPr>
              <a:t>Tempo médio de ciclo por cenário e por arquitetura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635294117647101"/>
          <c:y val="0.153894736842105"/>
          <c:w val="0.73947058823529399"/>
          <c:h val="0.6734736842105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Sincronização!$C$4</c:f>
              <c:strCache>
                <c:ptCount val="1"/>
                <c:pt idx="0">
                  <c:v>Temporal (s)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Sincronização!$A$5:$A$12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Sincronização!$C$5:$C$12</c:f>
              <c:numCache>
                <c:formatCode>0.000</c:formatCode>
                <c:ptCount val="8"/>
                <c:pt idx="0">
                  <c:v>50.268834388888877</c:v>
                </c:pt>
                <c:pt idx="1">
                  <c:v>46.273133799999997</c:v>
                </c:pt>
                <c:pt idx="2">
                  <c:v>48.124389647058827</c:v>
                </c:pt>
                <c:pt idx="3">
                  <c:v>50.620336000000002</c:v>
                </c:pt>
                <c:pt idx="4">
                  <c:v>50.888971599999998</c:v>
                </c:pt>
                <c:pt idx="5">
                  <c:v>51.017659266666662</c:v>
                </c:pt>
                <c:pt idx="6">
                  <c:v>47.863755249999997</c:v>
                </c:pt>
                <c:pt idx="7">
                  <c:v>50.658225823529413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C-4BD3-97DF-8D904285BC9A}"/>
            </c:ext>
          </c:extLst>
        </c:ser>
        <c:ser>
          <c:idx val="1"/>
          <c:order val="1"/>
          <c:tx>
            <c:strRef>
              <c:f>Sincronização!$D$4</c:f>
              <c:strCache>
                <c:ptCount val="1"/>
                <c:pt idx="0">
                  <c:v>Estados (s)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Sincronização!$A$5:$A$12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Sincronização!$D$5:$D$12</c:f>
              <c:numCache>
                <c:formatCode>0.000</c:formatCode>
                <c:ptCount val="8"/>
                <c:pt idx="0">
                  <c:v>47.949944444444448</c:v>
                </c:pt>
                <c:pt idx="1">
                  <c:v>43.814483749999987</c:v>
                </c:pt>
                <c:pt idx="2">
                  <c:v>46.989981470588241</c:v>
                </c:pt>
                <c:pt idx="3">
                  <c:v>49.261626600000007</c:v>
                </c:pt>
                <c:pt idx="4">
                  <c:v>47.742952849999988</c:v>
                </c:pt>
                <c:pt idx="5">
                  <c:v>47.479287533333327</c:v>
                </c:pt>
                <c:pt idx="6">
                  <c:v>46.578390874999997</c:v>
                </c:pt>
                <c:pt idx="7">
                  <c:v>46.94442688235295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C-4BD3-97DF-8D90428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4015549"/>
        <c:axId val="61637830"/>
      </c:barChart>
      <c:catAx>
        <c:axId val="74015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Cenário experimental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1637830"/>
        <c:crosses val="autoZero"/>
        <c:auto val="1"/>
        <c:lblAlgn val="ctr"/>
        <c:lblOffset val="100"/>
        <c:noMultiLvlLbl val="0"/>
      </c:catAx>
      <c:valAx>
        <c:axId val="61637830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médio de ciclo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4015549"/>
        <c:crosses val="autoZero"/>
        <c:crossBetween val="between"/>
      </c:valAx>
    </c:plotArea>
    <c:legend>
      <c:legendPos val="r"/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Espera improdutiva média por cenário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3823529411764695E-2"/>
          <c:y val="7.1052631578947395E-2"/>
          <c:w val="0.77611764705882402"/>
          <c:h val="0.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Sincronização!$G$4</c:f>
              <c:strCache>
                <c:ptCount val="1"/>
                <c:pt idx="0">
                  <c:v>Temporal (s)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Sincronização!$A$5:$A$12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Sincronização!$G$5:$G$12</c:f>
              <c:numCache>
                <c:formatCode>0.000</c:formatCode>
                <c:ptCount val="8"/>
                <c:pt idx="0">
                  <c:v>3.2150282222222222</c:v>
                </c:pt>
                <c:pt idx="1">
                  <c:v>3.236733549999999</c:v>
                </c:pt>
                <c:pt idx="2">
                  <c:v>3.2202913529411759</c:v>
                </c:pt>
                <c:pt idx="3">
                  <c:v>3.3401474000000002</c:v>
                </c:pt>
                <c:pt idx="4">
                  <c:v>3.3792034499999999</c:v>
                </c:pt>
                <c:pt idx="5">
                  <c:v>3.380523933333333</c:v>
                </c:pt>
                <c:pt idx="6">
                  <c:v>3.2454141875000002</c:v>
                </c:pt>
                <c:pt idx="7">
                  <c:v>3.1533081764705879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F-4E3B-A90A-4BB9CDD3C25D}"/>
            </c:ext>
          </c:extLst>
        </c:ser>
        <c:ser>
          <c:idx val="1"/>
          <c:order val="1"/>
          <c:tx>
            <c:strRef>
              <c:f>Sincronização!$H$4</c:f>
              <c:strCache>
                <c:ptCount val="1"/>
                <c:pt idx="0">
                  <c:v>Estados (s)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Sincronização!$A$5:$A$12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Sincronização!$H$5:$H$12</c:f>
              <c:numCache>
                <c:formatCode>0.000</c:formatCode>
                <c:ptCount val="8"/>
                <c:pt idx="0">
                  <c:v>1.0680000000000001</c:v>
                </c:pt>
                <c:pt idx="1">
                  <c:v>1.0624219500000001</c:v>
                </c:pt>
                <c:pt idx="2">
                  <c:v>1.0632631176470591</c:v>
                </c:pt>
                <c:pt idx="3">
                  <c:v>1.0834946000000001</c:v>
                </c:pt>
                <c:pt idx="4">
                  <c:v>1.0413424</c:v>
                </c:pt>
                <c:pt idx="5">
                  <c:v>1.066238866666666</c:v>
                </c:pt>
                <c:pt idx="6">
                  <c:v>1.0506336249999999</c:v>
                </c:pt>
                <c:pt idx="7">
                  <c:v>1.0637319999999999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F-4E3B-A90A-4BB9CDD3C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6794244"/>
        <c:axId val="41114436"/>
      </c:barChart>
      <c:catAx>
        <c:axId val="467942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Cenário experimental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1114436"/>
        <c:crosses val="autoZero"/>
        <c:auto val="1"/>
        <c:lblAlgn val="ctr"/>
        <c:lblOffset val="100"/>
        <c:noMultiLvlLbl val="0"/>
      </c:catAx>
      <c:valAx>
        <c:axId val="41114436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Espera improdutiva média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67942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47935831789799"/>
          <c:y val="0.86018174516312695"/>
          <c:w val="0.162453974448039"/>
          <c:h val="0.12183525584539"/>
        </c:manualLayout>
      </c:layout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Ciclos com falha por cenário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7705882352941194E-2"/>
          <c:y val="6.9473684210526299E-2"/>
          <c:w val="0.90829411764705903"/>
          <c:h val="0.77557894736842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Sincronização!$I$4</c:f>
              <c:strCache>
                <c:ptCount val="1"/>
                <c:pt idx="0">
                  <c:v>Temporal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Sincronização!$A$5:$A$12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Sincronização!$I$5:$I$12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C-46BB-8713-F6E59A6E7DDA}"/>
            </c:ext>
          </c:extLst>
        </c:ser>
        <c:ser>
          <c:idx val="1"/>
          <c:order val="1"/>
          <c:tx>
            <c:strRef>
              <c:f>Sincronização!$J$4</c:f>
              <c:strCache>
                <c:ptCount val="1"/>
                <c:pt idx="0">
                  <c:v>Estados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Sincronização!$A$5:$A$12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Sincronização!$J$5:$J$12</c:f>
              <c:numCache>
                <c:formatCode>0</c:formatCode>
                <c:ptCount val="8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C-46BB-8713-F6E59A6E7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3270922"/>
        <c:axId val="52925353"/>
      </c:barChart>
      <c:catAx>
        <c:axId val="132709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Cenário experimental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52925353"/>
        <c:crosses val="autoZero"/>
        <c:auto val="1"/>
        <c:lblAlgn val="ctr"/>
        <c:lblOffset val="100"/>
        <c:noMultiLvlLbl val="0"/>
      </c:catAx>
      <c:valAx>
        <c:axId val="52925353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Número de ciclos com falha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327092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Redução do tempo de ciclo por cenário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3176470588235305E-2"/>
          <c:y val="0.10463157894736801"/>
          <c:w val="0.88464705882353001"/>
          <c:h val="0.780631578947369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Sincronização!$K$4</c:f>
              <c:strCache>
                <c:ptCount val="1"/>
                <c:pt idx="0">
                  <c:v>Melhoria (%)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0">
              <a:solidFill>
                <a:srgbClr val="1BAF7A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E2-4D91-A0E9-286DCC143F7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E2-4D91-A0E9-286DCC143F7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2E2-4D91-A0E9-286DCC143F7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2E2-4D91-A0E9-286DCC143F73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2E2-4D91-A0E9-286DCC143F73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2E2-4D91-A0E9-286DCC143F73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2E2-4D91-A0E9-286DCC143F73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2E2-4D91-A0E9-286DCC143F73}"/>
              </c:ext>
            </c:extLst>
          </c:dPt>
          <c:cat>
            <c:strRef>
              <c:f>Sincronização!$A$5:$A$12</c:f>
              <c:strCache>
                <c:ptCount val="8"/>
                <c:pt idx="0">
                  <c:v>R01</c:v>
                </c:pt>
                <c:pt idx="1">
                  <c:v>R04</c:v>
                </c:pt>
                <c:pt idx="2">
                  <c:v>R08</c:v>
                </c:pt>
                <c:pt idx="3">
                  <c:v>R10</c:v>
                </c:pt>
                <c:pt idx="4">
                  <c:v>O07</c:v>
                </c:pt>
                <c:pt idx="5">
                  <c:v>O03</c:v>
                </c:pt>
                <c:pt idx="6">
                  <c:v>O13</c:v>
                </c:pt>
                <c:pt idx="7">
                  <c:v>O17</c:v>
                </c:pt>
              </c:strCache>
            </c:strRef>
          </c:cat>
          <c:val>
            <c:numRef>
              <c:f>Sincronização!$K$5:$K$12</c:f>
              <c:numCache>
                <c:formatCode>0.000</c:formatCode>
                <c:ptCount val="8"/>
                <c:pt idx="0">
                  <c:v>4.6129773499522182</c:v>
                </c:pt>
                <c:pt idx="1">
                  <c:v>5.3133424259240529</c:v>
                </c:pt>
                <c:pt idx="2">
                  <c:v>2.3572416913549712</c:v>
                </c:pt>
                <c:pt idx="3">
                  <c:v>2.68411770320923</c:v>
                </c:pt>
                <c:pt idx="4">
                  <c:v>6.1821228668727963</c:v>
                </c:pt>
                <c:pt idx="5">
                  <c:v>6.935582275224446</c:v>
                </c:pt>
                <c:pt idx="6">
                  <c:v>2.6854649583726369</c:v>
                </c:pt>
                <c:pt idx="7">
                  <c:v>7.3310876581301461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2E2-4D91-A0E9-286DCC143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8915928"/>
        <c:axId val="41731518"/>
      </c:barChart>
      <c:catAx>
        <c:axId val="989159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Cenário experimental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1731518"/>
        <c:crosses val="autoZero"/>
        <c:auto val="1"/>
        <c:lblAlgn val="ctr"/>
        <c:lblOffset val="100"/>
        <c:noMultiLvlLbl val="0"/>
      </c:catAx>
      <c:valAx>
        <c:axId val="41731518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Redução do tempo de ciclo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9891592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Tempos agregados nas duas arquiteturas (138 pares)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7529411764706"/>
          <c:y val="0.112"/>
          <c:w val="0.81041176470588205"/>
          <c:h val="0.73147368421052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Sincronização!$B$58</c:f>
              <c:strCache>
                <c:ptCount val="1"/>
                <c:pt idx="0">
                  <c:v>Temporal (s)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Sincronização!$A$59:$A$62</c:f>
              <c:strCache>
                <c:ptCount val="4"/>
                <c:pt idx="0">
                  <c:v>Tempo médio de ciclo</c:v>
                </c:pt>
                <c:pt idx="1">
                  <c:v>Mediana do tempo de ciclo</c:v>
                </c:pt>
                <c:pt idx="2">
                  <c:v>Desvio-padrão</c:v>
                </c:pt>
                <c:pt idx="3">
                  <c:v>Espera improdutiva média</c:v>
                </c:pt>
              </c:strCache>
            </c:strRef>
          </c:cat>
          <c:val>
            <c:numRef>
              <c:f>Sincronização!$B$59:$B$62</c:f>
              <c:numCache>
                <c:formatCode>0.000</c:formatCode>
                <c:ptCount val="4"/>
                <c:pt idx="0">
                  <c:v>49.404171036231887</c:v>
                </c:pt>
                <c:pt idx="1">
                  <c:v>49.471097499999999</c:v>
                </c:pt>
                <c:pt idx="2">
                  <c:v>3.023320936169223</c:v>
                </c:pt>
                <c:pt idx="3">
                  <c:v>3.2701241811594199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6-44FF-91BA-DF0F3E5699BB}"/>
            </c:ext>
          </c:extLst>
        </c:ser>
        <c:ser>
          <c:idx val="1"/>
          <c:order val="1"/>
          <c:tx>
            <c:strRef>
              <c:f>Sincronização!$C$58</c:f>
              <c:strCache>
                <c:ptCount val="1"/>
                <c:pt idx="0">
                  <c:v>Estados (s)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Sincronização!$A$59:$A$62</c:f>
              <c:strCache>
                <c:ptCount val="4"/>
                <c:pt idx="0">
                  <c:v>Tempo médio de ciclo</c:v>
                </c:pt>
                <c:pt idx="1">
                  <c:v>Mediana do tempo de ciclo</c:v>
                </c:pt>
                <c:pt idx="2">
                  <c:v>Desvio-padrão</c:v>
                </c:pt>
                <c:pt idx="3">
                  <c:v>Espera improdutiva média</c:v>
                </c:pt>
              </c:strCache>
            </c:strRef>
          </c:cat>
          <c:val>
            <c:numRef>
              <c:f>Sincronização!$C$59:$C$62</c:f>
              <c:numCache>
                <c:formatCode>0.000</c:formatCode>
                <c:ptCount val="4"/>
                <c:pt idx="0">
                  <c:v>47.010874202898549</c:v>
                </c:pt>
                <c:pt idx="1">
                  <c:v>46.771963</c:v>
                </c:pt>
                <c:pt idx="2">
                  <c:v>3.2383157683221988</c:v>
                </c:pt>
                <c:pt idx="3">
                  <c:v>1.061698144927536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6-44FF-91BA-DF0F3E569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7263339"/>
        <c:axId val="65899717"/>
      </c:barChart>
      <c:catAx>
        <c:axId val="472633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Métrica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5899717"/>
        <c:crosses val="autoZero"/>
        <c:auto val="1"/>
        <c:lblAlgn val="ctr"/>
        <c:lblOffset val="100"/>
        <c:noMultiLvlLbl val="0"/>
      </c:catAx>
      <c:valAx>
        <c:axId val="65899717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72633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Taxa de sucesso do ciclo (147 ciclos por arquitetura)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4394117647058799"/>
          <c:y val="7.7157894736842106E-2"/>
          <c:w val="0.72588235294117598"/>
          <c:h val="0.76084210526315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Sincronização!$B$58</c:f>
              <c:strCache>
                <c:ptCount val="1"/>
                <c:pt idx="0">
                  <c:v>Temporal (s)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Sincronização!$A$63</c:f>
              <c:strCache>
                <c:ptCount val="1"/>
                <c:pt idx="0">
                  <c:v>Taxa de sucesso do ciclo</c:v>
                </c:pt>
              </c:strCache>
            </c:strRef>
          </c:cat>
          <c:val>
            <c:numRef>
              <c:f>Sincronização!$B$63</c:f>
              <c:numCache>
                <c:formatCode>0.000</c:formatCode>
                <c:ptCount val="1"/>
                <c:pt idx="0">
                  <c:v>97.278911564625844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9-4A24-9D8C-3840C3B44300}"/>
            </c:ext>
          </c:extLst>
        </c:ser>
        <c:ser>
          <c:idx val="1"/>
          <c:order val="1"/>
          <c:tx>
            <c:strRef>
              <c:f>Sincronização!$C$58</c:f>
              <c:strCache>
                <c:ptCount val="1"/>
                <c:pt idx="0">
                  <c:v>Estados (s)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Sincronização!$A$63</c:f>
              <c:strCache>
                <c:ptCount val="1"/>
                <c:pt idx="0">
                  <c:v>Taxa de sucesso do ciclo</c:v>
                </c:pt>
              </c:strCache>
            </c:strRef>
          </c:cat>
          <c:val>
            <c:numRef>
              <c:f>Sincronização!$C$63</c:f>
              <c:numCache>
                <c:formatCode>0.000</c:formatCode>
                <c:ptCount val="1"/>
                <c:pt idx="0">
                  <c:v>96.598639455782319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9-4A24-9D8C-3840C3B44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80373502"/>
        <c:axId val="76784340"/>
      </c:barChart>
      <c:catAx>
        <c:axId val="803735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6784340"/>
        <c:crosses val="autoZero"/>
        <c:auto val="1"/>
        <c:lblAlgn val="ctr"/>
        <c:lblOffset val="100"/>
        <c:noMultiLvlLbl val="0"/>
      </c:catAx>
      <c:valAx>
        <c:axId val="76784340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Taxa de sucesso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037350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 por etapa — cenário R01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33469659076741"/>
          <c:y val="8.275624720661677E-2"/>
          <c:w val="0.79122825849974565"/>
          <c:h val="0.628209258537652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'Etapas do ciclo'!$B$3</c:f>
              <c:strCache>
                <c:ptCount val="1"/>
                <c:pt idx="0">
                  <c:v>Temporal (s)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'Etapas do ciclo'!$A$4:$A$11</c:f>
              <c:strCache>
                <c:ptCount val="8"/>
                <c:pt idx="0">
                  <c:v>PICK</c:v>
                </c:pt>
                <c:pt idx="1">
                  <c:v>TARGET_PICK</c:v>
                </c:pt>
                <c:pt idx="2">
                  <c:v>MOVE_PICK</c:v>
                </c:pt>
                <c:pt idx="3">
                  <c:v>CLOSE</c:v>
                </c:pt>
                <c:pt idx="4">
                  <c:v>TARGET_PLACE</c:v>
                </c:pt>
                <c:pt idx="5">
                  <c:v>MOVE_PLACE</c:v>
                </c:pt>
                <c:pt idx="6">
                  <c:v>OPEN</c:v>
                </c:pt>
                <c:pt idx="7">
                  <c:v>FINISH_HOME</c:v>
                </c:pt>
              </c:strCache>
            </c:strRef>
          </c:cat>
          <c:val>
            <c:numRef>
              <c:f>'Etapas do ciclo'!$B$4:$B$11</c:f>
              <c:numCache>
                <c:formatCode>0.000</c:formatCode>
                <c:ptCount val="8"/>
                <c:pt idx="0">
                  <c:v>0.45168520000000001</c:v>
                </c:pt>
                <c:pt idx="1">
                  <c:v>2.2344000000000001E-3</c:v>
                </c:pt>
                <c:pt idx="2">
                  <c:v>16.48271055</c:v>
                </c:pt>
                <c:pt idx="3">
                  <c:v>3.9830500000000001E-3</c:v>
                </c:pt>
                <c:pt idx="4">
                  <c:v>1.8711000000000001E-3</c:v>
                </c:pt>
                <c:pt idx="5">
                  <c:v>16.764286049999999</c:v>
                </c:pt>
                <c:pt idx="6">
                  <c:v>4.26305E-3</c:v>
                </c:pt>
                <c:pt idx="7">
                  <c:v>13.7229271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B-4B7E-9C5E-267435FE8007}"/>
            </c:ext>
          </c:extLst>
        </c:ser>
        <c:ser>
          <c:idx val="1"/>
          <c:order val="1"/>
          <c:tx>
            <c:strRef>
              <c:f>'Etapas do ciclo'!$C$3</c:f>
              <c:strCache>
                <c:ptCount val="1"/>
                <c:pt idx="0">
                  <c:v>Estados (s)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'Etapas do ciclo'!$A$4:$A$11</c:f>
              <c:strCache>
                <c:ptCount val="8"/>
                <c:pt idx="0">
                  <c:v>PICK</c:v>
                </c:pt>
                <c:pt idx="1">
                  <c:v>TARGET_PICK</c:v>
                </c:pt>
                <c:pt idx="2">
                  <c:v>MOVE_PICK</c:v>
                </c:pt>
                <c:pt idx="3">
                  <c:v>CLOSE</c:v>
                </c:pt>
                <c:pt idx="4">
                  <c:v>TARGET_PLACE</c:v>
                </c:pt>
                <c:pt idx="5">
                  <c:v>MOVE_PLACE</c:v>
                </c:pt>
                <c:pt idx="6">
                  <c:v>OPEN</c:v>
                </c:pt>
                <c:pt idx="7">
                  <c:v>FINISH_HOME</c:v>
                </c:pt>
              </c:strCache>
            </c:strRef>
          </c:cat>
          <c:val>
            <c:numRef>
              <c:f>'Etapas do ciclo'!$C$4:$C$11</c:f>
              <c:numCache>
                <c:formatCode>0.000</c:formatCode>
                <c:ptCount val="8"/>
                <c:pt idx="0">
                  <c:v>0.4516</c:v>
                </c:pt>
                <c:pt idx="1">
                  <c:v>2.0500000000000002E-3</c:v>
                </c:pt>
                <c:pt idx="2">
                  <c:v>16.398150000000001</c:v>
                </c:pt>
                <c:pt idx="3">
                  <c:v>4.4999999999999997E-3</c:v>
                </c:pt>
                <c:pt idx="4">
                  <c:v>1.9499999999999999E-3</c:v>
                </c:pt>
                <c:pt idx="5">
                  <c:v>15.4213</c:v>
                </c:pt>
                <c:pt idx="6">
                  <c:v>4.1578947368421104E-3</c:v>
                </c:pt>
                <c:pt idx="7">
                  <c:v>13.571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B-4B7E-9C5E-267435FE8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4718302"/>
        <c:axId val="71748990"/>
      </c:barChart>
      <c:catAx>
        <c:axId val="347183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Etapa do ciclo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1748990"/>
        <c:crosses val="autoZero"/>
        <c:auto val="1"/>
        <c:lblAlgn val="ctr"/>
        <c:lblOffset val="100"/>
        <c:noMultiLvlLbl val="0"/>
      </c:catAx>
      <c:valAx>
        <c:axId val="71748990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até à resposta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3471830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103082397510667"/>
          <c:y val="5.1759281702917978E-2"/>
          <c:w val="0.115531021720737"/>
          <c:h val="0.1162616630339063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 por etapa — cenário O07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4153696929507889"/>
          <c:y val="6.7676602184181381E-2"/>
          <c:w val="0.81091101680270539"/>
          <c:h val="0.6849981781824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'Etapas do ciclo'!$D$3</c:f>
              <c:strCache>
                <c:ptCount val="1"/>
                <c:pt idx="0">
                  <c:v>Temporal (s)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cat>
            <c:strRef>
              <c:f>'Etapas do ciclo'!$A$4:$A$11</c:f>
              <c:strCache>
                <c:ptCount val="8"/>
                <c:pt idx="0">
                  <c:v>PICK</c:v>
                </c:pt>
                <c:pt idx="1">
                  <c:v>TARGET_PICK</c:v>
                </c:pt>
                <c:pt idx="2">
                  <c:v>MOVE_PICK</c:v>
                </c:pt>
                <c:pt idx="3">
                  <c:v>CLOSE</c:v>
                </c:pt>
                <c:pt idx="4">
                  <c:v>TARGET_PLACE</c:v>
                </c:pt>
                <c:pt idx="5">
                  <c:v>MOVE_PLACE</c:v>
                </c:pt>
                <c:pt idx="6">
                  <c:v>OPEN</c:v>
                </c:pt>
                <c:pt idx="7">
                  <c:v>FINISH_HOME</c:v>
                </c:pt>
              </c:strCache>
            </c:strRef>
          </c:cat>
          <c:val>
            <c:numRef>
              <c:f>'Etapas do ciclo'!$D$4:$D$11</c:f>
              <c:numCache>
                <c:formatCode>0.000</c:formatCode>
                <c:ptCount val="8"/>
                <c:pt idx="0">
                  <c:v>0.45297225000000002</c:v>
                </c:pt>
                <c:pt idx="1">
                  <c:v>2.2924999999999998E-3</c:v>
                </c:pt>
                <c:pt idx="2">
                  <c:v>17.959899700000001</c:v>
                </c:pt>
                <c:pt idx="3">
                  <c:v>4.1462499999999998E-3</c:v>
                </c:pt>
                <c:pt idx="4">
                  <c:v>2.2304E-3</c:v>
                </c:pt>
                <c:pt idx="5">
                  <c:v>15.5532424</c:v>
                </c:pt>
                <c:pt idx="6">
                  <c:v>5.2540499999999997E-3</c:v>
                </c:pt>
                <c:pt idx="7">
                  <c:v>13.5287925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9-48C8-9232-D161D6EC619E}"/>
            </c:ext>
          </c:extLst>
        </c:ser>
        <c:ser>
          <c:idx val="1"/>
          <c:order val="1"/>
          <c:tx>
            <c:strRef>
              <c:f>'Etapas do ciclo'!$E$3</c:f>
              <c:strCache>
                <c:ptCount val="1"/>
                <c:pt idx="0">
                  <c:v>Estados (s)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cat>
            <c:strRef>
              <c:f>'Etapas do ciclo'!$A$4:$A$11</c:f>
              <c:strCache>
                <c:ptCount val="8"/>
                <c:pt idx="0">
                  <c:v>PICK</c:v>
                </c:pt>
                <c:pt idx="1">
                  <c:v>TARGET_PICK</c:v>
                </c:pt>
                <c:pt idx="2">
                  <c:v>MOVE_PICK</c:v>
                </c:pt>
                <c:pt idx="3">
                  <c:v>CLOSE</c:v>
                </c:pt>
                <c:pt idx="4">
                  <c:v>TARGET_PLACE</c:v>
                </c:pt>
                <c:pt idx="5">
                  <c:v>MOVE_PLACE</c:v>
                </c:pt>
                <c:pt idx="6">
                  <c:v>OPEN</c:v>
                </c:pt>
                <c:pt idx="7">
                  <c:v>FINISH_HOME</c:v>
                </c:pt>
              </c:strCache>
            </c:strRef>
          </c:cat>
          <c:val>
            <c:numRef>
              <c:f>'Etapas do ciclo'!$E$4:$E$11</c:f>
              <c:numCache>
                <c:formatCode>0.000</c:formatCode>
                <c:ptCount val="8"/>
                <c:pt idx="0">
                  <c:v>0.45259254999999998</c:v>
                </c:pt>
                <c:pt idx="1">
                  <c:v>1.99935E-3</c:v>
                </c:pt>
                <c:pt idx="2">
                  <c:v>18.153145299999998</c:v>
                </c:pt>
                <c:pt idx="3">
                  <c:v>4.2614999999999997E-3</c:v>
                </c:pt>
                <c:pt idx="4">
                  <c:v>2.0709999999999999E-3</c:v>
                </c:pt>
                <c:pt idx="5">
                  <c:v>15.115048699999999</c:v>
                </c:pt>
                <c:pt idx="6">
                  <c:v>5.9147499999999999E-3</c:v>
                </c:pt>
                <c:pt idx="7">
                  <c:v>12.965722599999999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9-48C8-9232-D161D6EC6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8895538"/>
        <c:axId val="35855887"/>
      </c:barChart>
      <c:catAx>
        <c:axId val="78895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Etapa do ciclo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35855887"/>
        <c:crosses val="autoZero"/>
        <c:auto val="1"/>
        <c:lblAlgn val="ctr"/>
        <c:lblOffset val="100"/>
        <c:noMultiLvlLbl val="0"/>
      </c:catAx>
      <c:valAx>
        <c:axId val="35855887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até à resposta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889553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81333903383727"/>
          <c:y val="0.10752865703004109"/>
          <c:w val="0.1196609708358828"/>
          <c:h val="0.10860113025983301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Taxa de sucesso por comando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611764705882401"/>
          <c:y val="4.2000000000000003E-2"/>
          <c:w val="0.85635294117647098"/>
          <c:h val="0.56410526315789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'Pick-and-place'!$E$3</c:f>
              <c:strCache>
                <c:ptCount val="1"/>
                <c:pt idx="0">
                  <c:v>Taxa (%)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F9-48E0-B0F5-06CDFBA825DA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F9-48E0-B0F5-06CDFBA825DA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F9-48E0-B0F5-06CDFBA825DA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F9-48E0-B0F5-06CDFBA825DA}"/>
              </c:ext>
            </c:extLst>
          </c:dPt>
          <c:dPt>
            <c:idx val="4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F9-48E0-B0F5-06CDFBA825DA}"/>
              </c:ext>
            </c:extLst>
          </c:dPt>
          <c:dPt>
            <c:idx val="5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AF9-48E0-B0F5-06CDFBA825DA}"/>
              </c:ext>
            </c:extLst>
          </c:dPt>
          <c:dPt>
            <c:idx val="6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AF9-48E0-B0F5-06CDFBA825D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'Pick-and-place'!$A$4:$A$10</c:f>
              <c:strCache>
                <c:ptCount val="7"/>
                <c:pt idx="0">
                  <c:v>PICK_POSE</c:v>
                </c:pt>
                <c:pt idx="1">
                  <c:v>TARGET_POSE</c:v>
                </c:pt>
                <c:pt idx="2">
                  <c:v>IR_POSE</c:v>
                </c:pt>
                <c:pt idx="3">
                  <c:v>FECHAR_GARRA</c:v>
                </c:pt>
                <c:pt idx="4">
                  <c:v>ABRIR_GARRA</c:v>
                </c:pt>
                <c:pt idx="5">
                  <c:v>TERMINAR_TAREFA</c:v>
                </c:pt>
                <c:pt idx="6">
                  <c:v>REMOVER_PECA</c:v>
                </c:pt>
              </c:strCache>
            </c:strRef>
          </c:cat>
          <c:val>
            <c:numRef>
              <c:f>'Pick-and-place'!$E$4:$E$10</c:f>
              <c:numCache>
                <c:formatCode>0.000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98</c:v>
                </c:pt>
                <c:pt idx="3">
                  <c:v>100</c:v>
                </c:pt>
                <c:pt idx="4">
                  <c:v>100</c:v>
                </c:pt>
                <c:pt idx="5">
                  <c:v>98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AF9-48E0-B0F5-06CDFBA82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0011425"/>
        <c:axId val="63279053"/>
      </c:barChart>
      <c:catAx>
        <c:axId val="800114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Comando do protocolo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3279053"/>
        <c:crosses val="autoZero"/>
        <c:auto val="1"/>
        <c:lblAlgn val="ctr"/>
        <c:lblOffset val="100"/>
        <c:noMultiLvlLbl val="0"/>
      </c:catAx>
      <c:valAx>
        <c:axId val="63279053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Taxa de sucesso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001142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Sucesso por comando e por ciclo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217647058823501"/>
          <c:y val="7.73684210526316E-2"/>
          <c:w val="0.83117647058823496"/>
          <c:h val="0.784631578947369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'Pick-and-place'!$D$34</c:f>
              <c:strCache>
                <c:ptCount val="1"/>
                <c:pt idx="0">
                  <c:v>Taxa (%)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21-4DFA-A9BF-51BA58A19575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21-4DFA-A9BF-51BA58A1957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'Pick-and-place'!$A$35:$A$36</c:f>
              <c:strCache>
                <c:ptCount val="2"/>
                <c:pt idx="0">
                  <c:v>Por comando</c:v>
                </c:pt>
                <c:pt idx="1">
                  <c:v>Por ciclo</c:v>
                </c:pt>
              </c:strCache>
            </c:strRef>
          </c:cat>
          <c:val>
            <c:numRef>
              <c:f>'Pick-and-place'!$D$35:$D$36</c:f>
              <c:numCache>
                <c:formatCode>0.000</c:formatCode>
                <c:ptCount val="2"/>
                <c:pt idx="0">
                  <c:v>99.33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21-4DFA-A9BF-51BA58A1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864151"/>
        <c:axId val="92143386"/>
      </c:barChart>
      <c:catAx>
        <c:axId val="18864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Unidade de análise</a:t>
                </a:r>
              </a:p>
            </c:rich>
          </c:tx>
          <c:layout>
            <c:manualLayout>
              <c:xMode val="edge"/>
              <c:yMode val="edge"/>
              <c:x val="0.45429411764705901"/>
              <c:y val="0.936105263157895"/>
            </c:manualLayout>
          </c:layout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92143386"/>
        <c:crosses val="autoZero"/>
        <c:auto val="1"/>
        <c:lblAlgn val="ctr"/>
        <c:lblOffset val="100"/>
        <c:noMultiLvlLbl val="0"/>
      </c:catAx>
      <c:valAx>
        <c:axId val="92143386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Taxa de sucesso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886415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 médio das etapas de movimento (s)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0058823529412"/>
          <c:y val="7.0947368421052606E-2"/>
          <c:w val="0.86776470588235299"/>
          <c:h val="0.4945263157894739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'Pick-and-place'!$C$60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30-449F-A088-EB970F490E37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30-449F-A088-EB970F490E37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30-449F-A088-EB970F490E37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30-449F-A088-EB970F490E37}"/>
              </c:ext>
            </c:extLst>
          </c:dPt>
          <c:dPt>
            <c:idx val="4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30-449F-A088-EB970F490E37}"/>
              </c:ext>
            </c:extLst>
          </c:dPt>
          <c:dPt>
            <c:idx val="5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C30-449F-A088-EB970F490E3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'Pick-and-place'!$A$63:$A$68</c:f>
              <c:strCache>
                <c:ptCount val="6"/>
                <c:pt idx="0">
                  <c:v>IR_POSE — planeamento</c:v>
                </c:pt>
                <c:pt idx="1">
                  <c:v>IR_POSE — execução</c:v>
                </c:pt>
                <c:pt idx="2">
                  <c:v>IR_POSE — total</c:v>
                </c:pt>
                <c:pt idx="3">
                  <c:v>TERMINAR — planeamento</c:v>
                </c:pt>
                <c:pt idx="4">
                  <c:v>TERMINAR — execução</c:v>
                </c:pt>
                <c:pt idx="5">
                  <c:v>TERMINAR — total</c:v>
                </c:pt>
              </c:strCache>
            </c:strRef>
          </c:cat>
          <c:val>
            <c:numRef>
              <c:f>'Pick-and-place'!$C$63:$C$68</c:f>
              <c:numCache>
                <c:formatCode>0.000</c:formatCode>
                <c:ptCount val="6"/>
                <c:pt idx="0">
                  <c:v>1.536</c:v>
                </c:pt>
                <c:pt idx="1">
                  <c:v>10.335000000000001</c:v>
                </c:pt>
                <c:pt idx="2">
                  <c:v>11.871</c:v>
                </c:pt>
                <c:pt idx="3">
                  <c:v>6.7000000000000004E-2</c:v>
                </c:pt>
                <c:pt idx="4">
                  <c:v>7.8209999999999997</c:v>
                </c:pt>
                <c:pt idx="5">
                  <c:v>7.8879999999999999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30-449F-A088-EB970F490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2280325"/>
        <c:axId val="33797385"/>
      </c:barChart>
      <c:catAx>
        <c:axId val="722803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Etapa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33797385"/>
        <c:crosses val="autoZero"/>
        <c:auto val="1"/>
        <c:lblAlgn val="ctr"/>
        <c:lblOffset val="100"/>
        <c:noMultiLvlLbl val="0"/>
      </c:catAx>
      <c:valAx>
        <c:axId val="33797385"/>
        <c:scaling>
          <c:orientation val="minMax"/>
          <c:max val="16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228032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Erro de posicionamento por componente, antes e depois da correção do TCP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474692989950339"/>
          <c:y val="0.13130345235935681"/>
          <c:w val="0.77789422155314392"/>
          <c:h val="0.65462230004423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'TCP e erro'!$B$3</c:f>
              <c:strCache>
                <c:ptCount val="1"/>
                <c:pt idx="0">
                  <c:v>Flange (mm)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'TCP e erro'!$A$4:$A$7</c:f>
              <c:strCache>
                <c:ptCount val="4"/>
                <c:pt idx="0">
                  <c:v>Erro X</c:v>
                </c:pt>
                <c:pt idx="1">
                  <c:v>Erro Y</c:v>
                </c:pt>
                <c:pt idx="2">
                  <c:v>Erro Z</c:v>
                </c:pt>
                <c:pt idx="3">
                  <c:v>Euclidiano</c:v>
                </c:pt>
              </c:strCache>
            </c:strRef>
          </c:cat>
          <c:val>
            <c:numRef>
              <c:f>'TCP e erro'!$B$4:$B$7</c:f>
              <c:numCache>
                <c:formatCode>0.000</c:formatCode>
                <c:ptCount val="4"/>
                <c:pt idx="0">
                  <c:v>5.8470588235294203</c:v>
                </c:pt>
                <c:pt idx="1">
                  <c:v>3.8764705882352799</c:v>
                </c:pt>
                <c:pt idx="2">
                  <c:v>46.823529411764703</c:v>
                </c:pt>
                <c:pt idx="3">
                  <c:v>50.284818567646703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9-4781-ABC5-1C0C56EA96CB}"/>
            </c:ext>
          </c:extLst>
        </c:ser>
        <c:ser>
          <c:idx val="1"/>
          <c:order val="1"/>
          <c:tx>
            <c:strRef>
              <c:f>'TCP e erro'!$C$3</c:f>
              <c:strCache>
                <c:ptCount val="1"/>
                <c:pt idx="0">
                  <c:v>TCP corrigido (mm)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'TCP e erro'!$A$4:$A$7</c:f>
              <c:strCache>
                <c:ptCount val="4"/>
                <c:pt idx="0">
                  <c:v>Erro X</c:v>
                </c:pt>
                <c:pt idx="1">
                  <c:v>Erro Y</c:v>
                </c:pt>
                <c:pt idx="2">
                  <c:v>Erro Z</c:v>
                </c:pt>
                <c:pt idx="3">
                  <c:v>Euclidiano</c:v>
                </c:pt>
              </c:strCache>
            </c:strRef>
          </c:cat>
          <c:val>
            <c:numRef>
              <c:f>'TCP e erro'!$C$4:$C$7</c:f>
              <c:numCache>
                <c:formatCode>0.000</c:formatCode>
                <c:ptCount val="4"/>
                <c:pt idx="0">
                  <c:v>0.40588235294119701</c:v>
                </c:pt>
                <c:pt idx="1">
                  <c:v>0.429411764705874</c:v>
                </c:pt>
                <c:pt idx="2">
                  <c:v>0.57294117647058695</c:v>
                </c:pt>
                <c:pt idx="3">
                  <c:v>0.932426987857227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9-4781-ABC5-1C0C56EA9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1256694"/>
        <c:axId val="54299311"/>
      </c:barChart>
      <c:catAx>
        <c:axId val="812566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Componente do erro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54299311"/>
        <c:crosses val="autoZero"/>
        <c:auto val="1"/>
        <c:lblAlgn val="ctr"/>
        <c:lblOffset val="100"/>
        <c:noMultiLvlLbl val="0"/>
      </c:catAx>
      <c:valAx>
        <c:axId val="54299311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Erro médio (mm)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125669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751603223912893"/>
          <c:y val="0.27321692880212489"/>
          <c:w val="0.19248396776087109"/>
          <c:h val="8.0986216933481722E-2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Distribuição do erro euclidiano de posicionamento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921400544895676E-2"/>
          <c:y val="0.12647383906061671"/>
          <c:w val="0.83865193624254841"/>
          <c:h val="0.5069193197787332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'TCP e erro'!$B$32</c:f>
              <c:strCache>
                <c:ptCount val="1"/>
                <c:pt idx="0">
                  <c:v>Movimentos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D5-4BD3-BCF7-9B1812FC103E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D5-4BD3-BCF7-9B1812FC103E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D5-4BD3-BCF7-9B1812FC103E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1D5-4BD3-BCF7-9B1812FC103E}"/>
              </c:ext>
            </c:extLst>
          </c:dPt>
          <c:dPt>
            <c:idx val="4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1D5-4BD3-BCF7-9B1812FC103E}"/>
              </c:ext>
            </c:extLst>
          </c:dPt>
          <c:dPt>
            <c:idx val="5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1D5-4BD3-BCF7-9B1812FC103E}"/>
              </c:ext>
            </c:extLst>
          </c:dPt>
          <c:dPt>
            <c:idx val="6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1D5-4BD3-BCF7-9B1812FC103E}"/>
              </c:ext>
            </c:extLst>
          </c:dPt>
          <c:dPt>
            <c:idx val="7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1D5-4BD3-BCF7-9B1812FC103E}"/>
              </c:ext>
            </c:extLst>
          </c:dPt>
          <c:dPt>
            <c:idx val="8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1D5-4BD3-BCF7-9B1812FC103E}"/>
              </c:ext>
            </c:extLst>
          </c:dPt>
          <c:dPt>
            <c:idx val="9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1D5-4BD3-BCF7-9B1812FC103E}"/>
              </c:ext>
            </c:extLst>
          </c:dPt>
          <c:dPt>
            <c:idx val="1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1D5-4BD3-BCF7-9B1812FC103E}"/>
              </c:ext>
            </c:extLst>
          </c:dPt>
          <c:dPt>
            <c:idx val="1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1D5-4BD3-BCF7-9B1812FC103E}"/>
              </c:ext>
            </c:extLst>
          </c:dPt>
          <c:dPt>
            <c:idx val="1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61D5-4BD3-BCF7-9B1812FC103E}"/>
              </c:ext>
            </c:extLst>
          </c:dPt>
          <c:dPt>
            <c:idx val="13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61D5-4BD3-BCF7-9B1812FC103E}"/>
              </c:ext>
            </c:extLst>
          </c:dPt>
          <c:dPt>
            <c:idx val="14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61D5-4BD3-BCF7-9B1812FC103E}"/>
              </c:ext>
            </c:extLst>
          </c:dPt>
          <c:dPt>
            <c:idx val="15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61D5-4BD3-BCF7-9B1812FC103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'TCP e erro'!$A$33:$A$48</c:f>
              <c:strCache>
                <c:ptCount val="16"/>
                <c:pt idx="0">
                  <c:v>0,00–0,13</c:v>
                </c:pt>
                <c:pt idx="1">
                  <c:v>0,13–0,26</c:v>
                </c:pt>
                <c:pt idx="2">
                  <c:v>0,26–0,39</c:v>
                </c:pt>
                <c:pt idx="3">
                  <c:v>0,39–0,52</c:v>
                </c:pt>
                <c:pt idx="4">
                  <c:v>0,52–0,65</c:v>
                </c:pt>
                <c:pt idx="5">
                  <c:v>0,65–0,78</c:v>
                </c:pt>
                <c:pt idx="6">
                  <c:v>0,78–0,91</c:v>
                </c:pt>
                <c:pt idx="7">
                  <c:v>0,91–1,03</c:v>
                </c:pt>
                <c:pt idx="8">
                  <c:v>1,03–1,16</c:v>
                </c:pt>
                <c:pt idx="9">
                  <c:v>1,16–1,29</c:v>
                </c:pt>
                <c:pt idx="10">
                  <c:v>1,29–1,42</c:v>
                </c:pt>
                <c:pt idx="11">
                  <c:v>1,42–1,55</c:v>
                </c:pt>
                <c:pt idx="12">
                  <c:v>1,55–1,68</c:v>
                </c:pt>
                <c:pt idx="13">
                  <c:v>1,68–1,81</c:v>
                </c:pt>
                <c:pt idx="14">
                  <c:v>1,81–1,94</c:v>
                </c:pt>
                <c:pt idx="15">
                  <c:v>1,94–2,07</c:v>
                </c:pt>
              </c:strCache>
            </c:strRef>
          </c:cat>
          <c:val>
            <c:numRef>
              <c:f>'TCP e erro'!$B$33:$B$48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17</c:v>
                </c:pt>
                <c:pt idx="4">
                  <c:v>23</c:v>
                </c:pt>
                <c:pt idx="5">
                  <c:v>19</c:v>
                </c:pt>
                <c:pt idx="6">
                  <c:v>24</c:v>
                </c:pt>
                <c:pt idx="7">
                  <c:v>20</c:v>
                </c:pt>
                <c:pt idx="8">
                  <c:v>29</c:v>
                </c:pt>
                <c:pt idx="9">
                  <c:v>26</c:v>
                </c:pt>
                <c:pt idx="10">
                  <c:v>11</c:v>
                </c:pt>
                <c:pt idx="11">
                  <c:v>8</c:v>
                </c:pt>
                <c:pt idx="12">
                  <c:v>10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1D5-4BD3-BCF7-9B1812FC1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135519"/>
        <c:axId val="90037860"/>
      </c:barChart>
      <c:catAx>
        <c:axId val="7135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Erro euclidiano (mm)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90037860"/>
        <c:crosses val="autoZero"/>
        <c:auto val="1"/>
        <c:lblAlgn val="ctr"/>
        <c:lblOffset val="100"/>
        <c:noMultiLvlLbl val="0"/>
      </c:catAx>
      <c:valAx>
        <c:axId val="90037860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Número de movimentos</a:t>
                </a:r>
              </a:p>
            </c:rich>
          </c:tx>
          <c:layout>
            <c:manualLayout>
              <c:xMode val="edge"/>
              <c:yMode val="edge"/>
              <c:x val="1.509407600596125E-2"/>
              <c:y val="0.25822881413917059"/>
            </c:manualLayout>
          </c:layout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13551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4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 total médio por planeador — ciclo completo, sem obstáculos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5882352941176502E-2"/>
          <c:y val="6.2315789473684199E-2"/>
          <c:w val="0.869176470588235"/>
          <c:h val="0.828105263157895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Planeadores!$F$4</c:f>
              <c:strCache>
                <c:ptCount val="1"/>
                <c:pt idx="0">
                  <c:v>t. total (s)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68-430D-BA93-2EE2E67C4858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68-430D-BA93-2EE2E67C4858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68-430D-BA93-2EE2E67C485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Planeadores!$A$5:$A$7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Planeadores!$F$5:$F$7</c:f>
              <c:numCache>
                <c:formatCode>0.000</c:formatCode>
                <c:ptCount val="3"/>
                <c:pt idx="0">
                  <c:v>33.322922448979597</c:v>
                </c:pt>
                <c:pt idx="1">
                  <c:v>35.246473999999999</c:v>
                </c:pt>
                <c:pt idx="2">
                  <c:v>34.565199999999997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68-430D-BA93-2EE2E67C4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398270"/>
        <c:axId val="13475224"/>
      </c:barChart>
      <c:catAx>
        <c:axId val="2139827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Algoritmo de planeamento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pt-PT"/>
          </a:p>
        </c:txPr>
        <c:crossAx val="13475224"/>
        <c:crosses val="autoZero"/>
        <c:auto val="1"/>
        <c:lblAlgn val="ctr"/>
        <c:lblOffset val="100"/>
        <c:noMultiLvlLbl val="0"/>
      </c:catAx>
      <c:valAx>
        <c:axId val="1347522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total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pt-PT"/>
          </a:p>
        </c:txPr>
        <c:crossAx val="2139827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 total médio por planeador — movimento com obstáculos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51"/>
          <c:y val="6.5157894736842095E-2"/>
          <c:w val="0.75864705882353001"/>
          <c:h val="0.7940000000000000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Planeadores!$F$11</c:f>
              <c:strCache>
                <c:ptCount val="1"/>
                <c:pt idx="0">
                  <c:v>t. total (s)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B1-4E09-AEB4-05EC97641B6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B1-4E09-AEB4-05EC97641B6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B1-4E09-AEB4-05EC97641B6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Planeadores!$A$12:$A$14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Planeadores!$F$12:$F$14</c:f>
              <c:numCache>
                <c:formatCode>0.000</c:formatCode>
                <c:ptCount val="3"/>
                <c:pt idx="0">
                  <c:v>3.8778369058823499</c:v>
                </c:pt>
                <c:pt idx="1">
                  <c:v>3.8276770365853698</c:v>
                </c:pt>
                <c:pt idx="2">
                  <c:v>3.92000683544304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B1-4E09-AEB4-05EC97641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244517"/>
        <c:axId val="43075442"/>
      </c:barChart>
      <c:catAx>
        <c:axId val="8244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Algoritmo de planeamento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3075442"/>
        <c:crosses val="autoZero"/>
        <c:auto val="1"/>
        <c:lblAlgn val="ctr"/>
        <c:lblOffset val="100"/>
        <c:noMultiLvlLbl val="0"/>
      </c:catAx>
      <c:valAx>
        <c:axId val="43075442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total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24451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Comprimento cartesiano médio da trajetória — sem obstáculos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4294117647059"/>
          <c:y val="9.5684210526315802E-2"/>
          <c:w val="0.83711764705882397"/>
          <c:h val="0.753789473684211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Planeadores!$H$4</c:f>
              <c:strCache>
                <c:ptCount val="1"/>
                <c:pt idx="0">
                  <c:v>Comprimento (m)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37-416C-977E-F829C3ED86FE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37-416C-977E-F829C3ED86FE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37-416C-977E-F829C3ED86F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Planeadores!$A$5:$A$7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Planeadores!$H$5:$H$7</c:f>
              <c:numCache>
                <c:formatCode>0.000</c:formatCode>
                <c:ptCount val="3"/>
                <c:pt idx="0">
                  <c:v>3.88442857142857</c:v>
                </c:pt>
                <c:pt idx="1">
                  <c:v>4.3655720000000002</c:v>
                </c:pt>
                <c:pt idx="2">
                  <c:v>4.6664067999999999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37-416C-977E-F829C3ED8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3858569"/>
        <c:axId val="36730348"/>
      </c:barChart>
      <c:catAx>
        <c:axId val="63858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Algoritmo de planeamento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36730348"/>
        <c:crosses val="autoZero"/>
        <c:auto val="1"/>
        <c:lblAlgn val="ctr"/>
        <c:lblOffset val="100"/>
        <c:noMultiLvlLbl val="0"/>
      </c:catAx>
      <c:valAx>
        <c:axId val="36730348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Comprimento (m)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385856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2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200" b="1" strike="noStrike" spc="-1">
                <a:solidFill>
                  <a:srgbClr val="000000"/>
                </a:solidFill>
                <a:latin typeface="Calibri"/>
              </a:rPr>
              <a:t>Comprimento cartesiano médio da trajetória — com obstáculos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8352941176471"/>
          <c:y val="6.8842105263157899E-2"/>
          <c:w val="0.84064705882352897"/>
          <c:h val="0.786842105263158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Planeadores!$H$11</c:f>
              <c:strCache>
                <c:ptCount val="1"/>
                <c:pt idx="0">
                  <c:v>Comprimento (m)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7B-445A-954D-BF06AA350808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7B-445A-954D-BF06AA350808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7B-445A-954D-BF06AA35080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Planeadores!$A$12:$A$14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Planeadores!$H$12:$H$14</c:f>
              <c:numCache>
                <c:formatCode>0.000</c:formatCode>
                <c:ptCount val="3"/>
                <c:pt idx="0">
                  <c:v>2.2710602705882401</c:v>
                </c:pt>
                <c:pt idx="1">
                  <c:v>2.2051470243902398</c:v>
                </c:pt>
                <c:pt idx="2">
                  <c:v>2.4807807974683498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7B-445A-954D-BF06AA35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108307"/>
        <c:axId val="84607226"/>
      </c:barChart>
      <c:catAx>
        <c:axId val="31083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Algoritmo de planeamento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4607226"/>
        <c:crosses val="autoZero"/>
        <c:auto val="1"/>
        <c:lblAlgn val="ctr"/>
        <c:lblOffset val="100"/>
        <c:noMultiLvlLbl val="0"/>
      </c:catAx>
      <c:valAx>
        <c:axId val="84607226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Comprimento (m)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310830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Taxa de sucesso por planeador e por campanha</a:t>
            </a:r>
          </a:p>
        </c:rich>
      </c:tx>
      <c:layout>
        <c:manualLayout>
          <c:xMode val="edge"/>
          <c:yMode val="edge"/>
          <c:x val="0.2347632433155975"/>
          <c:y val="3.6766834578194657E-2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582352941176501"/>
          <c:y val="0.120947368421053"/>
          <c:w val="0.84358823529411797"/>
          <c:h val="0.77821052631579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Planeadores!$B$59</c:f>
              <c:strCache>
                <c:ptCount val="1"/>
                <c:pt idx="0">
                  <c:v>Sem obstáculos (%)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Planeadores!$A$60:$A$62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Planeadores!$B$60:$B$62</c:f>
              <c:numCache>
                <c:formatCode>0.000</c:formatCode>
                <c:ptCount val="3"/>
                <c:pt idx="0">
                  <c:v>98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2-4F24-B2B4-E2DF86822402}"/>
            </c:ext>
          </c:extLst>
        </c:ser>
        <c:ser>
          <c:idx val="1"/>
          <c:order val="1"/>
          <c:tx>
            <c:strRef>
              <c:f>Planeadores!$C$59</c:f>
              <c:strCache>
                <c:ptCount val="1"/>
                <c:pt idx="0">
                  <c:v>Com obstáculos (%)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Planeadores!$A$60:$A$62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Planeadores!$C$60:$C$62</c:f>
              <c:numCache>
                <c:formatCode>0.000</c:formatCode>
                <c:ptCount val="3"/>
                <c:pt idx="0">
                  <c:v>100</c:v>
                </c:pt>
                <c:pt idx="1">
                  <c:v>96.47</c:v>
                </c:pt>
                <c:pt idx="2">
                  <c:v>92.94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2-4F24-B2B4-E2DF86822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7443947"/>
        <c:axId val="97591078"/>
      </c:barChart>
      <c:catAx>
        <c:axId val="474439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Algoritmo de planeamento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97591078"/>
        <c:crosses val="autoZero"/>
        <c:auto val="1"/>
        <c:lblAlgn val="ctr"/>
        <c:lblOffset val="100"/>
        <c:noMultiLvlLbl val="0"/>
      </c:catAx>
      <c:valAx>
        <c:axId val="97591078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Taxa de sucesso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744394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798716715754037"/>
          <c:y val="0.11084836493652581"/>
          <c:w val="0.18483726032337561"/>
          <c:h val="0.115324702715732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Número médio de pontos da trajetória por planeador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Planeadores!$B$67</c:f>
              <c:strCache>
                <c:ptCount val="1"/>
                <c:pt idx="0">
                  <c:v>Sem obstáculos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Planeadores!$A$68:$A$70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Planeadores!$B$68:$B$70</c:f>
              <c:numCache>
                <c:formatCode>0.0</c:formatCode>
                <c:ptCount val="3"/>
                <c:pt idx="0">
                  <c:v>45.346938775510203</c:v>
                </c:pt>
                <c:pt idx="1">
                  <c:v>44.22</c:v>
                </c:pt>
                <c:pt idx="2">
                  <c:v>46.86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8-41F8-A2C0-1B4F0D696590}"/>
            </c:ext>
          </c:extLst>
        </c:ser>
        <c:ser>
          <c:idx val="1"/>
          <c:order val="1"/>
          <c:tx>
            <c:strRef>
              <c:f>Planeadores!$C$67</c:f>
              <c:strCache>
                <c:ptCount val="1"/>
                <c:pt idx="0">
                  <c:v>Com obstáculos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Planeadores!$A$68:$A$70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Planeadores!$C$68:$C$70</c:f>
              <c:numCache>
                <c:formatCode>0.0</c:formatCode>
                <c:ptCount val="3"/>
                <c:pt idx="0">
                  <c:v>39.188235294117703</c:v>
                </c:pt>
                <c:pt idx="1">
                  <c:v>39</c:v>
                </c:pt>
                <c:pt idx="2">
                  <c:v>40.164556962025301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8-41F8-A2C0-1B4F0D696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4167500"/>
        <c:axId val="36317738"/>
      </c:barChart>
      <c:catAx>
        <c:axId val="84167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Planeador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36317738"/>
        <c:crosses val="autoZero"/>
        <c:auto val="1"/>
        <c:lblAlgn val="ctr"/>
        <c:lblOffset val="100"/>
        <c:noMultiLvlLbl val="0"/>
      </c:catAx>
      <c:valAx>
        <c:axId val="36317738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Pontos da trajetória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41675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35920088344539"/>
          <c:y val="9.5383109814004122E-2"/>
          <c:w val="0.17264079911655461"/>
          <c:h val="0.13298415676464459"/>
        </c:manualLayout>
      </c:layout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 médio de planeamento por planeador — ciclo completo, sem obstáculos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11-42F8-8ABF-5E7528882603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11-42F8-8ABF-5E7528882603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11-42F8-8ABF-5E752888260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Planeadores!$A$5:$A$7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Planeadores!$D$5:$D$7</c:f>
              <c:numCache>
                <c:formatCode>0.000</c:formatCode>
                <c:ptCount val="3"/>
                <c:pt idx="0">
                  <c:v>4.0238387755101996</c:v>
                </c:pt>
                <c:pt idx="1">
                  <c:v>3.7800600000000002</c:v>
                </c:pt>
                <c:pt idx="2">
                  <c:v>4.0564460000000002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11-42F8-8ABF-5E7528882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1216049"/>
        <c:axId val="43319693"/>
      </c:barChart>
      <c:catAx>
        <c:axId val="212160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Planeador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3319693"/>
        <c:crosses val="autoZero"/>
        <c:auto val="1"/>
        <c:lblAlgn val="ctr"/>
        <c:lblOffset val="100"/>
        <c:noMultiLvlLbl val="0"/>
      </c:catAx>
      <c:valAx>
        <c:axId val="43319693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de planeamento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2121604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Tempo médio de planeamento por planeador — movimento com obstáculos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EB-4D8D-9B62-B6C45E2E1D08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EB-4D8D-9B62-B6C45E2E1D08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EB-4D8D-9B62-B6C45E2E1D0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Planeadores!$A$12:$A$14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Planeadores!$D$12:$D$14</c:f>
              <c:numCache>
                <c:formatCode>0.000</c:formatCode>
                <c:ptCount val="3"/>
                <c:pt idx="0">
                  <c:v>9.1132341176470594E-2</c:v>
                </c:pt>
                <c:pt idx="1">
                  <c:v>8.8657865853658493E-2</c:v>
                </c:pt>
                <c:pt idx="2">
                  <c:v>9.1157316455696205E-2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B-4D8D-9B62-B6C45E2E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3774064"/>
        <c:axId val="74215082"/>
      </c:barChart>
      <c:catAx>
        <c:axId val="537740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Planeador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4215082"/>
        <c:crosses val="autoZero"/>
        <c:auto val="1"/>
        <c:lblAlgn val="ctr"/>
        <c:lblOffset val="100"/>
        <c:noMultiLvlLbl val="0"/>
      </c:catAx>
      <c:valAx>
        <c:axId val="74215082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Tempo de planeamento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5377406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4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pt-PT" sz="1400" b="1" i="0" strike="noStrike" baseline="0"/>
              <a:t>Distância do ponto de controlo ao obstáculo na pose final</a:t>
            </a:r>
            <a:endParaRPr lang="pt-PT" sz="1400" b="1" strike="noStrike" spc="-1">
              <a:solidFill>
                <a:srgbClr val="000000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1956813519762037"/>
          <c:y val="2.5696545476670919E-2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9647058823529"/>
          <c:y val="4.6315789473684199E-2"/>
          <c:w val="0.872764705882353"/>
          <c:h val="0.6294736842105259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Obstáculos!$C$3</c:f>
              <c:strCache>
                <c:ptCount val="1"/>
                <c:pt idx="0">
                  <c:v>Distância mínima (mm)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24-443A-9DD6-10EC47FD5C17}"/>
              </c:ext>
            </c:extLst>
          </c:dPt>
          <c:dPt>
            <c:idx val="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24-443A-9DD6-10EC47FD5C17}"/>
              </c:ext>
            </c:extLst>
          </c:dPt>
          <c:dPt>
            <c:idx val="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24-443A-9DD6-10EC47FD5C17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724-443A-9DD6-10EC47FD5C17}"/>
              </c:ext>
            </c:extLst>
          </c:dPt>
          <c:dPt>
            <c:idx val="4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724-443A-9DD6-10EC47FD5C17}"/>
              </c:ext>
            </c:extLst>
          </c:dPt>
          <c:dPt>
            <c:idx val="5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724-443A-9DD6-10EC47FD5C17}"/>
              </c:ext>
            </c:extLst>
          </c:dPt>
          <c:dPt>
            <c:idx val="6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724-443A-9DD6-10EC47FD5C17}"/>
              </c:ext>
            </c:extLst>
          </c:dPt>
          <c:dPt>
            <c:idx val="7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724-443A-9DD6-10EC47FD5C17}"/>
              </c:ext>
            </c:extLst>
          </c:dPt>
          <c:dPt>
            <c:idx val="8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724-443A-9DD6-10EC47FD5C17}"/>
              </c:ext>
            </c:extLst>
          </c:dPt>
          <c:dPt>
            <c:idx val="9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724-443A-9DD6-10EC47FD5C17}"/>
              </c:ext>
            </c:extLst>
          </c:dPt>
          <c:dPt>
            <c:idx val="10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724-443A-9DD6-10EC47FD5C17}"/>
              </c:ext>
            </c:extLst>
          </c:dPt>
          <c:dPt>
            <c:idx val="11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724-443A-9DD6-10EC47FD5C17}"/>
              </c:ext>
            </c:extLst>
          </c:dPt>
          <c:dPt>
            <c:idx val="12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724-443A-9DD6-10EC47FD5C17}"/>
              </c:ext>
            </c:extLst>
          </c:dPt>
          <c:dPt>
            <c:idx val="13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724-443A-9DD6-10EC47FD5C17}"/>
              </c:ext>
            </c:extLst>
          </c:dPt>
          <c:dPt>
            <c:idx val="14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C724-443A-9DD6-10EC47FD5C17}"/>
              </c:ext>
            </c:extLst>
          </c:dPt>
          <c:dPt>
            <c:idx val="15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C724-443A-9DD6-10EC47FD5C17}"/>
              </c:ext>
            </c:extLst>
          </c:dPt>
          <c:dPt>
            <c:idx val="16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C724-443A-9DD6-10EC47FD5C17}"/>
              </c:ext>
            </c:extLst>
          </c:dPt>
          <c:dPt>
            <c:idx val="17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C724-443A-9DD6-10EC47FD5C17}"/>
              </c:ext>
            </c:extLst>
          </c:dPt>
          <c:dPt>
            <c:idx val="18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C724-443A-9DD6-10EC47FD5C17}"/>
              </c:ext>
            </c:extLst>
          </c:dPt>
          <c:dPt>
            <c:idx val="19"/>
            <c:invertIfNegative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C724-443A-9DD6-10EC47FD5C1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Obstáculos!$A$4:$A$23</c:f>
              <c:strCache>
                <c:ptCount val="20"/>
                <c:pt idx="0">
                  <c:v>O02</c:v>
                </c:pt>
                <c:pt idx="1">
                  <c:v>O06</c:v>
                </c:pt>
                <c:pt idx="2">
                  <c:v>O10</c:v>
                </c:pt>
                <c:pt idx="3">
                  <c:v>O12</c:v>
                </c:pt>
                <c:pt idx="4">
                  <c:v>O16</c:v>
                </c:pt>
                <c:pt idx="5">
                  <c:v>O03</c:v>
                </c:pt>
                <c:pt idx="6">
                  <c:v>O03</c:v>
                </c:pt>
                <c:pt idx="7">
                  <c:v>O07</c:v>
                </c:pt>
                <c:pt idx="8">
                  <c:v>O07</c:v>
                </c:pt>
                <c:pt idx="9">
                  <c:v>O13</c:v>
                </c:pt>
                <c:pt idx="10">
                  <c:v>O13</c:v>
                </c:pt>
                <c:pt idx="11">
                  <c:v>O17</c:v>
                </c:pt>
                <c:pt idx="12">
                  <c:v>O17</c:v>
                </c:pt>
                <c:pt idx="13">
                  <c:v>O19</c:v>
                </c:pt>
                <c:pt idx="14">
                  <c:v>O19</c:v>
                </c:pt>
                <c:pt idx="15">
                  <c:v>O19</c:v>
                </c:pt>
                <c:pt idx="16">
                  <c:v>O20 (CORREDOR ESTREITO)</c:v>
                </c:pt>
                <c:pt idx="17">
                  <c:v>O20 (CORREDOR ESTREITO)</c:v>
                </c:pt>
                <c:pt idx="18">
                  <c:v>O20 (CORREDOR ESTREITO)</c:v>
                </c:pt>
                <c:pt idx="19">
                  <c:v>O21</c:v>
                </c:pt>
              </c:strCache>
            </c:strRef>
          </c:cat>
          <c:val>
            <c:numRef>
              <c:f>Obstáculos!$C$4:$C$23</c:f>
              <c:numCache>
                <c:formatCode>0.000</c:formatCode>
                <c:ptCount val="20"/>
                <c:pt idx="0">
                  <c:v>549.42470000000003</c:v>
                </c:pt>
                <c:pt idx="1">
                  <c:v>570.35720000000003</c:v>
                </c:pt>
                <c:pt idx="2">
                  <c:v>2017.57</c:v>
                </c:pt>
                <c:pt idx="3">
                  <c:v>334.91160000000002</c:v>
                </c:pt>
                <c:pt idx="4">
                  <c:v>335.12220000000002</c:v>
                </c:pt>
                <c:pt idx="5">
                  <c:v>110.07729999999999</c:v>
                </c:pt>
                <c:pt idx="6">
                  <c:v>42.056199999999997</c:v>
                </c:pt>
                <c:pt idx="7">
                  <c:v>253.92619999999999</c:v>
                </c:pt>
                <c:pt idx="8">
                  <c:v>76.151399999999995</c:v>
                </c:pt>
                <c:pt idx="9">
                  <c:v>226.33920000000001</c:v>
                </c:pt>
                <c:pt idx="10">
                  <c:v>145.37639999999999</c:v>
                </c:pt>
                <c:pt idx="11">
                  <c:v>250.27789999999999</c:v>
                </c:pt>
                <c:pt idx="12">
                  <c:v>202.28819999999999</c:v>
                </c:pt>
                <c:pt idx="13">
                  <c:v>341.16910000000001</c:v>
                </c:pt>
                <c:pt idx="14">
                  <c:v>216.982</c:v>
                </c:pt>
                <c:pt idx="15">
                  <c:v>300.11219999999997</c:v>
                </c:pt>
                <c:pt idx="16">
                  <c:v>147.44970000000001</c:v>
                </c:pt>
                <c:pt idx="17">
                  <c:v>98.072500000000005</c:v>
                </c:pt>
                <c:pt idx="18">
                  <c:v>177.09270000000001</c:v>
                </c:pt>
                <c:pt idx="19">
                  <c:v>180.71279999999999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724-443A-9DD6-10EC47FD5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614373"/>
        <c:axId val="43056527"/>
      </c:barChart>
      <c:catAx>
        <c:axId val="1061437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Identificador do ensaio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pt-PT"/>
          </a:p>
        </c:txPr>
        <c:crossAx val="43056527"/>
        <c:crosses val="autoZero"/>
        <c:auto val="1"/>
        <c:lblAlgn val="ctr"/>
        <c:lblOffset val="100"/>
        <c:noMultiLvlLbl val="0"/>
      </c:catAx>
      <c:valAx>
        <c:axId val="4305652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Distânciado</a:t>
                </a:r>
                <a:r>
                  <a:rPr lang="pt-PT" sz="1000" b="1" strike="noStrike" spc="-1" baseline="0">
                    <a:solidFill>
                      <a:srgbClr val="000000"/>
                    </a:solidFill>
                    <a:latin typeface="Calibri"/>
                  </a:rPr>
                  <a:t> ponto de controlo </a:t>
                </a: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ao obstáculo (mm)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pt-PT"/>
          </a:p>
        </c:txPr>
        <c:crossAx val="1061437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lang="pt-P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Distância média e mediana por tipo de ensaio</a:t>
            </a:r>
          </a:p>
        </c:rich>
      </c:tx>
      <c:layout>
        <c:manualLayout>
          <c:xMode val="edge"/>
          <c:yMode val="edge"/>
          <c:x val="0.17278624282675009"/>
          <c:y val="2.2100767900171819E-2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44484950780179"/>
          <c:y val="0.12619857510954671"/>
          <c:w val="0.81652568836720985"/>
          <c:h val="0.67076613675096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Obstáculos!$C$27</c:f>
              <c:strCache>
                <c:ptCount val="1"/>
                <c:pt idx="0">
                  <c:v>Média (mm)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Obstáculos!$A$28:$A$29</c:f>
              <c:strCache>
                <c:ptCount val="2"/>
                <c:pt idx="0">
                  <c:v>Contorno</c:v>
                </c:pt>
                <c:pt idx="1">
                  <c:v>Bloqueio</c:v>
                </c:pt>
              </c:strCache>
            </c:strRef>
          </c:cat>
          <c:val>
            <c:numRef>
              <c:f>Obstáculos!$C$28:$C$29</c:f>
              <c:numCache>
                <c:formatCode>0.000</c:formatCode>
                <c:ptCount val="2"/>
                <c:pt idx="0">
                  <c:v>184.53891999999999</c:v>
                </c:pt>
                <c:pt idx="1">
                  <c:v>761.47713999999996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B-4CE6-88B0-85C10EB11FF4}"/>
            </c:ext>
          </c:extLst>
        </c:ser>
        <c:ser>
          <c:idx val="1"/>
          <c:order val="1"/>
          <c:tx>
            <c:strRef>
              <c:f>Obstáculos!$D$27</c:f>
              <c:strCache>
                <c:ptCount val="1"/>
                <c:pt idx="0">
                  <c:v>Mediana (mm)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Obstáculos!$A$28:$A$29</c:f>
              <c:strCache>
                <c:ptCount val="2"/>
                <c:pt idx="0">
                  <c:v>Contorno</c:v>
                </c:pt>
                <c:pt idx="1">
                  <c:v>Bloqueio</c:v>
                </c:pt>
              </c:strCache>
            </c:strRef>
          </c:cat>
          <c:val>
            <c:numRef>
              <c:f>Obstáculos!$D$28:$D$29</c:f>
              <c:numCache>
                <c:formatCode>0.000</c:formatCode>
                <c:ptCount val="2"/>
                <c:pt idx="0">
                  <c:v>180.71279999999999</c:v>
                </c:pt>
                <c:pt idx="1">
                  <c:v>549.42470000000003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B-4CE6-88B0-85C10EB11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2029469"/>
        <c:axId val="15459357"/>
      </c:barChart>
      <c:catAx>
        <c:axId val="420294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Tipo de ensaio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5459357"/>
        <c:crosses val="autoZero"/>
        <c:auto val="1"/>
        <c:lblAlgn val="ctr"/>
        <c:lblOffset val="100"/>
        <c:noMultiLvlLbl val="0"/>
      </c:catAx>
      <c:valAx>
        <c:axId val="15459357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Distância (mm)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4202946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664468845378902"/>
          <c:y val="0.13314407496394839"/>
          <c:w val="0.16452747430527359"/>
          <c:h val="0.1361083305033364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400" b="1" strike="noStrike" spc="-1">
                <a:solidFill>
                  <a:srgbClr val="000000"/>
                </a:solidFill>
                <a:latin typeface="Calibri"/>
              </a:rPr>
              <a:t>Ensaios de segurança e robustez</a:t>
            </a:r>
          </a:p>
        </c:rich>
      </c:tx>
      <c:layout>
        <c:manualLayout>
          <c:xMode val="edge"/>
          <c:yMode val="edge"/>
          <c:x val="0.36158896462691958"/>
          <c:y val="1.969349478897723E-2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4463830524783869"/>
          <c:y val="7.136850146977565E-2"/>
          <c:w val="0.79833339808088266"/>
          <c:h val="0.608662604947977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Segurança!$B$3</c:f>
              <c:strCache>
                <c:ptCount val="1"/>
                <c:pt idx="0">
                  <c:v>Conformes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Segurança!$A$4:$A$12</c:f>
              <c:strCache>
                <c:ptCount val="9"/>
                <c:pt idx="0">
                  <c:v>Envolvente radial</c:v>
                </c:pt>
                <c:pt idx="1">
                  <c:v>Limites em Z</c:v>
                </c:pt>
                <c:pt idx="2">
                  <c:v>Quaternion inválido</c:v>
                </c:pt>
                <c:pt idx="3">
                  <c:v>Fronteira radial</c:v>
                </c:pt>
                <c:pt idx="4">
                  <c:v>Colisão com a célula</c:v>
                </c:pt>
                <c:pt idx="5">
                  <c:v>Controlo positivo</c:v>
                </c:pt>
                <c:pt idx="6">
                  <c:v>Alcance experimental</c:v>
                </c:pt>
                <c:pt idx="7">
                  <c:v>NaN / infinito</c:v>
                </c:pt>
                <c:pt idx="8">
                  <c:v>Robustez operacional</c:v>
                </c:pt>
              </c:strCache>
            </c:strRef>
          </c:cat>
          <c:val>
            <c:numRef>
              <c:f>Segurança!$B$4:$B$12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15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8-4560-98B6-0FAEDB26F12B}"/>
            </c:ext>
          </c:extLst>
        </c:ser>
        <c:ser>
          <c:idx val="1"/>
          <c:order val="1"/>
          <c:tx>
            <c:strRef>
              <c:f>Segurança!$C$3</c:f>
              <c:strCache>
                <c:ptCount val="1"/>
                <c:pt idx="0">
                  <c:v>Hipótese não confirmada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Segurança!$A$4:$A$12</c:f>
              <c:strCache>
                <c:ptCount val="9"/>
                <c:pt idx="0">
                  <c:v>Envolvente radial</c:v>
                </c:pt>
                <c:pt idx="1">
                  <c:v>Limites em Z</c:v>
                </c:pt>
                <c:pt idx="2">
                  <c:v>Quaternion inválido</c:v>
                </c:pt>
                <c:pt idx="3">
                  <c:v>Fronteira radial</c:v>
                </c:pt>
                <c:pt idx="4">
                  <c:v>Colisão com a célula</c:v>
                </c:pt>
                <c:pt idx="5">
                  <c:v>Controlo positivo</c:v>
                </c:pt>
                <c:pt idx="6">
                  <c:v>Alcance experimental</c:v>
                </c:pt>
                <c:pt idx="7">
                  <c:v>NaN / infinito</c:v>
                </c:pt>
                <c:pt idx="8">
                  <c:v>Robustez operacional</c:v>
                </c:pt>
              </c:strCache>
            </c:strRef>
          </c:cat>
          <c:val>
            <c:numRef>
              <c:f>Segurança!$C$4:$C$12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8-4560-98B6-0FAEDB26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0774649"/>
        <c:axId val="60153165"/>
      </c:barChart>
      <c:catAx>
        <c:axId val="70774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Categoria de ensaio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0153165"/>
        <c:crosses val="autoZero"/>
        <c:auto val="1"/>
        <c:lblAlgn val="ctr"/>
        <c:lblOffset val="100"/>
        <c:noMultiLvlLbl val="0"/>
      </c:catAx>
      <c:valAx>
        <c:axId val="60153165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P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Número de ensaios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7077464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202263375100483"/>
          <c:y val="0.1204872305002096"/>
          <c:w val="0.2413452188768343"/>
          <c:h val="0.17230002831988869"/>
        </c:manualLayout>
      </c:layout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44280</xdr:colOff>
      <xdr:row>12</xdr:row>
      <xdr:rowOff>66240</xdr:rowOff>
    </xdr:from>
    <xdr:to>
      <xdr:col>5</xdr:col>
      <xdr:colOff>462960</xdr:colOff>
      <xdr:row>31</xdr:row>
      <xdr:rowOff>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44280</xdr:colOff>
      <xdr:row>34</xdr:row>
      <xdr:rowOff>176760</xdr:rowOff>
    </xdr:from>
    <xdr:to>
      <xdr:col>5</xdr:col>
      <xdr:colOff>462960</xdr:colOff>
      <xdr:row>53</xdr:row>
      <xdr:rowOff>158040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49320</xdr:colOff>
      <xdr:row>12</xdr:row>
      <xdr:rowOff>19800</xdr:rowOff>
    </xdr:from>
    <xdr:to>
      <xdr:col>21</xdr:col>
      <xdr:colOff>54000</xdr:colOff>
      <xdr:row>31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35</xdr:row>
      <xdr:rowOff>-720</xdr:rowOff>
    </xdr:from>
    <xdr:to>
      <xdr:col>21</xdr:col>
      <xdr:colOff>4680</xdr:colOff>
      <xdr:row>53</xdr:row>
      <xdr:rowOff>161280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66</xdr:row>
      <xdr:rowOff>-360</xdr:rowOff>
    </xdr:from>
    <xdr:to>
      <xdr:col>5</xdr:col>
      <xdr:colOff>418680</xdr:colOff>
      <xdr:row>84</xdr:row>
      <xdr:rowOff>161640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797231</xdr:colOff>
      <xdr:row>65</xdr:row>
      <xdr:rowOff>82406</xdr:rowOff>
    </xdr:from>
    <xdr:to>
      <xdr:col>20</xdr:col>
      <xdr:colOff>577218</xdr:colOff>
      <xdr:row>84</xdr:row>
      <xdr:rowOff>63325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66240</xdr:rowOff>
    </xdr:from>
    <xdr:to>
      <xdr:col>8</xdr:col>
      <xdr:colOff>92927</xdr:colOff>
      <xdr:row>32</xdr:row>
      <xdr:rowOff>74341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358</xdr:rowOff>
    </xdr:from>
    <xdr:to>
      <xdr:col>7</xdr:col>
      <xdr:colOff>430695</xdr:colOff>
      <xdr:row>55</xdr:row>
      <xdr:rowOff>99390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103680</xdr:colOff>
      <xdr:row>30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83880</xdr:rowOff>
    </xdr:from>
    <xdr:to>
      <xdr:col>7</xdr:col>
      <xdr:colOff>103680</xdr:colOff>
      <xdr:row>56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70</xdr:row>
      <xdr:rowOff>37476</xdr:rowOff>
    </xdr:from>
    <xdr:to>
      <xdr:col>7</xdr:col>
      <xdr:colOff>103680</xdr:colOff>
      <xdr:row>89</xdr:row>
      <xdr:rowOff>12099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186068</xdr:rowOff>
    </xdr:from>
    <xdr:to>
      <xdr:col>7</xdr:col>
      <xdr:colOff>318977</xdr:colOff>
      <xdr:row>28</xdr:row>
      <xdr:rowOff>97464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317160</xdr:colOff>
      <xdr:row>30</xdr:row>
      <xdr:rowOff>73560</xdr:rowOff>
    </xdr:from>
    <xdr:to>
      <xdr:col>15</xdr:col>
      <xdr:colOff>254000</xdr:colOff>
      <xdr:row>51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5</xdr:col>
      <xdr:colOff>551160</xdr:colOff>
      <xdr:row>35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5</xdr:col>
      <xdr:colOff>551160</xdr:colOff>
      <xdr:row>55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21</xdr:col>
      <xdr:colOff>4680</xdr:colOff>
      <xdr:row>35</xdr:row>
      <xdr:rowOff>162000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37</xdr:row>
      <xdr:rowOff>0</xdr:rowOff>
    </xdr:from>
    <xdr:to>
      <xdr:col>21</xdr:col>
      <xdr:colOff>4680</xdr:colOff>
      <xdr:row>55</xdr:row>
      <xdr:rowOff>162000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63</xdr:row>
      <xdr:rowOff>0</xdr:rowOff>
    </xdr:from>
    <xdr:to>
      <xdr:col>6</xdr:col>
      <xdr:colOff>406400</xdr:colOff>
      <xdr:row>84</xdr:row>
      <xdr:rowOff>142240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528320</xdr:colOff>
      <xdr:row>89</xdr:row>
      <xdr:rowOff>81280</xdr:rowOff>
    </xdr:from>
    <xdr:to>
      <xdr:col>6</xdr:col>
      <xdr:colOff>256520</xdr:colOff>
      <xdr:row>108</xdr:row>
      <xdr:rowOff>60400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62</xdr:row>
      <xdr:rowOff>0</xdr:rowOff>
    </xdr:from>
    <xdr:to>
      <xdr:col>21</xdr:col>
      <xdr:colOff>4680</xdr:colOff>
      <xdr:row>80</xdr:row>
      <xdr:rowOff>162000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82</xdr:row>
      <xdr:rowOff>0</xdr:rowOff>
    </xdr:from>
    <xdr:to>
      <xdr:col>21</xdr:col>
      <xdr:colOff>4680</xdr:colOff>
      <xdr:row>100</xdr:row>
      <xdr:rowOff>162000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64440</xdr:colOff>
      <xdr:row>2</xdr:row>
      <xdr:rowOff>0</xdr:rowOff>
    </xdr:from>
    <xdr:to>
      <xdr:col>17</xdr:col>
      <xdr:colOff>69120</xdr:colOff>
      <xdr:row>20</xdr:row>
      <xdr:rowOff>5033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171720</xdr:rowOff>
    </xdr:from>
    <xdr:to>
      <xdr:col>7</xdr:col>
      <xdr:colOff>410400</xdr:colOff>
      <xdr:row>49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5400</xdr:rowOff>
    </xdr:from>
    <xdr:to>
      <xdr:col>7</xdr:col>
      <xdr:colOff>172528</xdr:colOff>
      <xdr:row>35</xdr:row>
      <xdr:rowOff>100641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"/>
  <sheetViews>
    <sheetView zoomScale="76" zoomScaleNormal="76" workbookViewId="0">
      <selection activeCell="J6" sqref="J6"/>
    </sheetView>
  </sheetViews>
  <sheetFormatPr defaultColWidth="8.6640625" defaultRowHeight="14.4" x14ac:dyDescent="0.3"/>
  <cols>
    <col min="1" max="1" width="12" customWidth="1"/>
    <col min="2" max="2" width="13" customWidth="1"/>
    <col min="3" max="4" width="12" customWidth="1"/>
    <col min="5" max="5" width="10" customWidth="1"/>
    <col min="6" max="6" width="13" customWidth="1"/>
    <col min="7" max="7" width="8" customWidth="1"/>
    <col min="9" max="9" width="42" customWidth="1"/>
    <col min="10" max="10" width="14" customWidth="1"/>
    <col min="11" max="11" width="52" customWidth="1"/>
    <col min="12" max="12" width="10" customWidth="1"/>
  </cols>
  <sheetData>
    <row r="1" spans="1:13" ht="15" customHeight="1" x14ac:dyDescent="0.3">
      <c r="A1" s="45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x14ac:dyDescent="0.3">
      <c r="A2" s="2" t="s">
        <v>15</v>
      </c>
    </row>
    <row r="4" spans="1:13" x14ac:dyDescent="0.3">
      <c r="A4" s="3" t="s">
        <v>16</v>
      </c>
      <c r="I4" s="3" t="s">
        <v>17</v>
      </c>
    </row>
    <row r="5" spans="1:13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I5" s="5" t="s">
        <v>25</v>
      </c>
      <c r="J5" s="6">
        <f>COUNT(D6:D143)</f>
        <v>138</v>
      </c>
    </row>
    <row r="6" spans="1:13" x14ac:dyDescent="0.3">
      <c r="A6" t="s">
        <v>26</v>
      </c>
      <c r="B6" s="7">
        <v>53.251824999999997</v>
      </c>
      <c r="C6" s="7">
        <v>51.603999999999999</v>
      </c>
      <c r="D6" s="7">
        <f t="shared" ref="D6:D37" si="0">C6-B6</f>
        <v>-1.6478249999999974</v>
      </c>
      <c r="E6" s="7">
        <f t="shared" ref="E6:E37" si="1">ABS(D6)</f>
        <v>1.6478249999999974</v>
      </c>
      <c r="F6" s="7">
        <f t="shared" ref="F6:F37" si="2">_xlfn.RANK.AVG(E6,$E$6:$E$143,1)</f>
        <v>29</v>
      </c>
      <c r="G6">
        <f t="shared" ref="G6:G37" si="3">IF(D6&lt;0,-1,1)</f>
        <v>-1</v>
      </c>
      <c r="I6" s="5" t="s">
        <v>27</v>
      </c>
      <c r="J6" s="6">
        <f>COUNTIF(D6:D143,"&lt;0")</f>
        <v>109</v>
      </c>
    </row>
    <row r="7" spans="1:13" x14ac:dyDescent="0.3">
      <c r="A7" t="s">
        <v>26</v>
      </c>
      <c r="B7" s="7">
        <v>54.482239</v>
      </c>
      <c r="C7" s="7">
        <v>48.698</v>
      </c>
      <c r="D7" s="7">
        <f t="shared" si="0"/>
        <v>-5.7842389999999995</v>
      </c>
      <c r="E7" s="7">
        <f t="shared" si="1"/>
        <v>5.7842389999999995</v>
      </c>
      <c r="F7" s="7">
        <f t="shared" si="2"/>
        <v>114</v>
      </c>
      <c r="G7">
        <f t="shared" si="3"/>
        <v>-1</v>
      </c>
      <c r="I7" s="5" t="s">
        <v>28</v>
      </c>
      <c r="J7" s="6">
        <f>COUNTIF(D6:D143,"&gt;0")</f>
        <v>29</v>
      </c>
    </row>
    <row r="8" spans="1:13" x14ac:dyDescent="0.3">
      <c r="A8" t="s">
        <v>26</v>
      </c>
      <c r="B8" s="7">
        <v>50.470509999999997</v>
      </c>
      <c r="C8" s="7">
        <v>53.615000000000002</v>
      </c>
      <c r="D8" s="7">
        <f t="shared" si="0"/>
        <v>3.1444900000000047</v>
      </c>
      <c r="E8" s="7">
        <f t="shared" si="1"/>
        <v>3.1444900000000047</v>
      </c>
      <c r="F8" s="7">
        <f t="shared" si="2"/>
        <v>65</v>
      </c>
      <c r="G8">
        <f t="shared" si="3"/>
        <v>1</v>
      </c>
      <c r="I8" s="5" t="s">
        <v>29</v>
      </c>
      <c r="J8" s="6">
        <f>SUMIF(G6:G143,-1,F6:F143)</f>
        <v>7875</v>
      </c>
    </row>
    <row r="9" spans="1:13" x14ac:dyDescent="0.3">
      <c r="A9" t="s">
        <v>26</v>
      </c>
      <c r="B9" s="7">
        <v>49.497041000000003</v>
      </c>
      <c r="C9" s="7">
        <v>43.335000000000001</v>
      </c>
      <c r="D9" s="7">
        <f t="shared" si="0"/>
        <v>-6.1620410000000021</v>
      </c>
      <c r="E9" s="7">
        <f t="shared" si="1"/>
        <v>6.1620410000000021</v>
      </c>
      <c r="F9" s="7">
        <f t="shared" si="2"/>
        <v>117</v>
      </c>
      <c r="G9">
        <f t="shared" si="3"/>
        <v>-1</v>
      </c>
      <c r="I9" s="5" t="s">
        <v>30</v>
      </c>
      <c r="J9" s="6">
        <f>SUMIF(G6:G143,1,F6:F143)</f>
        <v>1716</v>
      </c>
    </row>
    <row r="10" spans="1:13" x14ac:dyDescent="0.3">
      <c r="A10" t="s">
        <v>26</v>
      </c>
      <c r="B10" s="7">
        <v>49.449316000000003</v>
      </c>
      <c r="C10" s="7">
        <v>47.987000000000002</v>
      </c>
      <c r="D10" s="7">
        <f t="shared" si="0"/>
        <v>-1.4623160000000013</v>
      </c>
      <c r="E10" s="7">
        <f t="shared" si="1"/>
        <v>1.4623160000000013</v>
      </c>
      <c r="F10" s="7">
        <f t="shared" si="2"/>
        <v>26</v>
      </c>
      <c r="G10">
        <f t="shared" si="3"/>
        <v>-1</v>
      </c>
      <c r="I10" s="5" t="s">
        <v>31</v>
      </c>
      <c r="J10" s="6">
        <f>MIN(J8,J9)</f>
        <v>1716</v>
      </c>
    </row>
    <row r="11" spans="1:13" x14ac:dyDescent="0.3">
      <c r="A11" t="s">
        <v>26</v>
      </c>
      <c r="B11" s="7">
        <v>45.471912000000003</v>
      </c>
      <c r="C11" s="7">
        <v>50.185000000000002</v>
      </c>
      <c r="D11" s="7">
        <f t="shared" si="0"/>
        <v>4.7130879999999991</v>
      </c>
      <c r="E11" s="7">
        <f t="shared" si="1"/>
        <v>4.7130879999999991</v>
      </c>
      <c r="F11" s="7">
        <f t="shared" si="2"/>
        <v>108</v>
      </c>
      <c r="G11">
        <f t="shared" si="3"/>
        <v>1</v>
      </c>
      <c r="I11" s="5" t="s">
        <v>32</v>
      </c>
      <c r="J11" s="6">
        <f>J5*(J5+1)/4</f>
        <v>4795.5</v>
      </c>
    </row>
    <row r="12" spans="1:13" x14ac:dyDescent="0.3">
      <c r="A12" t="s">
        <v>26</v>
      </c>
      <c r="B12" s="7">
        <v>52.219330999999997</v>
      </c>
      <c r="C12" s="7">
        <v>43.218000000000004</v>
      </c>
      <c r="D12" s="7">
        <f t="shared" si="0"/>
        <v>-9.0013309999999933</v>
      </c>
      <c r="E12" s="7">
        <f t="shared" si="1"/>
        <v>9.0013309999999933</v>
      </c>
      <c r="F12" s="7">
        <f t="shared" si="2"/>
        <v>135</v>
      </c>
      <c r="G12">
        <f t="shared" si="3"/>
        <v>-1</v>
      </c>
      <c r="I12" s="5" t="s">
        <v>33</v>
      </c>
      <c r="J12" s="6">
        <f>SQRT(J5*(J5+1)*(2*J5+1)/24)</f>
        <v>470.52337880279657</v>
      </c>
    </row>
    <row r="13" spans="1:13" x14ac:dyDescent="0.3">
      <c r="A13" t="s">
        <v>26</v>
      </c>
      <c r="B13" s="7">
        <v>49.492879000000002</v>
      </c>
      <c r="C13" s="7">
        <v>48.231999999999999</v>
      </c>
      <c r="D13" s="7">
        <f t="shared" si="0"/>
        <v>-1.2608790000000027</v>
      </c>
      <c r="E13" s="7">
        <f t="shared" si="1"/>
        <v>1.2608790000000027</v>
      </c>
      <c r="F13" s="7">
        <f t="shared" si="2"/>
        <v>21</v>
      </c>
      <c r="G13">
        <f t="shared" si="3"/>
        <v>-1</v>
      </c>
      <c r="I13" s="5" t="s">
        <v>34</v>
      </c>
      <c r="J13" s="8">
        <f>(J10-J11)/J12</f>
        <v>-6.5448395100696253</v>
      </c>
    </row>
    <row r="14" spans="1:13" x14ac:dyDescent="0.3">
      <c r="A14" t="s">
        <v>26</v>
      </c>
      <c r="B14" s="7">
        <v>48.123761000000002</v>
      </c>
      <c r="C14" s="7">
        <v>48.168999999999997</v>
      </c>
      <c r="D14" s="7">
        <f t="shared" si="0"/>
        <v>4.5238999999995144E-2</v>
      </c>
      <c r="E14" s="7">
        <f t="shared" si="1"/>
        <v>4.5238999999995144E-2</v>
      </c>
      <c r="F14" s="7">
        <f t="shared" si="2"/>
        <v>1</v>
      </c>
      <c r="G14">
        <f t="shared" si="3"/>
        <v>1</v>
      </c>
      <c r="I14" s="5" t="s">
        <v>35</v>
      </c>
      <c r="J14" s="8">
        <f>2*_xlfn.NORM.S.DIST(-ABS(J13),TRUE())</f>
        <v>5.9559311201730981E-11</v>
      </c>
    </row>
    <row r="15" spans="1:13" x14ac:dyDescent="0.3">
      <c r="A15" t="s">
        <v>26</v>
      </c>
      <c r="B15" s="7">
        <v>48.266390999999999</v>
      </c>
      <c r="C15" s="7">
        <v>47.695999999999998</v>
      </c>
      <c r="D15" s="7">
        <f t="shared" si="0"/>
        <v>-0.57039100000000076</v>
      </c>
      <c r="E15" s="7">
        <f t="shared" si="1"/>
        <v>0.57039100000000076</v>
      </c>
      <c r="F15" s="7">
        <f t="shared" si="2"/>
        <v>11</v>
      </c>
      <c r="G15">
        <f t="shared" si="3"/>
        <v>-1</v>
      </c>
    </row>
    <row r="16" spans="1:13" x14ac:dyDescent="0.3">
      <c r="A16" t="s">
        <v>26</v>
      </c>
      <c r="B16" s="7">
        <v>45.297632999999998</v>
      </c>
      <c r="C16" s="7">
        <v>43.54</v>
      </c>
      <c r="D16" s="7">
        <f t="shared" si="0"/>
        <v>-1.7576329999999984</v>
      </c>
      <c r="E16" s="7">
        <f t="shared" si="1"/>
        <v>1.7576329999999984</v>
      </c>
      <c r="F16" s="7">
        <f t="shared" si="2"/>
        <v>30</v>
      </c>
      <c r="G16">
        <f t="shared" si="3"/>
        <v>-1</v>
      </c>
    </row>
    <row r="17" spans="1:12" x14ac:dyDescent="0.3">
      <c r="A17" t="s">
        <v>26</v>
      </c>
      <c r="B17" s="7">
        <v>54.362178999999998</v>
      </c>
      <c r="C17" s="7">
        <v>46.066000000000003</v>
      </c>
      <c r="D17" s="7">
        <f t="shared" si="0"/>
        <v>-8.2961789999999951</v>
      </c>
      <c r="E17" s="7">
        <f t="shared" si="1"/>
        <v>8.2961789999999951</v>
      </c>
      <c r="F17" s="7">
        <f t="shared" si="2"/>
        <v>129</v>
      </c>
      <c r="G17">
        <f t="shared" si="3"/>
        <v>-1</v>
      </c>
      <c r="I17" s="3" t="s">
        <v>36</v>
      </c>
    </row>
    <row r="18" spans="1:12" x14ac:dyDescent="0.3">
      <c r="A18" t="s">
        <v>26</v>
      </c>
      <c r="B18" s="7">
        <v>48.153807</v>
      </c>
      <c r="C18" s="7">
        <v>51.564999999999998</v>
      </c>
      <c r="D18" s="7">
        <f t="shared" si="0"/>
        <v>3.4111929999999973</v>
      </c>
      <c r="E18" s="7">
        <f t="shared" si="1"/>
        <v>3.4111929999999973</v>
      </c>
      <c r="F18" s="7">
        <f t="shared" si="2"/>
        <v>73</v>
      </c>
      <c r="G18">
        <f t="shared" si="3"/>
        <v>1</v>
      </c>
      <c r="I18" s="5" t="s">
        <v>37</v>
      </c>
      <c r="J18" s="9">
        <f>_xlfn.T.TEST(B6:B143,C6:C143,2,1)</f>
        <v>7.7483042110675013E-12</v>
      </c>
    </row>
    <row r="19" spans="1:12" x14ac:dyDescent="0.3">
      <c r="A19" t="s">
        <v>26</v>
      </c>
      <c r="B19" s="7">
        <v>51.603392999999997</v>
      </c>
      <c r="C19" s="7">
        <v>52.33</v>
      </c>
      <c r="D19" s="7">
        <f t="shared" si="0"/>
        <v>0.72660700000000134</v>
      </c>
      <c r="E19" s="7">
        <f t="shared" si="1"/>
        <v>0.72660700000000134</v>
      </c>
      <c r="F19" s="7">
        <f t="shared" si="2"/>
        <v>14</v>
      </c>
      <c r="G19">
        <f t="shared" si="3"/>
        <v>1</v>
      </c>
      <c r="I19" s="5" t="s">
        <v>38</v>
      </c>
      <c r="J19" s="7">
        <f>AVERAGE(D6:D143)</f>
        <v>-2.3932968333333324</v>
      </c>
    </row>
    <row r="20" spans="1:12" x14ac:dyDescent="0.3">
      <c r="A20" t="s">
        <v>26</v>
      </c>
      <c r="B20" s="7">
        <v>45.411985999999999</v>
      </c>
      <c r="C20" s="7">
        <v>48.978000000000002</v>
      </c>
      <c r="D20" s="7">
        <f t="shared" si="0"/>
        <v>3.5660140000000027</v>
      </c>
      <c r="E20" s="7">
        <f t="shared" si="1"/>
        <v>3.5660140000000027</v>
      </c>
      <c r="F20" s="7">
        <f t="shared" si="2"/>
        <v>77</v>
      </c>
      <c r="G20">
        <f t="shared" si="3"/>
        <v>1</v>
      </c>
      <c r="I20" s="5" t="s">
        <v>39</v>
      </c>
      <c r="J20" s="10">
        <f>-J19/AVERAGE(B6:B143)*100</f>
        <v>4.8443214067454772</v>
      </c>
    </row>
    <row r="21" spans="1:12" x14ac:dyDescent="0.3">
      <c r="A21" t="s">
        <v>26</v>
      </c>
      <c r="B21" s="7">
        <v>54.482655000000001</v>
      </c>
      <c r="C21" s="7">
        <v>43.448999999999998</v>
      </c>
      <c r="D21" s="7">
        <f t="shared" si="0"/>
        <v>-11.033655000000003</v>
      </c>
      <c r="E21" s="7">
        <f t="shared" si="1"/>
        <v>11.033655000000003</v>
      </c>
      <c r="F21" s="7">
        <f t="shared" si="2"/>
        <v>136</v>
      </c>
      <c r="G21">
        <f t="shared" si="3"/>
        <v>-1</v>
      </c>
      <c r="I21" s="5" t="s">
        <v>40</v>
      </c>
      <c r="J21" s="7">
        <f>2*J10/(138*(138+1)/2)-1</f>
        <v>-0.64216452924616829</v>
      </c>
    </row>
    <row r="22" spans="1:12" x14ac:dyDescent="0.3">
      <c r="A22" t="s">
        <v>26</v>
      </c>
      <c r="B22" s="7">
        <v>50.355967</v>
      </c>
      <c r="C22" s="7">
        <v>46.244999999999997</v>
      </c>
      <c r="D22" s="7">
        <f t="shared" si="0"/>
        <v>-4.1109670000000023</v>
      </c>
      <c r="E22" s="7">
        <f t="shared" si="1"/>
        <v>4.1109670000000023</v>
      </c>
      <c r="F22" s="7">
        <f t="shared" si="2"/>
        <v>99</v>
      </c>
      <c r="G22">
        <f t="shared" si="3"/>
        <v>-1</v>
      </c>
    </row>
    <row r="23" spans="1:12" x14ac:dyDescent="0.3">
      <c r="A23" t="s">
        <v>26</v>
      </c>
      <c r="B23" s="7">
        <v>54.446193999999998</v>
      </c>
      <c r="C23" s="7">
        <v>48.186999999999998</v>
      </c>
      <c r="D23" s="7">
        <f t="shared" si="0"/>
        <v>-6.2591940000000008</v>
      </c>
      <c r="E23" s="7">
        <f t="shared" si="1"/>
        <v>6.2591940000000008</v>
      </c>
      <c r="F23" s="7">
        <f t="shared" si="2"/>
        <v>119</v>
      </c>
      <c r="G23">
        <f t="shared" si="3"/>
        <v>-1</v>
      </c>
      <c r="I23" s="3" t="s">
        <v>41</v>
      </c>
    </row>
    <row r="24" spans="1:12" x14ac:dyDescent="0.3">
      <c r="A24" t="s">
        <v>42</v>
      </c>
      <c r="B24" s="7">
        <v>50.219495000000002</v>
      </c>
      <c r="C24" s="7">
        <v>44.757182999999998</v>
      </c>
      <c r="D24" s="7">
        <f t="shared" si="0"/>
        <v>-5.4623120000000043</v>
      </c>
      <c r="E24" s="7">
        <f t="shared" si="1"/>
        <v>5.4623120000000043</v>
      </c>
      <c r="F24" s="7">
        <f t="shared" si="2"/>
        <v>112</v>
      </c>
      <c r="G24">
        <f t="shared" si="3"/>
        <v>-1</v>
      </c>
      <c r="I24" s="5" t="s">
        <v>43</v>
      </c>
      <c r="J24" s="7">
        <f>SKEW(D6:D143)</f>
        <v>2.6800292994820292E-2</v>
      </c>
    </row>
    <row r="25" spans="1:12" x14ac:dyDescent="0.3">
      <c r="A25" t="s">
        <v>42</v>
      </c>
      <c r="B25" s="7">
        <v>50.164876999999997</v>
      </c>
      <c r="C25" s="7">
        <v>42.811829000000003</v>
      </c>
      <c r="D25" s="7">
        <f t="shared" si="0"/>
        <v>-7.353047999999994</v>
      </c>
      <c r="E25" s="7">
        <f t="shared" si="1"/>
        <v>7.353047999999994</v>
      </c>
      <c r="F25" s="7">
        <f t="shared" si="2"/>
        <v>127</v>
      </c>
      <c r="G25">
        <f t="shared" si="3"/>
        <v>-1</v>
      </c>
      <c r="I25" s="5" t="s">
        <v>44</v>
      </c>
      <c r="J25" s="7">
        <f>KURT(D6:D143)</f>
        <v>1.4382283650896897</v>
      </c>
    </row>
    <row r="26" spans="1:12" x14ac:dyDescent="0.3">
      <c r="A26" t="s">
        <v>42</v>
      </c>
      <c r="B26" s="7">
        <v>46.285961999999998</v>
      </c>
      <c r="C26" s="7">
        <v>42.650283999999999</v>
      </c>
      <c r="D26" s="7">
        <f t="shared" si="0"/>
        <v>-3.6356779999999986</v>
      </c>
      <c r="E26" s="7">
        <f t="shared" si="1"/>
        <v>3.6356779999999986</v>
      </c>
      <c r="F26" s="7">
        <f t="shared" si="2"/>
        <v>80</v>
      </c>
      <c r="G26">
        <f t="shared" si="3"/>
        <v>-1</v>
      </c>
      <c r="I26" s="5" t="s">
        <v>45</v>
      </c>
      <c r="J26" s="11">
        <v>2.5600000000000002E-3</v>
      </c>
    </row>
    <row r="27" spans="1:12" x14ac:dyDescent="0.3">
      <c r="A27" t="s">
        <v>42</v>
      </c>
      <c r="B27" s="7">
        <v>46.446044000000001</v>
      </c>
      <c r="C27" s="7">
        <v>42.737907</v>
      </c>
      <c r="D27" s="7">
        <f t="shared" si="0"/>
        <v>-3.7081370000000007</v>
      </c>
      <c r="E27" s="7">
        <f t="shared" si="1"/>
        <v>3.7081370000000007</v>
      </c>
      <c r="F27" s="7">
        <f t="shared" si="2"/>
        <v>81</v>
      </c>
      <c r="G27">
        <f t="shared" si="3"/>
        <v>-1</v>
      </c>
      <c r="I27" s="2" t="s">
        <v>46</v>
      </c>
    </row>
    <row r="28" spans="1:12" x14ac:dyDescent="0.3">
      <c r="A28" t="s">
        <v>42</v>
      </c>
      <c r="B28" s="7">
        <v>46.752468999999998</v>
      </c>
      <c r="C28" s="7">
        <v>42.798577000000002</v>
      </c>
      <c r="D28" s="7">
        <f t="shared" si="0"/>
        <v>-3.9538919999999962</v>
      </c>
      <c r="E28" s="7">
        <f t="shared" si="1"/>
        <v>3.9538919999999962</v>
      </c>
      <c r="F28" s="7">
        <f t="shared" si="2"/>
        <v>95</v>
      </c>
      <c r="G28">
        <f t="shared" si="3"/>
        <v>-1</v>
      </c>
    </row>
    <row r="29" spans="1:12" x14ac:dyDescent="0.3">
      <c r="A29" t="s">
        <v>42</v>
      </c>
      <c r="B29" s="7">
        <v>50.397911000000001</v>
      </c>
      <c r="C29" s="7">
        <v>47.57038</v>
      </c>
      <c r="D29" s="7">
        <f t="shared" si="0"/>
        <v>-2.8275310000000005</v>
      </c>
      <c r="E29" s="7">
        <f t="shared" si="1"/>
        <v>2.8275310000000005</v>
      </c>
      <c r="F29" s="7">
        <f t="shared" si="2"/>
        <v>60</v>
      </c>
      <c r="G29">
        <f t="shared" si="3"/>
        <v>-1</v>
      </c>
      <c r="I29" s="12" t="s">
        <v>47</v>
      </c>
    </row>
    <row r="30" spans="1:12" ht="87.75" customHeight="1" x14ac:dyDescent="0.3">
      <c r="A30" t="s">
        <v>42</v>
      </c>
      <c r="B30" s="7">
        <v>47.556130000000003</v>
      </c>
      <c r="C30" s="7">
        <v>45.355725</v>
      </c>
      <c r="D30" s="7">
        <f t="shared" si="0"/>
        <v>-2.2004050000000035</v>
      </c>
      <c r="E30" s="7">
        <f t="shared" si="1"/>
        <v>2.2004050000000035</v>
      </c>
      <c r="F30" s="7">
        <f t="shared" si="2"/>
        <v>45</v>
      </c>
      <c r="G30">
        <f t="shared" si="3"/>
        <v>-1</v>
      </c>
      <c r="I30" s="13" t="s">
        <v>48</v>
      </c>
      <c r="J30" s="14" t="s">
        <v>49</v>
      </c>
      <c r="K30" s="14" t="s">
        <v>50</v>
      </c>
      <c r="L30" s="14" t="s">
        <v>4</v>
      </c>
    </row>
    <row r="31" spans="1:12" x14ac:dyDescent="0.3">
      <c r="A31" t="s">
        <v>42</v>
      </c>
      <c r="B31" s="7">
        <v>44.995548999999997</v>
      </c>
      <c r="C31" s="7">
        <v>42.802084999999998</v>
      </c>
      <c r="D31" s="7">
        <f t="shared" si="0"/>
        <v>-2.1934639999999987</v>
      </c>
      <c r="E31" s="7">
        <f t="shared" si="1"/>
        <v>2.1934639999999987</v>
      </c>
      <c r="F31" s="7">
        <f t="shared" si="2"/>
        <v>44</v>
      </c>
      <c r="G31">
        <f t="shared" si="3"/>
        <v>-1</v>
      </c>
      <c r="I31" t="s">
        <v>51</v>
      </c>
      <c r="J31">
        <v>143</v>
      </c>
      <c r="K31">
        <v>4</v>
      </c>
      <c r="L31">
        <f>J31+K31</f>
        <v>147</v>
      </c>
    </row>
    <row r="32" spans="1:12" x14ac:dyDescent="0.3">
      <c r="A32" t="s">
        <v>42</v>
      </c>
      <c r="B32" s="7">
        <v>45.070174999999999</v>
      </c>
      <c r="C32" s="7">
        <v>42.667493</v>
      </c>
      <c r="D32" s="7">
        <f t="shared" si="0"/>
        <v>-2.4026819999999987</v>
      </c>
      <c r="E32" s="7">
        <f t="shared" si="1"/>
        <v>2.4026819999999987</v>
      </c>
      <c r="F32" s="7">
        <f t="shared" si="2"/>
        <v>54</v>
      </c>
      <c r="G32">
        <f t="shared" si="3"/>
        <v>-1</v>
      </c>
      <c r="I32" t="s">
        <v>52</v>
      </c>
      <c r="J32">
        <v>142</v>
      </c>
      <c r="K32">
        <v>5</v>
      </c>
      <c r="L32">
        <f>J32+K32</f>
        <v>147</v>
      </c>
    </row>
    <row r="33" spans="1:12" x14ac:dyDescent="0.3">
      <c r="A33" t="s">
        <v>42</v>
      </c>
      <c r="B33" s="7">
        <v>45.011853000000002</v>
      </c>
      <c r="C33" s="7">
        <v>42.7286</v>
      </c>
      <c r="D33" s="7">
        <f t="shared" si="0"/>
        <v>-2.283253000000002</v>
      </c>
      <c r="E33" s="7">
        <f t="shared" si="1"/>
        <v>2.283253000000002</v>
      </c>
      <c r="F33" s="7">
        <f t="shared" si="2"/>
        <v>50</v>
      </c>
      <c r="G33">
        <f t="shared" si="3"/>
        <v>-1</v>
      </c>
      <c r="I33" t="s">
        <v>4</v>
      </c>
      <c r="J33">
        <f>J31+J32</f>
        <v>285</v>
      </c>
      <c r="K33">
        <f>K31+K32</f>
        <v>9</v>
      </c>
      <c r="L33">
        <f>L31+L32</f>
        <v>294</v>
      </c>
    </row>
    <row r="34" spans="1:12" x14ac:dyDescent="0.3">
      <c r="A34" t="s">
        <v>42</v>
      </c>
      <c r="B34" s="7">
        <v>44.945807000000002</v>
      </c>
      <c r="C34" s="7">
        <v>44.121077999999997</v>
      </c>
      <c r="D34" s="7">
        <f t="shared" si="0"/>
        <v>-0.82472900000000493</v>
      </c>
      <c r="E34" s="7">
        <f t="shared" si="1"/>
        <v>0.82472900000000493</v>
      </c>
      <c r="F34" s="7">
        <f t="shared" si="2"/>
        <v>15</v>
      </c>
      <c r="G34">
        <f t="shared" si="3"/>
        <v>-1</v>
      </c>
    </row>
    <row r="35" spans="1:12" x14ac:dyDescent="0.3">
      <c r="A35" t="s">
        <v>42</v>
      </c>
      <c r="B35" s="7">
        <v>46.232728999999999</v>
      </c>
      <c r="C35" s="7">
        <v>42.780907999999997</v>
      </c>
      <c r="D35" s="7">
        <f t="shared" si="0"/>
        <v>-3.4518210000000025</v>
      </c>
      <c r="E35" s="7">
        <f t="shared" si="1"/>
        <v>3.4518210000000025</v>
      </c>
      <c r="F35" s="7">
        <f t="shared" si="2"/>
        <v>75</v>
      </c>
      <c r="G35">
        <f t="shared" si="3"/>
        <v>-1</v>
      </c>
      <c r="I35" s="15" t="s">
        <v>53</v>
      </c>
    </row>
    <row r="36" spans="1:12" x14ac:dyDescent="0.3">
      <c r="A36" t="s">
        <v>42</v>
      </c>
      <c r="B36" s="7">
        <v>46.792262000000001</v>
      </c>
      <c r="C36" s="7">
        <v>42.655652000000003</v>
      </c>
      <c r="D36" s="7">
        <f t="shared" si="0"/>
        <v>-4.1366099999999975</v>
      </c>
      <c r="E36" s="7">
        <f t="shared" si="1"/>
        <v>4.1366099999999975</v>
      </c>
      <c r="F36" s="7">
        <f t="shared" si="2"/>
        <v>100</v>
      </c>
      <c r="G36">
        <f t="shared" si="3"/>
        <v>-1</v>
      </c>
      <c r="I36" s="16" t="s">
        <v>54</v>
      </c>
      <c r="J36" s="16" t="s">
        <v>55</v>
      </c>
    </row>
    <row r="37" spans="1:12" x14ac:dyDescent="0.3">
      <c r="A37" t="s">
        <v>42</v>
      </c>
      <c r="B37" s="7">
        <v>44.793365000000001</v>
      </c>
      <c r="C37" s="7">
        <v>42.863996</v>
      </c>
      <c r="D37" s="7">
        <f t="shared" si="0"/>
        <v>-1.9293690000000012</v>
      </c>
      <c r="E37" s="7">
        <f t="shared" si="1"/>
        <v>1.9293690000000012</v>
      </c>
      <c r="F37" s="7">
        <f t="shared" si="2"/>
        <v>31</v>
      </c>
      <c r="G37">
        <f t="shared" si="3"/>
        <v>-1</v>
      </c>
      <c r="I37">
        <v>0</v>
      </c>
      <c r="J37" s="11">
        <f t="shared" ref="J37:J47" si="4">COMBIN($L$31,$L$31-I37)*COMBIN($L$32,$J$33-($L$31-I37))/COMBIN($L$33,$J$33)</f>
        <v>1.7217098568311892E-3</v>
      </c>
    </row>
    <row r="38" spans="1:12" x14ac:dyDescent="0.3">
      <c r="A38" t="s">
        <v>42</v>
      </c>
      <c r="B38" s="7">
        <v>44.940330000000003</v>
      </c>
      <c r="C38" s="7">
        <v>42.679881999999999</v>
      </c>
      <c r="D38" s="7">
        <f t="shared" ref="D38:D69" si="5">C38-B38</f>
        <v>-2.2604480000000038</v>
      </c>
      <c r="E38" s="7">
        <f t="shared" ref="E38:E69" si="6">ABS(D38)</f>
        <v>2.2604480000000038</v>
      </c>
      <c r="F38" s="7">
        <f t="shared" ref="F38:F69" si="7">_xlfn.RANK.AVG(E38,$E$6:$E$143,1)</f>
        <v>49</v>
      </c>
      <c r="G38">
        <f t="shared" ref="G38:G69" si="8">IF(D38&lt;0,-1,1)</f>
        <v>-1</v>
      </c>
      <c r="I38">
        <v>1</v>
      </c>
      <c r="J38" s="11">
        <f t="shared" si="4"/>
        <v>1.6387209644515569E-2</v>
      </c>
    </row>
    <row r="39" spans="1:12" x14ac:dyDescent="0.3">
      <c r="A39" t="s">
        <v>42</v>
      </c>
      <c r="B39" s="7">
        <v>44.956657999999997</v>
      </c>
      <c r="C39" s="7">
        <v>48.329301999999998</v>
      </c>
      <c r="D39" s="7">
        <f t="shared" si="5"/>
        <v>3.3726440000000011</v>
      </c>
      <c r="E39" s="7">
        <f t="shared" si="6"/>
        <v>3.3726440000000011</v>
      </c>
      <c r="F39" s="7">
        <f t="shared" si="7"/>
        <v>72</v>
      </c>
      <c r="G39">
        <f t="shared" si="8"/>
        <v>1</v>
      </c>
      <c r="I39">
        <v>2</v>
      </c>
      <c r="J39" s="11">
        <f t="shared" si="4"/>
        <v>6.83580745171221E-2</v>
      </c>
    </row>
    <row r="40" spans="1:12" x14ac:dyDescent="0.3">
      <c r="A40" t="s">
        <v>42</v>
      </c>
      <c r="B40" s="7">
        <v>45.054291999999997</v>
      </c>
      <c r="C40" s="7">
        <v>42.943939999999998</v>
      </c>
      <c r="D40" s="7">
        <f t="shared" si="5"/>
        <v>-2.1103519999999989</v>
      </c>
      <c r="E40" s="7">
        <f t="shared" si="6"/>
        <v>2.1103519999999989</v>
      </c>
      <c r="F40" s="7">
        <f t="shared" si="7"/>
        <v>39</v>
      </c>
      <c r="G40">
        <f t="shared" si="8"/>
        <v>-1</v>
      </c>
      <c r="I40">
        <v>3</v>
      </c>
      <c r="J40" s="11">
        <f t="shared" si="4"/>
        <v>0.16402705823848437</v>
      </c>
    </row>
    <row r="41" spans="1:12" x14ac:dyDescent="0.3">
      <c r="A41" t="s">
        <v>42</v>
      </c>
      <c r="B41" s="7">
        <v>44.984538999999998</v>
      </c>
      <c r="C41" s="7">
        <v>47.410075999999997</v>
      </c>
      <c r="D41" s="7">
        <f t="shared" si="5"/>
        <v>2.4255369999999985</v>
      </c>
      <c r="E41" s="7">
        <f t="shared" si="6"/>
        <v>2.4255369999999985</v>
      </c>
      <c r="F41" s="7">
        <f t="shared" si="7"/>
        <v>56</v>
      </c>
      <c r="G41">
        <f t="shared" si="8"/>
        <v>1</v>
      </c>
      <c r="I41">
        <v>4</v>
      </c>
      <c r="J41" s="11">
        <f t="shared" si="4"/>
        <v>0.24950594774304674</v>
      </c>
    </row>
    <row r="42" spans="1:12" x14ac:dyDescent="0.3">
      <c r="A42" t="s">
        <v>42</v>
      </c>
      <c r="B42" s="7">
        <v>44.973078000000001</v>
      </c>
      <c r="C42" s="7">
        <v>42.841493</v>
      </c>
      <c r="D42" s="7">
        <f t="shared" si="5"/>
        <v>-2.1315850000000012</v>
      </c>
      <c r="E42" s="7">
        <f t="shared" si="6"/>
        <v>2.1315850000000012</v>
      </c>
      <c r="F42" s="7">
        <f t="shared" si="7"/>
        <v>41</v>
      </c>
      <c r="G42">
        <f t="shared" si="8"/>
        <v>-1</v>
      </c>
      <c r="I42">
        <v>5</v>
      </c>
      <c r="J42" s="11">
        <f t="shared" si="4"/>
        <v>0.24950594774304674</v>
      </c>
    </row>
    <row r="43" spans="1:12" x14ac:dyDescent="0.3">
      <c r="A43" t="s">
        <v>42</v>
      </c>
      <c r="B43" s="7">
        <v>44.889150999999998</v>
      </c>
      <c r="C43" s="7">
        <v>42.783284999999999</v>
      </c>
      <c r="D43" s="7">
        <f t="shared" si="5"/>
        <v>-2.1058659999999989</v>
      </c>
      <c r="E43" s="7">
        <f t="shared" si="6"/>
        <v>2.1058659999999989</v>
      </c>
      <c r="F43" s="7">
        <f t="shared" si="7"/>
        <v>38</v>
      </c>
      <c r="G43">
        <f t="shared" si="8"/>
        <v>-1</v>
      </c>
      <c r="I43">
        <v>6</v>
      </c>
      <c r="J43" s="11">
        <f t="shared" si="4"/>
        <v>0.16402705823848437</v>
      </c>
    </row>
    <row r="44" spans="1:12" x14ac:dyDescent="0.3">
      <c r="A44" t="s">
        <v>56</v>
      </c>
      <c r="B44" s="7">
        <v>48.394806000000003</v>
      </c>
      <c r="C44" s="7">
        <v>44.014952000000001</v>
      </c>
      <c r="D44" s="7">
        <f t="shared" si="5"/>
        <v>-4.3798540000000017</v>
      </c>
      <c r="E44" s="7">
        <f t="shared" si="6"/>
        <v>4.3798540000000017</v>
      </c>
      <c r="F44" s="7">
        <f t="shared" si="7"/>
        <v>102</v>
      </c>
      <c r="G44">
        <f t="shared" si="8"/>
        <v>-1</v>
      </c>
      <c r="I44">
        <v>7</v>
      </c>
      <c r="J44" s="11">
        <f t="shared" si="4"/>
        <v>6.83580745171221E-2</v>
      </c>
    </row>
    <row r="45" spans="1:12" x14ac:dyDescent="0.3">
      <c r="A45" t="s">
        <v>56</v>
      </c>
      <c r="B45" s="7">
        <v>52.309505000000001</v>
      </c>
      <c r="C45" s="7">
        <v>55.879503999999997</v>
      </c>
      <c r="D45" s="7">
        <f t="shared" si="5"/>
        <v>3.5699989999999957</v>
      </c>
      <c r="E45" s="7">
        <f t="shared" si="6"/>
        <v>3.5699989999999957</v>
      </c>
      <c r="F45" s="7">
        <f t="shared" si="7"/>
        <v>78</v>
      </c>
      <c r="G45">
        <f t="shared" si="8"/>
        <v>1</v>
      </c>
      <c r="I45">
        <v>8</v>
      </c>
      <c r="J45" s="11">
        <f t="shared" si="4"/>
        <v>1.6387209644515569E-2</v>
      </c>
    </row>
    <row r="46" spans="1:12" x14ac:dyDescent="0.3">
      <c r="A46" t="s">
        <v>56</v>
      </c>
      <c r="B46" s="7">
        <v>45.473461999999998</v>
      </c>
      <c r="C46" s="7">
        <v>44.031582</v>
      </c>
      <c r="D46" s="7">
        <f t="shared" si="5"/>
        <v>-1.4418799999999976</v>
      </c>
      <c r="E46" s="7">
        <f t="shared" si="6"/>
        <v>1.4418799999999976</v>
      </c>
      <c r="F46" s="7">
        <f t="shared" si="7"/>
        <v>25</v>
      </c>
      <c r="G46">
        <f t="shared" si="8"/>
        <v>-1</v>
      </c>
      <c r="I46">
        <v>9</v>
      </c>
      <c r="J46" s="11">
        <f t="shared" si="4"/>
        <v>1.7217098568311892E-3</v>
      </c>
    </row>
    <row r="47" spans="1:12" x14ac:dyDescent="0.3">
      <c r="A47" t="s">
        <v>56</v>
      </c>
      <c r="B47" s="7">
        <v>45.252817</v>
      </c>
      <c r="C47" s="7">
        <v>46.095655000000001</v>
      </c>
      <c r="D47" s="7">
        <f t="shared" si="5"/>
        <v>0.84283800000000042</v>
      </c>
      <c r="E47" s="7">
        <f t="shared" si="6"/>
        <v>0.84283800000000042</v>
      </c>
      <c r="F47" s="7">
        <f t="shared" si="7"/>
        <v>16</v>
      </c>
      <c r="G47">
        <f t="shared" si="8"/>
        <v>1</v>
      </c>
      <c r="I47">
        <v>10</v>
      </c>
      <c r="J47" s="11" t="e">
        <f t="shared" si="4"/>
        <v>#NUM!</v>
      </c>
    </row>
    <row r="48" spans="1:12" x14ac:dyDescent="0.3">
      <c r="A48" t="s">
        <v>56</v>
      </c>
      <c r="B48" s="7">
        <v>45.230344000000002</v>
      </c>
      <c r="C48" s="7">
        <v>43.975354000000003</v>
      </c>
      <c r="D48" s="7">
        <f t="shared" si="5"/>
        <v>-1.2549899999999994</v>
      </c>
      <c r="E48" s="7">
        <f t="shared" si="6"/>
        <v>1.2549899999999994</v>
      </c>
      <c r="F48" s="7">
        <f t="shared" si="7"/>
        <v>20</v>
      </c>
      <c r="G48">
        <f t="shared" si="8"/>
        <v>-1</v>
      </c>
      <c r="I48" s="5" t="s">
        <v>57</v>
      </c>
      <c r="J48" s="11">
        <f>J41</f>
        <v>0.24950594774304674</v>
      </c>
    </row>
    <row r="49" spans="1:11" x14ac:dyDescent="0.3">
      <c r="A49" t="s">
        <v>56</v>
      </c>
      <c r="B49" s="7">
        <v>48.137439000000001</v>
      </c>
      <c r="C49" s="7">
        <v>45.820202999999999</v>
      </c>
      <c r="D49" s="7">
        <f t="shared" si="5"/>
        <v>-2.3172360000000012</v>
      </c>
      <c r="E49" s="7">
        <f t="shared" si="6"/>
        <v>2.3172360000000012</v>
      </c>
      <c r="F49" s="7">
        <f t="shared" si="7"/>
        <v>53</v>
      </c>
      <c r="G49">
        <f t="shared" si="8"/>
        <v>-1</v>
      </c>
      <c r="I49" s="14" t="s">
        <v>58</v>
      </c>
      <c r="J49" s="7">
        <f>SUMIF(J37:J47,"&lt;="&amp;J48+0.0000001)</f>
        <v>0.99999999999999989</v>
      </c>
    </row>
    <row r="50" spans="1:11" x14ac:dyDescent="0.3">
      <c r="A50" t="s">
        <v>56</v>
      </c>
      <c r="B50" s="7">
        <v>47.412877999999999</v>
      </c>
      <c r="C50" s="7">
        <v>46.753799000000001</v>
      </c>
      <c r="D50" s="7">
        <f t="shared" si="5"/>
        <v>-0.65907899999999842</v>
      </c>
      <c r="E50" s="7">
        <f t="shared" si="6"/>
        <v>0.65907899999999842</v>
      </c>
      <c r="F50" s="7">
        <f t="shared" si="7"/>
        <v>12</v>
      </c>
      <c r="G50">
        <f t="shared" si="8"/>
        <v>-1</v>
      </c>
      <c r="I50" s="2" t="s">
        <v>59</v>
      </c>
    </row>
    <row r="51" spans="1:11" x14ac:dyDescent="0.3">
      <c r="A51" t="s">
        <v>56</v>
      </c>
      <c r="B51" s="7">
        <v>50.786847999999999</v>
      </c>
      <c r="C51" s="7">
        <v>44.065376999999998</v>
      </c>
      <c r="D51" s="7">
        <f t="shared" si="5"/>
        <v>-6.7214710000000011</v>
      </c>
      <c r="E51" s="7">
        <f t="shared" si="6"/>
        <v>6.7214710000000011</v>
      </c>
      <c r="F51" s="7">
        <f t="shared" si="7"/>
        <v>123</v>
      </c>
      <c r="G51">
        <f t="shared" si="8"/>
        <v>-1</v>
      </c>
    </row>
    <row r="52" spans="1:11" x14ac:dyDescent="0.3">
      <c r="A52" t="s">
        <v>56</v>
      </c>
      <c r="B52" s="7">
        <v>48.153635000000001</v>
      </c>
      <c r="C52" s="7">
        <v>51.572510000000001</v>
      </c>
      <c r="D52" s="7">
        <f t="shared" si="5"/>
        <v>3.4188749999999999</v>
      </c>
      <c r="E52" s="7">
        <f t="shared" si="6"/>
        <v>3.4188749999999999</v>
      </c>
      <c r="F52" s="7">
        <f t="shared" si="7"/>
        <v>74</v>
      </c>
      <c r="G52">
        <f t="shared" si="8"/>
        <v>1</v>
      </c>
      <c r="I52" s="3" t="s">
        <v>60</v>
      </c>
    </row>
    <row r="53" spans="1:11" x14ac:dyDescent="0.3">
      <c r="A53" t="s">
        <v>56</v>
      </c>
      <c r="B53" s="7">
        <v>49.313693999999998</v>
      </c>
      <c r="C53" s="7">
        <v>43.860506999999998</v>
      </c>
      <c r="D53" s="7">
        <f t="shared" si="5"/>
        <v>-5.4531869999999998</v>
      </c>
      <c r="E53" s="7">
        <f t="shared" si="6"/>
        <v>5.4531869999999998</v>
      </c>
      <c r="F53" s="7">
        <f t="shared" si="7"/>
        <v>111</v>
      </c>
      <c r="G53">
        <f t="shared" si="8"/>
        <v>-1</v>
      </c>
      <c r="I53" s="16" t="s">
        <v>61</v>
      </c>
      <c r="J53" s="16" t="s">
        <v>62</v>
      </c>
      <c r="K53" s="16" t="s">
        <v>63</v>
      </c>
    </row>
    <row r="54" spans="1:11" x14ac:dyDescent="0.3">
      <c r="A54" t="s">
        <v>56</v>
      </c>
      <c r="B54" s="7">
        <v>46.748846</v>
      </c>
      <c r="C54" s="7">
        <v>43.815240000000003</v>
      </c>
      <c r="D54" s="7">
        <f t="shared" si="5"/>
        <v>-2.9336059999999975</v>
      </c>
      <c r="E54" s="7">
        <f t="shared" si="6"/>
        <v>2.9336059999999975</v>
      </c>
      <c r="F54" s="7">
        <f t="shared" si="7"/>
        <v>61</v>
      </c>
      <c r="G54">
        <f t="shared" si="8"/>
        <v>-1</v>
      </c>
      <c r="I54" s="5" t="s">
        <v>64</v>
      </c>
      <c r="J54" s="14">
        <f>COUNT(D6:D143)</f>
        <v>138</v>
      </c>
      <c r="K54" s="17" t="s">
        <v>65</v>
      </c>
    </row>
    <row r="55" spans="1:11" x14ac:dyDescent="0.3">
      <c r="A55" t="s">
        <v>56</v>
      </c>
      <c r="B55" s="7">
        <v>45.295589999999997</v>
      </c>
      <c r="C55" s="7">
        <v>45.612313</v>
      </c>
      <c r="D55" s="7">
        <f t="shared" si="5"/>
        <v>0.3167230000000032</v>
      </c>
      <c r="E55" s="7">
        <f t="shared" si="6"/>
        <v>0.3167230000000032</v>
      </c>
      <c r="F55" s="7">
        <f t="shared" si="7"/>
        <v>5</v>
      </c>
      <c r="G55">
        <f t="shared" si="8"/>
        <v>1</v>
      </c>
      <c r="I55" s="5" t="s">
        <v>66</v>
      </c>
      <c r="J55" s="14">
        <v>147</v>
      </c>
      <c r="K55" s="17" t="s">
        <v>67</v>
      </c>
    </row>
    <row r="56" spans="1:11" x14ac:dyDescent="0.3">
      <c r="A56" t="s">
        <v>56</v>
      </c>
      <c r="B56" s="7">
        <v>51.428018000000002</v>
      </c>
      <c r="C56" s="7">
        <v>51.833680000000001</v>
      </c>
      <c r="D56" s="7">
        <f t="shared" si="5"/>
        <v>0.40566199999999952</v>
      </c>
      <c r="E56" s="7">
        <f t="shared" si="6"/>
        <v>0.40566199999999952</v>
      </c>
      <c r="F56" s="7">
        <f t="shared" si="7"/>
        <v>6</v>
      </c>
      <c r="G56">
        <f t="shared" si="8"/>
        <v>1</v>
      </c>
      <c r="I56" s="5" t="s">
        <v>68</v>
      </c>
      <c r="J56" s="14">
        <v>294</v>
      </c>
      <c r="K56" s="17" t="s">
        <v>69</v>
      </c>
    </row>
    <row r="57" spans="1:11" x14ac:dyDescent="0.3">
      <c r="A57" t="s">
        <v>56</v>
      </c>
      <c r="B57" s="7">
        <v>50.125838000000002</v>
      </c>
      <c r="C57" s="7">
        <v>43.715068000000002</v>
      </c>
      <c r="D57" s="7">
        <f t="shared" si="5"/>
        <v>-6.4107699999999994</v>
      </c>
      <c r="E57" s="7">
        <f t="shared" si="6"/>
        <v>6.4107699999999994</v>
      </c>
      <c r="F57" s="7">
        <f t="shared" si="7"/>
        <v>120</v>
      </c>
      <c r="G57">
        <f t="shared" si="8"/>
        <v>-1</v>
      </c>
      <c r="I57" s="5" t="s">
        <v>70</v>
      </c>
      <c r="J57" s="14">
        <v>900</v>
      </c>
      <c r="K57" s="17" t="s">
        <v>71</v>
      </c>
    </row>
    <row r="58" spans="1:11" x14ac:dyDescent="0.3">
      <c r="A58" t="s">
        <v>56</v>
      </c>
      <c r="B58" s="7">
        <v>48.129764999999999</v>
      </c>
      <c r="C58" s="7">
        <v>48.536520000000003</v>
      </c>
      <c r="D58" s="7">
        <f t="shared" si="5"/>
        <v>0.40675500000000397</v>
      </c>
      <c r="E58" s="7">
        <f t="shared" si="6"/>
        <v>0.40675500000000397</v>
      </c>
      <c r="F58" s="7">
        <f t="shared" si="7"/>
        <v>7</v>
      </c>
      <c r="G58">
        <f t="shared" si="8"/>
        <v>1</v>
      </c>
      <c r="I58" s="5" t="s">
        <v>72</v>
      </c>
      <c r="J58" s="14">
        <v>100</v>
      </c>
      <c r="K58" s="17" t="s">
        <v>73</v>
      </c>
    </row>
    <row r="59" spans="1:11" x14ac:dyDescent="0.3">
      <c r="A59" t="s">
        <v>56</v>
      </c>
      <c r="B59" s="7">
        <v>45.376610999999997</v>
      </c>
      <c r="C59" s="7">
        <v>43.944080999999997</v>
      </c>
      <c r="D59" s="7">
        <f t="shared" si="5"/>
        <v>-1.4325299999999999</v>
      </c>
      <c r="E59" s="7">
        <f t="shared" si="6"/>
        <v>1.4325299999999999</v>
      </c>
      <c r="F59" s="7">
        <f t="shared" si="7"/>
        <v>24</v>
      </c>
      <c r="G59">
        <f t="shared" si="8"/>
        <v>-1</v>
      </c>
      <c r="I59" s="5" t="s">
        <v>74</v>
      </c>
      <c r="J59" s="14">
        <v>50</v>
      </c>
      <c r="K59" s="17" t="s">
        <v>75</v>
      </c>
    </row>
    <row r="60" spans="1:11" x14ac:dyDescent="0.3">
      <c r="A60" t="s">
        <v>56</v>
      </c>
      <c r="B60" s="7">
        <v>50.544528</v>
      </c>
      <c r="C60" s="7">
        <v>55.303339999999999</v>
      </c>
      <c r="D60" s="7">
        <f t="shared" si="5"/>
        <v>4.7588119999999989</v>
      </c>
      <c r="E60" s="7">
        <f t="shared" si="6"/>
        <v>4.7588119999999989</v>
      </c>
      <c r="F60" s="7">
        <f t="shared" si="7"/>
        <v>109</v>
      </c>
      <c r="G60">
        <f t="shared" si="8"/>
        <v>1</v>
      </c>
      <c r="I60" s="5" t="s">
        <v>76</v>
      </c>
      <c r="J60" s="14">
        <v>85</v>
      </c>
      <c r="K60" s="17" t="s">
        <v>77</v>
      </c>
    </row>
    <row r="61" spans="1:11" x14ac:dyDescent="0.3">
      <c r="A61" t="s">
        <v>78</v>
      </c>
      <c r="B61" s="7">
        <v>50.322401999999997</v>
      </c>
      <c r="C61" s="7">
        <v>49.821277000000002</v>
      </c>
      <c r="D61" s="7">
        <f t="shared" si="5"/>
        <v>-0.50112499999999471</v>
      </c>
      <c r="E61" s="7">
        <f t="shared" si="6"/>
        <v>0.50112499999999471</v>
      </c>
      <c r="F61" s="7">
        <f t="shared" si="7"/>
        <v>10</v>
      </c>
      <c r="G61">
        <f t="shared" si="8"/>
        <v>-1</v>
      </c>
      <c r="I61" s="5" t="s">
        <v>79</v>
      </c>
      <c r="J61" s="14">
        <v>17</v>
      </c>
      <c r="K61" s="17" t="s">
        <v>80</v>
      </c>
    </row>
    <row r="62" spans="1:11" x14ac:dyDescent="0.3">
      <c r="A62" t="s">
        <v>78</v>
      </c>
      <c r="B62" s="7">
        <v>51.231883000000003</v>
      </c>
      <c r="C62" s="7">
        <v>43.930377999999997</v>
      </c>
      <c r="D62" s="7">
        <f t="shared" si="5"/>
        <v>-7.3015050000000059</v>
      </c>
      <c r="E62" s="7">
        <f t="shared" si="6"/>
        <v>7.3015050000000059</v>
      </c>
      <c r="F62" s="7">
        <f t="shared" si="7"/>
        <v>126</v>
      </c>
      <c r="G62">
        <f t="shared" si="8"/>
        <v>-1</v>
      </c>
      <c r="I62" s="5" t="s">
        <v>81</v>
      </c>
      <c r="J62" s="14">
        <v>200</v>
      </c>
      <c r="K62" s="17" t="s">
        <v>82</v>
      </c>
    </row>
    <row r="63" spans="1:11" x14ac:dyDescent="0.3">
      <c r="A63" t="s">
        <v>78</v>
      </c>
      <c r="B63" s="7">
        <v>50.19097</v>
      </c>
      <c r="C63" s="7">
        <v>53.421255000000002</v>
      </c>
      <c r="D63" s="7">
        <f t="shared" si="5"/>
        <v>3.2302850000000021</v>
      </c>
      <c r="E63" s="7">
        <f t="shared" si="6"/>
        <v>3.2302850000000021</v>
      </c>
      <c r="F63" s="7">
        <f t="shared" si="7"/>
        <v>67</v>
      </c>
      <c r="G63">
        <f t="shared" si="8"/>
        <v>1</v>
      </c>
      <c r="I63" s="5" t="s">
        <v>83</v>
      </c>
      <c r="J63" s="14">
        <v>41</v>
      </c>
      <c r="K63" s="17" t="s">
        <v>84</v>
      </c>
    </row>
    <row r="64" spans="1:11" x14ac:dyDescent="0.3">
      <c r="A64" t="s">
        <v>78</v>
      </c>
      <c r="B64" s="7">
        <v>52.132323</v>
      </c>
      <c r="C64" s="7">
        <v>43.675382999999997</v>
      </c>
      <c r="D64" s="7">
        <f t="shared" si="5"/>
        <v>-8.456940000000003</v>
      </c>
      <c r="E64" s="7">
        <f t="shared" si="6"/>
        <v>8.456940000000003</v>
      </c>
      <c r="F64" s="7">
        <f t="shared" si="7"/>
        <v>131</v>
      </c>
      <c r="G64">
        <f t="shared" si="8"/>
        <v>-1</v>
      </c>
      <c r="I64" s="5" t="s">
        <v>85</v>
      </c>
      <c r="J64" s="14">
        <v>19</v>
      </c>
      <c r="K64" s="17" t="s">
        <v>86</v>
      </c>
    </row>
    <row r="65" spans="1:7" x14ac:dyDescent="0.3">
      <c r="A65" t="s">
        <v>78</v>
      </c>
      <c r="B65" s="7">
        <v>54.488681999999997</v>
      </c>
      <c r="C65" s="7">
        <v>49.526924000000001</v>
      </c>
      <c r="D65" s="7">
        <f t="shared" si="5"/>
        <v>-4.9617579999999961</v>
      </c>
      <c r="E65" s="7">
        <f t="shared" si="6"/>
        <v>4.9617579999999961</v>
      </c>
      <c r="F65" s="7">
        <f t="shared" si="7"/>
        <v>110</v>
      </c>
      <c r="G65">
        <f t="shared" si="8"/>
        <v>-1</v>
      </c>
    </row>
    <row r="66" spans="1:7" x14ac:dyDescent="0.3">
      <c r="A66" t="s">
        <v>78</v>
      </c>
      <c r="B66" s="7">
        <v>46.490771000000002</v>
      </c>
      <c r="C66" s="7">
        <v>46.799123000000002</v>
      </c>
      <c r="D66" s="7">
        <f t="shared" si="5"/>
        <v>0.30835199999999929</v>
      </c>
      <c r="E66" s="7">
        <f t="shared" si="6"/>
        <v>0.30835199999999929</v>
      </c>
      <c r="F66" s="7">
        <f t="shared" si="7"/>
        <v>4</v>
      </c>
      <c r="G66">
        <f t="shared" si="8"/>
        <v>1</v>
      </c>
    </row>
    <row r="67" spans="1:7" x14ac:dyDescent="0.3">
      <c r="A67" t="s">
        <v>78</v>
      </c>
      <c r="B67" s="7">
        <v>49.650390999999999</v>
      </c>
      <c r="C67" s="7">
        <v>48.941153</v>
      </c>
      <c r="D67" s="7">
        <f t="shared" si="5"/>
        <v>-0.70923799999999915</v>
      </c>
      <c r="E67" s="7">
        <f t="shared" si="6"/>
        <v>0.70923799999999915</v>
      </c>
      <c r="F67" s="7">
        <f t="shared" si="7"/>
        <v>13</v>
      </c>
      <c r="G67">
        <f t="shared" si="8"/>
        <v>-1</v>
      </c>
    </row>
    <row r="68" spans="1:7" x14ac:dyDescent="0.3">
      <c r="A68" t="s">
        <v>78</v>
      </c>
      <c r="B68" s="7">
        <v>46.493053000000003</v>
      </c>
      <c r="C68" s="7">
        <v>47.582444000000002</v>
      </c>
      <c r="D68" s="7">
        <f t="shared" si="5"/>
        <v>1.0893909999999991</v>
      </c>
      <c r="E68" s="7">
        <f t="shared" si="6"/>
        <v>1.0893909999999991</v>
      </c>
      <c r="F68" s="7">
        <f t="shared" si="7"/>
        <v>18</v>
      </c>
      <c r="G68">
        <f t="shared" si="8"/>
        <v>1</v>
      </c>
    </row>
    <row r="69" spans="1:7" x14ac:dyDescent="0.3">
      <c r="A69" t="s">
        <v>78</v>
      </c>
      <c r="B69" s="7">
        <v>50.227924000000002</v>
      </c>
      <c r="C69" s="7">
        <v>51.418998999999999</v>
      </c>
      <c r="D69" s="7">
        <f t="shared" si="5"/>
        <v>1.1910749999999979</v>
      </c>
      <c r="E69" s="7">
        <f t="shared" si="6"/>
        <v>1.1910749999999979</v>
      </c>
      <c r="F69" s="7">
        <f t="shared" si="7"/>
        <v>19</v>
      </c>
      <c r="G69">
        <f t="shared" si="8"/>
        <v>1</v>
      </c>
    </row>
    <row r="70" spans="1:7" x14ac:dyDescent="0.3">
      <c r="A70" t="s">
        <v>78</v>
      </c>
      <c r="B70" s="7">
        <v>51.300856000000003</v>
      </c>
      <c r="C70" s="7">
        <v>48.200318000000003</v>
      </c>
      <c r="D70" s="7">
        <f t="shared" ref="D70:D101" si="9">C70-B70</f>
        <v>-3.1005380000000002</v>
      </c>
      <c r="E70" s="7">
        <f t="shared" ref="E70:E101" si="10">ABS(D70)</f>
        <v>3.1005380000000002</v>
      </c>
      <c r="F70" s="7">
        <f t="shared" ref="F70:F101" si="11">_xlfn.RANK.AVG(E70,$E$6:$E$143,1)</f>
        <v>64</v>
      </c>
      <c r="G70">
        <f t="shared" ref="G70:G101" si="12">IF(D70&lt;0,-1,1)</f>
        <v>-1</v>
      </c>
    </row>
    <row r="71" spans="1:7" x14ac:dyDescent="0.3">
      <c r="A71" t="s">
        <v>78</v>
      </c>
      <c r="B71" s="7">
        <v>53.618949000000001</v>
      </c>
      <c r="C71" s="7">
        <v>52.310116000000001</v>
      </c>
      <c r="D71" s="7">
        <f t="shared" si="9"/>
        <v>-1.3088329999999999</v>
      </c>
      <c r="E71" s="7">
        <f t="shared" si="10"/>
        <v>1.3088329999999999</v>
      </c>
      <c r="F71" s="7">
        <f t="shared" si="11"/>
        <v>23</v>
      </c>
      <c r="G71">
        <f t="shared" si="12"/>
        <v>-1</v>
      </c>
    </row>
    <row r="72" spans="1:7" x14ac:dyDescent="0.3">
      <c r="A72" t="s">
        <v>78</v>
      </c>
      <c r="B72" s="7">
        <v>54.480553999999998</v>
      </c>
      <c r="C72" s="7">
        <v>47.390802999999998</v>
      </c>
      <c r="D72" s="7">
        <f t="shared" si="9"/>
        <v>-7.0897509999999997</v>
      </c>
      <c r="E72" s="7">
        <f t="shared" si="10"/>
        <v>7.0897509999999997</v>
      </c>
      <c r="F72" s="7">
        <f t="shared" si="11"/>
        <v>125</v>
      </c>
      <c r="G72">
        <f t="shared" si="12"/>
        <v>-1</v>
      </c>
    </row>
    <row r="73" spans="1:7" x14ac:dyDescent="0.3">
      <c r="A73" t="s">
        <v>78</v>
      </c>
      <c r="B73" s="7">
        <v>46.659176000000002</v>
      </c>
      <c r="C73" s="7">
        <v>48.895890999999999</v>
      </c>
      <c r="D73" s="7">
        <f t="shared" si="9"/>
        <v>2.2367149999999967</v>
      </c>
      <c r="E73" s="7">
        <f t="shared" si="10"/>
        <v>2.2367149999999967</v>
      </c>
      <c r="F73" s="7">
        <f t="shared" si="11"/>
        <v>46</v>
      </c>
      <c r="G73">
        <f t="shared" si="12"/>
        <v>1</v>
      </c>
    </row>
    <row r="74" spans="1:7" x14ac:dyDescent="0.3">
      <c r="A74" t="s">
        <v>78</v>
      </c>
      <c r="B74" s="7">
        <v>49.554205000000003</v>
      </c>
      <c r="C74" s="7">
        <v>53.055284</v>
      </c>
      <c r="D74" s="7">
        <f t="shared" si="9"/>
        <v>3.5010789999999972</v>
      </c>
      <c r="E74" s="7">
        <f t="shared" si="10"/>
        <v>3.5010789999999972</v>
      </c>
      <c r="F74" s="7">
        <f t="shared" si="11"/>
        <v>76</v>
      </c>
      <c r="G74">
        <f t="shared" si="12"/>
        <v>1</v>
      </c>
    </row>
    <row r="75" spans="1:7" x14ac:dyDescent="0.3">
      <c r="A75" t="s">
        <v>78</v>
      </c>
      <c r="B75" s="7">
        <v>52.462901000000002</v>
      </c>
      <c r="C75" s="7">
        <v>53.955050999999997</v>
      </c>
      <c r="D75" s="7">
        <f t="shared" si="9"/>
        <v>1.4921499999999952</v>
      </c>
      <c r="E75" s="7">
        <f t="shared" si="10"/>
        <v>1.4921499999999952</v>
      </c>
      <c r="F75" s="7">
        <f t="shared" si="11"/>
        <v>27</v>
      </c>
      <c r="G75">
        <f t="shared" si="12"/>
        <v>1</v>
      </c>
    </row>
    <row r="76" spans="1:7" x14ac:dyDescent="0.3">
      <c r="A76" t="s">
        <v>87</v>
      </c>
      <c r="B76" s="7">
        <v>50.121675000000003</v>
      </c>
      <c r="C76" s="7">
        <v>54.762554999999999</v>
      </c>
      <c r="D76" s="7">
        <f t="shared" si="9"/>
        <v>4.6408799999999957</v>
      </c>
      <c r="E76" s="7">
        <f t="shared" si="10"/>
        <v>4.6408799999999957</v>
      </c>
      <c r="F76" s="7">
        <f t="shared" si="11"/>
        <v>106</v>
      </c>
      <c r="G76">
        <f t="shared" si="12"/>
        <v>1</v>
      </c>
    </row>
    <row r="77" spans="1:7" x14ac:dyDescent="0.3">
      <c r="A77" t="s">
        <v>87</v>
      </c>
      <c r="B77" s="7">
        <v>52.197501000000003</v>
      </c>
      <c r="C77" s="7">
        <v>45.638987</v>
      </c>
      <c r="D77" s="7">
        <f t="shared" si="9"/>
        <v>-6.5585140000000024</v>
      </c>
      <c r="E77" s="7">
        <f t="shared" si="10"/>
        <v>6.5585140000000024</v>
      </c>
      <c r="F77" s="7">
        <f t="shared" si="11"/>
        <v>121</v>
      </c>
      <c r="G77">
        <f t="shared" si="12"/>
        <v>-1</v>
      </c>
    </row>
    <row r="78" spans="1:7" x14ac:dyDescent="0.3">
      <c r="A78" t="s">
        <v>87</v>
      </c>
      <c r="B78" s="7">
        <v>49.917945000000003</v>
      </c>
      <c r="C78" s="7">
        <v>47.50638</v>
      </c>
      <c r="D78" s="7">
        <f t="shared" si="9"/>
        <v>-2.4115650000000031</v>
      </c>
      <c r="E78" s="7">
        <f t="shared" si="10"/>
        <v>2.4115650000000031</v>
      </c>
      <c r="F78" s="7">
        <f t="shared" si="11"/>
        <v>55</v>
      </c>
      <c r="G78">
        <f t="shared" si="12"/>
        <v>-1</v>
      </c>
    </row>
    <row r="79" spans="1:7" x14ac:dyDescent="0.3">
      <c r="A79" t="s">
        <v>87</v>
      </c>
      <c r="B79" s="7">
        <v>51.596654000000001</v>
      </c>
      <c r="C79" s="7">
        <v>47.818452000000001</v>
      </c>
      <c r="D79" s="7">
        <f t="shared" si="9"/>
        <v>-3.7782020000000003</v>
      </c>
      <c r="E79" s="7">
        <f t="shared" si="10"/>
        <v>3.7782020000000003</v>
      </c>
      <c r="F79" s="7">
        <f t="shared" si="11"/>
        <v>86</v>
      </c>
      <c r="G79">
        <f t="shared" si="12"/>
        <v>-1</v>
      </c>
    </row>
    <row r="80" spans="1:7" x14ac:dyDescent="0.3">
      <c r="A80" t="s">
        <v>87</v>
      </c>
      <c r="B80" s="7">
        <v>50.034723</v>
      </c>
      <c r="C80" s="7">
        <v>46.212964999999997</v>
      </c>
      <c r="D80" s="7">
        <f t="shared" si="9"/>
        <v>-3.8217580000000027</v>
      </c>
      <c r="E80" s="7">
        <f t="shared" si="10"/>
        <v>3.8217580000000027</v>
      </c>
      <c r="F80" s="7">
        <f t="shared" si="11"/>
        <v>90</v>
      </c>
      <c r="G80">
        <f t="shared" si="12"/>
        <v>-1</v>
      </c>
    </row>
    <row r="81" spans="1:7" x14ac:dyDescent="0.3">
      <c r="A81" t="s">
        <v>87</v>
      </c>
      <c r="B81" s="7">
        <v>51.439113999999996</v>
      </c>
      <c r="C81" s="7">
        <v>55.880271999999998</v>
      </c>
      <c r="D81" s="7">
        <f t="shared" si="9"/>
        <v>4.4411580000000015</v>
      </c>
      <c r="E81" s="7">
        <f t="shared" si="10"/>
        <v>4.4411580000000015</v>
      </c>
      <c r="F81" s="7">
        <f t="shared" si="11"/>
        <v>105</v>
      </c>
      <c r="G81">
        <f t="shared" si="12"/>
        <v>1</v>
      </c>
    </row>
    <row r="82" spans="1:7" x14ac:dyDescent="0.3">
      <c r="A82" t="s">
        <v>87</v>
      </c>
      <c r="B82" s="7">
        <v>51.541519999999998</v>
      </c>
      <c r="C82" s="7">
        <v>45.459499000000001</v>
      </c>
      <c r="D82" s="7">
        <f t="shared" si="9"/>
        <v>-6.0820209999999975</v>
      </c>
      <c r="E82" s="7">
        <f t="shared" si="10"/>
        <v>6.0820209999999975</v>
      </c>
      <c r="F82" s="7">
        <f t="shared" si="11"/>
        <v>116</v>
      </c>
      <c r="G82">
        <f t="shared" si="12"/>
        <v>-1</v>
      </c>
    </row>
    <row r="83" spans="1:7" x14ac:dyDescent="0.3">
      <c r="A83" t="s">
        <v>87</v>
      </c>
      <c r="B83" s="7">
        <v>50.181542999999998</v>
      </c>
      <c r="C83" s="7">
        <v>47.620040000000003</v>
      </c>
      <c r="D83" s="7">
        <f t="shared" si="9"/>
        <v>-2.5615029999999948</v>
      </c>
      <c r="E83" s="7">
        <f t="shared" si="10"/>
        <v>2.5615029999999948</v>
      </c>
      <c r="F83" s="7">
        <f t="shared" si="11"/>
        <v>59</v>
      </c>
      <c r="G83">
        <f t="shared" si="12"/>
        <v>-1</v>
      </c>
    </row>
    <row r="84" spans="1:7" x14ac:dyDescent="0.3">
      <c r="A84" t="s">
        <v>87</v>
      </c>
      <c r="B84" s="7">
        <v>50.088624000000003</v>
      </c>
      <c r="C84" s="7">
        <v>47.630566000000002</v>
      </c>
      <c r="D84" s="7">
        <f t="shared" si="9"/>
        <v>-2.4580580000000012</v>
      </c>
      <c r="E84" s="7">
        <f t="shared" si="10"/>
        <v>2.4580580000000012</v>
      </c>
      <c r="F84" s="7">
        <f t="shared" si="11"/>
        <v>57</v>
      </c>
      <c r="G84">
        <f t="shared" si="12"/>
        <v>-1</v>
      </c>
    </row>
    <row r="85" spans="1:7" x14ac:dyDescent="0.3">
      <c r="A85" t="s">
        <v>87</v>
      </c>
      <c r="B85" s="7">
        <v>51.600292000000003</v>
      </c>
      <c r="C85" s="7">
        <v>45.528201000000003</v>
      </c>
      <c r="D85" s="7">
        <f t="shared" si="9"/>
        <v>-6.0720910000000003</v>
      </c>
      <c r="E85" s="7">
        <f t="shared" si="10"/>
        <v>6.0720910000000003</v>
      </c>
      <c r="F85" s="7">
        <f t="shared" si="11"/>
        <v>115</v>
      </c>
      <c r="G85">
        <f t="shared" si="12"/>
        <v>-1</v>
      </c>
    </row>
    <row r="86" spans="1:7" x14ac:dyDescent="0.3">
      <c r="A86" t="s">
        <v>87</v>
      </c>
      <c r="B86" s="7">
        <v>51.535997000000002</v>
      </c>
      <c r="C86" s="7">
        <v>45.363616</v>
      </c>
      <c r="D86" s="7">
        <f t="shared" si="9"/>
        <v>-6.1723810000000014</v>
      </c>
      <c r="E86" s="7">
        <f t="shared" si="10"/>
        <v>6.1723810000000014</v>
      </c>
      <c r="F86" s="7">
        <f t="shared" si="11"/>
        <v>118</v>
      </c>
      <c r="G86">
        <f t="shared" si="12"/>
        <v>-1</v>
      </c>
    </row>
    <row r="87" spans="1:7" x14ac:dyDescent="0.3">
      <c r="A87" t="s">
        <v>87</v>
      </c>
      <c r="B87" s="7">
        <v>50.155717000000003</v>
      </c>
      <c r="C87" s="7">
        <v>48.138916999999999</v>
      </c>
      <c r="D87" s="7">
        <f t="shared" si="9"/>
        <v>-2.0168000000000035</v>
      </c>
      <c r="E87" s="7">
        <f t="shared" si="10"/>
        <v>2.0168000000000035</v>
      </c>
      <c r="F87" s="7">
        <f t="shared" si="11"/>
        <v>34</v>
      </c>
      <c r="G87">
        <f t="shared" si="12"/>
        <v>-1</v>
      </c>
    </row>
    <row r="88" spans="1:7" x14ac:dyDescent="0.3">
      <c r="A88" t="s">
        <v>87</v>
      </c>
      <c r="B88" s="7">
        <v>49.151743000000003</v>
      </c>
      <c r="C88" s="7">
        <v>46.077328999999999</v>
      </c>
      <c r="D88" s="7">
        <f t="shared" si="9"/>
        <v>-3.0744140000000044</v>
      </c>
      <c r="E88" s="7">
        <f t="shared" si="10"/>
        <v>3.0744140000000044</v>
      </c>
      <c r="F88" s="7">
        <f t="shared" si="11"/>
        <v>63</v>
      </c>
      <c r="G88">
        <f t="shared" si="12"/>
        <v>-1</v>
      </c>
    </row>
    <row r="89" spans="1:7" x14ac:dyDescent="0.3">
      <c r="A89" t="s">
        <v>87</v>
      </c>
      <c r="B89" s="7">
        <v>49.29365</v>
      </c>
      <c r="C89" s="7">
        <v>45.555422</v>
      </c>
      <c r="D89" s="7">
        <f t="shared" si="9"/>
        <v>-3.7382279999999994</v>
      </c>
      <c r="E89" s="7">
        <f t="shared" si="10"/>
        <v>3.7382279999999994</v>
      </c>
      <c r="F89" s="7">
        <f t="shared" si="11"/>
        <v>84</v>
      </c>
      <c r="G89">
        <f t="shared" si="12"/>
        <v>-1</v>
      </c>
    </row>
    <row r="90" spans="1:7" x14ac:dyDescent="0.3">
      <c r="A90" t="s">
        <v>87</v>
      </c>
      <c r="B90" s="7">
        <v>51.673171000000004</v>
      </c>
      <c r="C90" s="7">
        <v>51.566037000000001</v>
      </c>
      <c r="D90" s="7">
        <f t="shared" si="9"/>
        <v>-0.10713400000000206</v>
      </c>
      <c r="E90" s="7">
        <f t="shared" si="10"/>
        <v>0.10713400000000206</v>
      </c>
      <c r="F90" s="7">
        <f t="shared" si="11"/>
        <v>3</v>
      </c>
      <c r="G90">
        <f t="shared" si="12"/>
        <v>-1</v>
      </c>
    </row>
    <row r="91" spans="1:7" x14ac:dyDescent="0.3">
      <c r="A91" t="s">
        <v>87</v>
      </c>
      <c r="B91" s="7">
        <v>51.723945999999998</v>
      </c>
      <c r="C91" s="7">
        <v>46.236493000000003</v>
      </c>
      <c r="D91" s="7">
        <f t="shared" si="9"/>
        <v>-5.487452999999995</v>
      </c>
      <c r="E91" s="7">
        <f t="shared" si="10"/>
        <v>5.487452999999995</v>
      </c>
      <c r="F91" s="7">
        <f t="shared" si="11"/>
        <v>113</v>
      </c>
      <c r="G91">
        <f t="shared" si="12"/>
        <v>-1</v>
      </c>
    </row>
    <row r="92" spans="1:7" x14ac:dyDescent="0.3">
      <c r="A92" t="s">
        <v>87</v>
      </c>
      <c r="B92" s="7">
        <v>49.289490999999998</v>
      </c>
      <c r="C92" s="7">
        <v>46.286451</v>
      </c>
      <c r="D92" s="7">
        <f t="shared" si="9"/>
        <v>-3.0030399999999986</v>
      </c>
      <c r="E92" s="7">
        <f t="shared" si="10"/>
        <v>3.0030399999999986</v>
      </c>
      <c r="F92" s="7">
        <f t="shared" si="11"/>
        <v>62</v>
      </c>
      <c r="G92">
        <f t="shared" si="12"/>
        <v>-1</v>
      </c>
    </row>
    <row r="93" spans="1:7" x14ac:dyDescent="0.3">
      <c r="A93" t="s">
        <v>87</v>
      </c>
      <c r="B93" s="7">
        <v>50.044958999999999</v>
      </c>
      <c r="C93" s="7">
        <v>47.530085999999997</v>
      </c>
      <c r="D93" s="7">
        <f t="shared" si="9"/>
        <v>-2.5148730000000015</v>
      </c>
      <c r="E93" s="7">
        <f t="shared" si="10"/>
        <v>2.5148730000000015</v>
      </c>
      <c r="F93" s="7">
        <f t="shared" si="11"/>
        <v>58</v>
      </c>
      <c r="G93">
        <f t="shared" si="12"/>
        <v>-1</v>
      </c>
    </row>
    <row r="94" spans="1:7" x14ac:dyDescent="0.3">
      <c r="A94" t="s">
        <v>87</v>
      </c>
      <c r="B94" s="7">
        <v>50.076689000000002</v>
      </c>
      <c r="C94" s="7">
        <v>46.338631999999997</v>
      </c>
      <c r="D94" s="7">
        <f t="shared" si="9"/>
        <v>-3.7380570000000048</v>
      </c>
      <c r="E94" s="7">
        <f t="shared" si="10"/>
        <v>3.7380570000000048</v>
      </c>
      <c r="F94" s="7">
        <f t="shared" si="11"/>
        <v>83</v>
      </c>
      <c r="G94">
        <f t="shared" si="12"/>
        <v>-1</v>
      </c>
    </row>
    <row r="95" spans="1:7" x14ac:dyDescent="0.3">
      <c r="A95" t="s">
        <v>87</v>
      </c>
      <c r="B95" s="7">
        <v>56.114477999999998</v>
      </c>
      <c r="C95" s="7">
        <v>47.708157</v>
      </c>
      <c r="D95" s="7">
        <f t="shared" si="9"/>
        <v>-8.4063209999999984</v>
      </c>
      <c r="E95" s="7">
        <f t="shared" si="10"/>
        <v>8.4063209999999984</v>
      </c>
      <c r="F95" s="7">
        <f t="shared" si="11"/>
        <v>130</v>
      </c>
      <c r="G95">
        <f t="shared" si="12"/>
        <v>-1</v>
      </c>
    </row>
    <row r="96" spans="1:7" x14ac:dyDescent="0.3">
      <c r="A96" t="s">
        <v>88</v>
      </c>
      <c r="B96" s="7">
        <v>50.896532999999998</v>
      </c>
      <c r="C96" s="7">
        <v>47.567258000000002</v>
      </c>
      <c r="D96" s="7">
        <f t="shared" si="9"/>
        <v>-3.3292749999999955</v>
      </c>
      <c r="E96" s="7">
        <f t="shared" si="10"/>
        <v>3.3292749999999955</v>
      </c>
      <c r="F96" s="7">
        <f t="shared" si="11"/>
        <v>70</v>
      </c>
      <c r="G96">
        <f t="shared" si="12"/>
        <v>-1</v>
      </c>
    </row>
    <row r="97" spans="1:7" x14ac:dyDescent="0.3">
      <c r="A97" t="s">
        <v>88</v>
      </c>
      <c r="B97" s="7">
        <v>51.110394999999997</v>
      </c>
      <c r="C97" s="7">
        <v>47.088113</v>
      </c>
      <c r="D97" s="7">
        <f t="shared" si="9"/>
        <v>-4.022281999999997</v>
      </c>
      <c r="E97" s="7">
        <f t="shared" si="10"/>
        <v>4.022281999999997</v>
      </c>
      <c r="F97" s="7">
        <f t="shared" si="11"/>
        <v>96</v>
      </c>
      <c r="G97">
        <f t="shared" si="12"/>
        <v>-1</v>
      </c>
    </row>
    <row r="98" spans="1:7" x14ac:dyDescent="0.3">
      <c r="A98" t="s">
        <v>88</v>
      </c>
      <c r="B98" s="7">
        <v>51.416004999999998</v>
      </c>
      <c r="C98" s="7">
        <v>46.984219000000003</v>
      </c>
      <c r="D98" s="7">
        <f t="shared" si="9"/>
        <v>-4.4317859999999953</v>
      </c>
      <c r="E98" s="7">
        <f t="shared" si="10"/>
        <v>4.4317859999999953</v>
      </c>
      <c r="F98" s="7">
        <f t="shared" si="11"/>
        <v>104</v>
      </c>
      <c r="G98">
        <f t="shared" si="12"/>
        <v>-1</v>
      </c>
    </row>
    <row r="99" spans="1:7" x14ac:dyDescent="0.3">
      <c r="A99" t="s">
        <v>88</v>
      </c>
      <c r="B99" s="7">
        <v>51.598370000000003</v>
      </c>
      <c r="C99" s="7">
        <v>51.5289</v>
      </c>
      <c r="D99" s="7">
        <f t="shared" si="9"/>
        <v>-6.9470000000002585E-2</v>
      </c>
      <c r="E99" s="7">
        <f t="shared" si="10"/>
        <v>6.9470000000002585E-2</v>
      </c>
      <c r="F99" s="7">
        <f t="shared" si="11"/>
        <v>2</v>
      </c>
      <c r="G99">
        <f t="shared" si="12"/>
        <v>-1</v>
      </c>
    </row>
    <row r="100" spans="1:7" x14ac:dyDescent="0.3">
      <c r="A100" t="s">
        <v>88</v>
      </c>
      <c r="B100" s="7">
        <v>50.952795000000002</v>
      </c>
      <c r="C100" s="7">
        <v>47.071739000000001</v>
      </c>
      <c r="D100" s="7">
        <f t="shared" si="9"/>
        <v>-3.8810560000000009</v>
      </c>
      <c r="E100" s="7">
        <f t="shared" si="10"/>
        <v>3.8810560000000009</v>
      </c>
      <c r="F100" s="7">
        <f t="shared" si="11"/>
        <v>93</v>
      </c>
      <c r="G100">
        <f t="shared" si="12"/>
        <v>-1</v>
      </c>
    </row>
    <row r="101" spans="1:7" x14ac:dyDescent="0.3">
      <c r="A101" t="s">
        <v>88</v>
      </c>
      <c r="B101" s="7">
        <v>50.841357000000002</v>
      </c>
      <c r="C101" s="7">
        <v>47.048274999999997</v>
      </c>
      <c r="D101" s="7">
        <f t="shared" si="9"/>
        <v>-3.7930820000000054</v>
      </c>
      <c r="E101" s="7">
        <f t="shared" si="10"/>
        <v>3.7930820000000054</v>
      </c>
      <c r="F101" s="7">
        <f t="shared" si="11"/>
        <v>88</v>
      </c>
      <c r="G101">
        <f t="shared" si="12"/>
        <v>-1</v>
      </c>
    </row>
    <row r="102" spans="1:7" x14ac:dyDescent="0.3">
      <c r="A102" t="s">
        <v>88</v>
      </c>
      <c r="B102" s="7">
        <v>50.731535000000001</v>
      </c>
      <c r="C102" s="7">
        <v>47.404553999999997</v>
      </c>
      <c r="D102" s="7">
        <f t="shared" ref="D102:D133" si="13">C102-B102</f>
        <v>-3.3269810000000035</v>
      </c>
      <c r="E102" s="7">
        <f t="shared" ref="E102:E133" si="14">ABS(D102)</f>
        <v>3.3269810000000035</v>
      </c>
      <c r="F102" s="7">
        <f t="shared" ref="F102:F133" si="15">_xlfn.RANK.AVG(E102,$E$6:$E$143,1)</f>
        <v>69</v>
      </c>
      <c r="G102">
        <f t="shared" ref="G102:G133" si="16">IF(D102&lt;0,-1,1)</f>
        <v>-1</v>
      </c>
    </row>
    <row r="103" spans="1:7" x14ac:dyDescent="0.3">
      <c r="A103" t="s">
        <v>88</v>
      </c>
      <c r="B103" s="7">
        <v>50.651344999999999</v>
      </c>
      <c r="C103" s="7">
        <v>47.439016000000002</v>
      </c>
      <c r="D103" s="7">
        <f t="shared" si="13"/>
        <v>-3.2123289999999969</v>
      </c>
      <c r="E103" s="7">
        <f t="shared" si="14"/>
        <v>3.2123289999999969</v>
      </c>
      <c r="F103" s="7">
        <f t="shared" si="15"/>
        <v>66</v>
      </c>
      <c r="G103">
        <f t="shared" si="16"/>
        <v>-1</v>
      </c>
    </row>
    <row r="104" spans="1:7" x14ac:dyDescent="0.3">
      <c r="A104" t="s">
        <v>88</v>
      </c>
      <c r="B104" s="7">
        <v>51.048262000000001</v>
      </c>
      <c r="C104" s="7">
        <v>46.966281000000002</v>
      </c>
      <c r="D104" s="7">
        <f t="shared" si="13"/>
        <v>-4.081980999999999</v>
      </c>
      <c r="E104" s="7">
        <f t="shared" si="14"/>
        <v>4.081980999999999</v>
      </c>
      <c r="F104" s="7">
        <f t="shared" si="15"/>
        <v>98</v>
      </c>
      <c r="G104">
        <f t="shared" si="16"/>
        <v>-1</v>
      </c>
    </row>
    <row r="105" spans="1:7" x14ac:dyDescent="0.3">
      <c r="A105" t="s">
        <v>88</v>
      </c>
      <c r="B105" s="7">
        <v>51.245235000000001</v>
      </c>
      <c r="C105" s="7">
        <v>46.964322000000003</v>
      </c>
      <c r="D105" s="7">
        <f t="shared" si="13"/>
        <v>-4.2809129999999982</v>
      </c>
      <c r="E105" s="7">
        <f t="shared" si="14"/>
        <v>4.2809129999999982</v>
      </c>
      <c r="F105" s="7">
        <f t="shared" si="15"/>
        <v>101</v>
      </c>
      <c r="G105">
        <f t="shared" si="16"/>
        <v>-1</v>
      </c>
    </row>
    <row r="106" spans="1:7" x14ac:dyDescent="0.3">
      <c r="A106" t="s">
        <v>88</v>
      </c>
      <c r="B106" s="7">
        <v>50.818125999999999</v>
      </c>
      <c r="C106" s="7">
        <v>47.583066000000002</v>
      </c>
      <c r="D106" s="7">
        <f t="shared" si="13"/>
        <v>-3.2350599999999972</v>
      </c>
      <c r="E106" s="7">
        <f t="shared" si="14"/>
        <v>3.2350599999999972</v>
      </c>
      <c r="F106" s="7">
        <f t="shared" si="15"/>
        <v>68</v>
      </c>
      <c r="G106">
        <f t="shared" si="16"/>
        <v>-1</v>
      </c>
    </row>
    <row r="107" spans="1:7" x14ac:dyDescent="0.3">
      <c r="A107" t="s">
        <v>88</v>
      </c>
      <c r="B107" s="7">
        <v>50.808666000000002</v>
      </c>
      <c r="C107" s="7">
        <v>47.462276000000003</v>
      </c>
      <c r="D107" s="7">
        <f t="shared" si="13"/>
        <v>-3.3463899999999995</v>
      </c>
      <c r="E107" s="7">
        <f t="shared" si="14"/>
        <v>3.3463899999999995</v>
      </c>
      <c r="F107" s="7">
        <f t="shared" si="15"/>
        <v>71</v>
      </c>
      <c r="G107">
        <f t="shared" si="16"/>
        <v>-1</v>
      </c>
    </row>
    <row r="108" spans="1:7" x14ac:dyDescent="0.3">
      <c r="A108" t="s">
        <v>88</v>
      </c>
      <c r="B108" s="7">
        <v>51.363346999999997</v>
      </c>
      <c r="C108" s="7">
        <v>46.968623999999998</v>
      </c>
      <c r="D108" s="7">
        <f t="shared" si="13"/>
        <v>-4.394722999999999</v>
      </c>
      <c r="E108" s="7">
        <f t="shared" si="14"/>
        <v>4.394722999999999</v>
      </c>
      <c r="F108" s="7">
        <f t="shared" si="15"/>
        <v>103</v>
      </c>
      <c r="G108">
        <f t="shared" si="16"/>
        <v>-1</v>
      </c>
    </row>
    <row r="109" spans="1:7" x14ac:dyDescent="0.3">
      <c r="A109" t="s">
        <v>88</v>
      </c>
      <c r="B109" s="7">
        <v>50.907725999999997</v>
      </c>
      <c r="C109" s="7">
        <v>47.038271000000002</v>
      </c>
      <c r="D109" s="7">
        <f t="shared" si="13"/>
        <v>-3.869454999999995</v>
      </c>
      <c r="E109" s="7">
        <f t="shared" si="14"/>
        <v>3.869454999999995</v>
      </c>
      <c r="F109" s="7">
        <f t="shared" si="15"/>
        <v>92</v>
      </c>
      <c r="G109">
        <f t="shared" si="16"/>
        <v>-1</v>
      </c>
    </row>
    <row r="110" spans="1:7" x14ac:dyDescent="0.3">
      <c r="A110" t="s">
        <v>88</v>
      </c>
      <c r="B110" s="7">
        <v>50.875191999999998</v>
      </c>
      <c r="C110" s="7">
        <v>47.074399</v>
      </c>
      <c r="D110" s="7">
        <f t="shared" si="13"/>
        <v>-3.8007929999999988</v>
      </c>
      <c r="E110" s="7">
        <f t="shared" si="14"/>
        <v>3.8007929999999988</v>
      </c>
      <c r="F110" s="7">
        <f t="shared" si="15"/>
        <v>89</v>
      </c>
      <c r="G110">
        <f t="shared" si="16"/>
        <v>-1</v>
      </c>
    </row>
    <row r="111" spans="1:7" x14ac:dyDescent="0.3">
      <c r="A111" t="s">
        <v>89</v>
      </c>
      <c r="B111" s="7">
        <v>47.284506</v>
      </c>
      <c r="C111" s="7">
        <v>44.969555</v>
      </c>
      <c r="D111" s="7">
        <f t="shared" si="13"/>
        <v>-2.3149510000000006</v>
      </c>
      <c r="E111" s="7">
        <f t="shared" si="14"/>
        <v>2.3149510000000006</v>
      </c>
      <c r="F111" s="7">
        <f t="shared" si="15"/>
        <v>52</v>
      </c>
      <c r="G111">
        <f t="shared" si="16"/>
        <v>-1</v>
      </c>
    </row>
    <row r="112" spans="1:7" x14ac:dyDescent="0.3">
      <c r="A112" t="s">
        <v>89</v>
      </c>
      <c r="B112" s="7">
        <v>47.464249000000002</v>
      </c>
      <c r="C112" s="7">
        <v>52.135640000000002</v>
      </c>
      <c r="D112" s="7">
        <f t="shared" si="13"/>
        <v>4.6713909999999998</v>
      </c>
      <c r="E112" s="7">
        <f t="shared" si="14"/>
        <v>4.6713909999999998</v>
      </c>
      <c r="F112" s="7">
        <f t="shared" si="15"/>
        <v>107</v>
      </c>
      <c r="G112">
        <f t="shared" si="16"/>
        <v>1</v>
      </c>
    </row>
    <row r="113" spans="1:7" x14ac:dyDescent="0.3">
      <c r="A113" t="s">
        <v>89</v>
      </c>
      <c r="B113" s="7">
        <v>47.143639999999998</v>
      </c>
      <c r="C113" s="7">
        <v>44.969760000000001</v>
      </c>
      <c r="D113" s="7">
        <f t="shared" si="13"/>
        <v>-2.1738799999999969</v>
      </c>
      <c r="E113" s="7">
        <f t="shared" si="14"/>
        <v>2.1738799999999969</v>
      </c>
      <c r="F113" s="7">
        <f t="shared" si="15"/>
        <v>43</v>
      </c>
      <c r="G113">
        <f t="shared" si="16"/>
        <v>-1</v>
      </c>
    </row>
    <row r="114" spans="1:7" x14ac:dyDescent="0.3">
      <c r="A114" t="s">
        <v>89</v>
      </c>
      <c r="B114" s="7">
        <v>47.254776999999997</v>
      </c>
      <c r="C114" s="7">
        <v>45.008383000000002</v>
      </c>
      <c r="D114" s="7">
        <f t="shared" si="13"/>
        <v>-2.2463939999999951</v>
      </c>
      <c r="E114" s="7">
        <f t="shared" si="14"/>
        <v>2.2463939999999951</v>
      </c>
      <c r="F114" s="7">
        <f t="shared" si="15"/>
        <v>48</v>
      </c>
      <c r="G114">
        <f t="shared" si="16"/>
        <v>-1</v>
      </c>
    </row>
    <row r="115" spans="1:7" x14ac:dyDescent="0.3">
      <c r="A115" t="s">
        <v>89</v>
      </c>
      <c r="B115" s="7">
        <v>58.322647000000003</v>
      </c>
      <c r="C115" s="7">
        <v>44.981974000000001</v>
      </c>
      <c r="D115" s="7">
        <f t="shared" si="13"/>
        <v>-13.340673000000002</v>
      </c>
      <c r="E115" s="7">
        <f t="shared" si="14"/>
        <v>13.340673000000002</v>
      </c>
      <c r="F115" s="7">
        <f t="shared" si="15"/>
        <v>137</v>
      </c>
      <c r="G115">
        <f t="shared" si="16"/>
        <v>-1</v>
      </c>
    </row>
    <row r="116" spans="1:7" x14ac:dyDescent="0.3">
      <c r="A116" t="s">
        <v>89</v>
      </c>
      <c r="B116" s="7">
        <v>47.047638999999997</v>
      </c>
      <c r="C116" s="7">
        <v>45.068626999999999</v>
      </c>
      <c r="D116" s="7">
        <f t="shared" si="13"/>
        <v>-1.9790119999999973</v>
      </c>
      <c r="E116" s="7">
        <f t="shared" si="14"/>
        <v>1.9790119999999973</v>
      </c>
      <c r="F116" s="7">
        <f t="shared" si="15"/>
        <v>32</v>
      </c>
      <c r="G116">
        <f t="shared" si="16"/>
        <v>-1</v>
      </c>
    </row>
    <row r="117" spans="1:7" x14ac:dyDescent="0.3">
      <c r="A117" t="s">
        <v>89</v>
      </c>
      <c r="B117" s="7">
        <v>47.174492000000001</v>
      </c>
      <c r="C117" s="7">
        <v>56.05236</v>
      </c>
      <c r="D117" s="7">
        <f t="shared" si="13"/>
        <v>8.8778679999999994</v>
      </c>
      <c r="E117" s="7">
        <f t="shared" si="14"/>
        <v>8.8778679999999994</v>
      </c>
      <c r="F117" s="7">
        <f t="shared" si="15"/>
        <v>134</v>
      </c>
      <c r="G117">
        <f t="shared" si="16"/>
        <v>1</v>
      </c>
    </row>
    <row r="118" spans="1:7" x14ac:dyDescent="0.3">
      <c r="A118" t="s">
        <v>89</v>
      </c>
      <c r="B118" s="7">
        <v>47.062905999999998</v>
      </c>
      <c r="C118" s="7">
        <v>45.027659999999997</v>
      </c>
      <c r="D118" s="7">
        <f t="shared" si="13"/>
        <v>-2.0352460000000008</v>
      </c>
      <c r="E118" s="7">
        <f t="shared" si="14"/>
        <v>2.0352460000000008</v>
      </c>
      <c r="F118" s="7">
        <f t="shared" si="15"/>
        <v>36</v>
      </c>
      <c r="G118">
        <f t="shared" si="16"/>
        <v>-1</v>
      </c>
    </row>
    <row r="119" spans="1:7" x14ac:dyDescent="0.3">
      <c r="A119" t="s">
        <v>89</v>
      </c>
      <c r="B119" s="7">
        <v>47.159914000000001</v>
      </c>
      <c r="C119" s="7">
        <v>44.921168000000002</v>
      </c>
      <c r="D119" s="7">
        <f t="shared" si="13"/>
        <v>-2.238745999999999</v>
      </c>
      <c r="E119" s="7">
        <f t="shared" si="14"/>
        <v>2.238745999999999</v>
      </c>
      <c r="F119" s="7">
        <f t="shared" si="15"/>
        <v>47</v>
      </c>
      <c r="G119">
        <f t="shared" si="16"/>
        <v>-1</v>
      </c>
    </row>
    <row r="120" spans="1:7" x14ac:dyDescent="0.3">
      <c r="A120" t="s">
        <v>89</v>
      </c>
      <c r="B120" s="7">
        <v>47.174852999999999</v>
      </c>
      <c r="C120" s="7">
        <v>45.029062000000003</v>
      </c>
      <c r="D120" s="7">
        <f t="shared" si="13"/>
        <v>-2.1457909999999956</v>
      </c>
      <c r="E120" s="7">
        <f t="shared" si="14"/>
        <v>2.1457909999999956</v>
      </c>
      <c r="F120" s="7">
        <f t="shared" si="15"/>
        <v>42</v>
      </c>
      <c r="G120">
        <f t="shared" si="16"/>
        <v>-1</v>
      </c>
    </row>
    <row r="121" spans="1:7" x14ac:dyDescent="0.3">
      <c r="A121" t="s">
        <v>89</v>
      </c>
      <c r="B121" s="7">
        <v>47.172134</v>
      </c>
      <c r="C121" s="7">
        <v>45.043548000000001</v>
      </c>
      <c r="D121" s="7">
        <f t="shared" si="13"/>
        <v>-2.1285859999999985</v>
      </c>
      <c r="E121" s="7">
        <f t="shared" si="14"/>
        <v>2.1285859999999985</v>
      </c>
      <c r="F121" s="7">
        <f t="shared" si="15"/>
        <v>40</v>
      </c>
      <c r="G121">
        <f t="shared" si="16"/>
        <v>-1</v>
      </c>
    </row>
    <row r="122" spans="1:7" x14ac:dyDescent="0.3">
      <c r="A122" t="s">
        <v>89</v>
      </c>
      <c r="B122" s="7">
        <v>47.21696</v>
      </c>
      <c r="C122" s="7">
        <v>45.134509999999999</v>
      </c>
      <c r="D122" s="7">
        <f t="shared" si="13"/>
        <v>-2.0824500000000015</v>
      </c>
      <c r="E122" s="7">
        <f t="shared" si="14"/>
        <v>2.0824500000000015</v>
      </c>
      <c r="F122" s="7">
        <f t="shared" si="15"/>
        <v>37</v>
      </c>
      <c r="G122">
        <f t="shared" si="16"/>
        <v>-1</v>
      </c>
    </row>
    <row r="123" spans="1:7" x14ac:dyDescent="0.3">
      <c r="A123" t="s">
        <v>89</v>
      </c>
      <c r="B123" s="7">
        <v>47.051287000000002</v>
      </c>
      <c r="C123" s="7">
        <v>45.068657999999999</v>
      </c>
      <c r="D123" s="7">
        <f t="shared" si="13"/>
        <v>-1.9826290000000029</v>
      </c>
      <c r="E123" s="7">
        <f t="shared" si="14"/>
        <v>1.9826290000000029</v>
      </c>
      <c r="F123" s="7">
        <f t="shared" si="15"/>
        <v>33</v>
      </c>
      <c r="G123">
        <f t="shared" si="16"/>
        <v>-1</v>
      </c>
    </row>
    <row r="124" spans="1:7" x14ac:dyDescent="0.3">
      <c r="A124" t="s">
        <v>89</v>
      </c>
      <c r="B124" s="7">
        <v>47.050145000000001</v>
      </c>
      <c r="C124" s="7">
        <v>45.025092999999998</v>
      </c>
      <c r="D124" s="7">
        <f t="shared" si="13"/>
        <v>-2.0250520000000023</v>
      </c>
      <c r="E124" s="7">
        <f t="shared" si="14"/>
        <v>2.0250520000000023</v>
      </c>
      <c r="F124" s="7">
        <f t="shared" si="15"/>
        <v>35</v>
      </c>
      <c r="G124">
        <f t="shared" si="16"/>
        <v>-1</v>
      </c>
    </row>
    <row r="125" spans="1:7" x14ac:dyDescent="0.3">
      <c r="A125" t="s">
        <v>89</v>
      </c>
      <c r="B125" s="7">
        <v>47.142829999999996</v>
      </c>
      <c r="C125" s="7">
        <v>51.221007</v>
      </c>
      <c r="D125" s="7">
        <f t="shared" si="13"/>
        <v>4.0781770000000037</v>
      </c>
      <c r="E125" s="7">
        <f t="shared" si="14"/>
        <v>4.0781770000000037</v>
      </c>
      <c r="F125" s="7">
        <f t="shared" si="15"/>
        <v>97</v>
      </c>
      <c r="G125">
        <f t="shared" si="16"/>
        <v>1</v>
      </c>
    </row>
    <row r="126" spans="1:7" x14ac:dyDescent="0.3">
      <c r="A126" t="s">
        <v>89</v>
      </c>
      <c r="B126" s="7">
        <v>47.097104999999999</v>
      </c>
      <c r="C126" s="7">
        <v>45.597248999999998</v>
      </c>
      <c r="D126" s="7">
        <f t="shared" si="13"/>
        <v>-1.4998560000000012</v>
      </c>
      <c r="E126" s="7">
        <f t="shared" si="14"/>
        <v>1.4998560000000012</v>
      </c>
      <c r="F126" s="7">
        <f t="shared" si="15"/>
        <v>28</v>
      </c>
      <c r="G126">
        <f t="shared" si="16"/>
        <v>-1</v>
      </c>
    </row>
    <row r="127" spans="1:7" x14ac:dyDescent="0.3">
      <c r="A127" t="s">
        <v>90</v>
      </c>
      <c r="B127" s="7">
        <v>48.814802999999998</v>
      </c>
      <c r="C127" s="7">
        <v>45.184130000000003</v>
      </c>
      <c r="D127" s="7">
        <f t="shared" si="13"/>
        <v>-3.6306729999999945</v>
      </c>
      <c r="E127" s="7">
        <f t="shared" si="14"/>
        <v>3.6306729999999945</v>
      </c>
      <c r="F127" s="7">
        <f t="shared" si="15"/>
        <v>79</v>
      </c>
      <c r="G127">
        <f t="shared" si="16"/>
        <v>-1</v>
      </c>
    </row>
    <row r="128" spans="1:7" x14ac:dyDescent="0.3">
      <c r="A128" t="s">
        <v>90</v>
      </c>
      <c r="B128" s="7">
        <v>47.249070000000003</v>
      </c>
      <c r="C128" s="7">
        <v>55.756135999999998</v>
      </c>
      <c r="D128" s="7">
        <f t="shared" si="13"/>
        <v>8.5070659999999947</v>
      </c>
      <c r="E128" s="7">
        <f t="shared" si="14"/>
        <v>8.5070659999999947</v>
      </c>
      <c r="F128" s="7">
        <f t="shared" si="15"/>
        <v>132</v>
      </c>
      <c r="G128">
        <f t="shared" si="16"/>
        <v>1</v>
      </c>
    </row>
    <row r="129" spans="1:7" x14ac:dyDescent="0.3">
      <c r="A129" t="s">
        <v>90</v>
      </c>
      <c r="B129" s="7">
        <v>48.948526000000001</v>
      </c>
      <c r="C129" s="7">
        <v>47.664048999999999</v>
      </c>
      <c r="D129" s="7">
        <f t="shared" si="13"/>
        <v>-1.2844770000000025</v>
      </c>
      <c r="E129" s="7">
        <f t="shared" si="14"/>
        <v>1.2844770000000025</v>
      </c>
      <c r="F129" s="7">
        <f t="shared" si="15"/>
        <v>22</v>
      </c>
      <c r="G129">
        <f t="shared" si="16"/>
        <v>-1</v>
      </c>
    </row>
    <row r="130" spans="1:7" x14ac:dyDescent="0.3">
      <c r="A130" t="s">
        <v>90</v>
      </c>
      <c r="B130" s="7">
        <v>47.285637000000001</v>
      </c>
      <c r="C130" s="7">
        <v>48.317774999999997</v>
      </c>
      <c r="D130" s="7">
        <f t="shared" si="13"/>
        <v>1.0321379999999962</v>
      </c>
      <c r="E130" s="7">
        <f t="shared" si="14"/>
        <v>1.0321379999999962</v>
      </c>
      <c r="F130" s="7">
        <f t="shared" si="15"/>
        <v>17</v>
      </c>
      <c r="G130">
        <f t="shared" si="16"/>
        <v>1</v>
      </c>
    </row>
    <row r="131" spans="1:7" x14ac:dyDescent="0.3">
      <c r="A131" t="s">
        <v>90</v>
      </c>
      <c r="B131" s="7">
        <v>48.892392999999998</v>
      </c>
      <c r="C131" s="7">
        <v>45.117578999999999</v>
      </c>
      <c r="D131" s="7">
        <f t="shared" si="13"/>
        <v>-3.7748139999999992</v>
      </c>
      <c r="E131" s="7">
        <f t="shared" si="14"/>
        <v>3.7748139999999992</v>
      </c>
      <c r="F131" s="7">
        <f t="shared" si="15"/>
        <v>85</v>
      </c>
      <c r="G131">
        <f t="shared" si="16"/>
        <v>-1</v>
      </c>
    </row>
    <row r="132" spans="1:7" x14ac:dyDescent="0.3">
      <c r="A132" t="s">
        <v>90</v>
      </c>
      <c r="B132" s="7">
        <v>55.422224999999997</v>
      </c>
      <c r="C132" s="7">
        <v>47.535027999999997</v>
      </c>
      <c r="D132" s="7">
        <f t="shared" si="13"/>
        <v>-7.8871970000000005</v>
      </c>
      <c r="E132" s="7">
        <f t="shared" si="14"/>
        <v>7.8871970000000005</v>
      </c>
      <c r="F132" s="7">
        <f t="shared" si="15"/>
        <v>128</v>
      </c>
      <c r="G132">
        <f t="shared" si="16"/>
        <v>-1</v>
      </c>
    </row>
    <row r="133" spans="1:7" x14ac:dyDescent="0.3">
      <c r="A133" t="s">
        <v>90</v>
      </c>
      <c r="B133" s="7">
        <v>57.803879999999999</v>
      </c>
      <c r="C133" s="7">
        <v>49.234504000000001</v>
      </c>
      <c r="D133" s="7">
        <f t="shared" si="13"/>
        <v>-8.5693759999999983</v>
      </c>
      <c r="E133" s="7">
        <f t="shared" si="14"/>
        <v>8.5693759999999983</v>
      </c>
      <c r="F133" s="7">
        <f t="shared" si="15"/>
        <v>133</v>
      </c>
      <c r="G133">
        <f t="shared" si="16"/>
        <v>-1</v>
      </c>
    </row>
    <row r="134" spans="1:7" x14ac:dyDescent="0.3">
      <c r="A134" t="s">
        <v>90</v>
      </c>
      <c r="B134" s="7">
        <v>60.471984999999997</v>
      </c>
      <c r="C134" s="7">
        <v>45.055028999999998</v>
      </c>
      <c r="D134" s="7">
        <f t="shared" ref="D134:D165" si="17">C134-B134</f>
        <v>-15.416955999999999</v>
      </c>
      <c r="E134" s="7">
        <f t="shared" ref="E134:E165" si="18">ABS(D134)</f>
        <v>15.416955999999999</v>
      </c>
      <c r="F134" s="7">
        <f t="shared" ref="F134:F165" si="19">_xlfn.RANK.AVG(E134,$E$6:$E$143,1)</f>
        <v>138</v>
      </c>
      <c r="G134">
        <f t="shared" ref="G134:G143" si="20">IF(D134&lt;0,-1,1)</f>
        <v>-1</v>
      </c>
    </row>
    <row r="135" spans="1:7" x14ac:dyDescent="0.3">
      <c r="A135" t="s">
        <v>90</v>
      </c>
      <c r="B135" s="7">
        <v>48.943416999999997</v>
      </c>
      <c r="C135" s="7">
        <v>45.050001000000002</v>
      </c>
      <c r="D135" s="7">
        <f t="shared" si="17"/>
        <v>-3.8934159999999949</v>
      </c>
      <c r="E135" s="7">
        <f t="shared" si="18"/>
        <v>3.8934159999999949</v>
      </c>
      <c r="F135" s="7">
        <f t="shared" si="19"/>
        <v>94</v>
      </c>
      <c r="G135">
        <f t="shared" si="20"/>
        <v>-1</v>
      </c>
    </row>
    <row r="136" spans="1:7" x14ac:dyDescent="0.3">
      <c r="A136" t="s">
        <v>90</v>
      </c>
      <c r="B136" s="7">
        <v>48.842803000000004</v>
      </c>
      <c r="C136" s="7">
        <v>45.125132999999998</v>
      </c>
      <c r="D136" s="7">
        <f t="shared" si="17"/>
        <v>-3.7176700000000054</v>
      </c>
      <c r="E136" s="7">
        <f t="shared" si="18"/>
        <v>3.7176700000000054</v>
      </c>
      <c r="F136" s="7">
        <f t="shared" si="19"/>
        <v>82</v>
      </c>
      <c r="G136">
        <f t="shared" si="20"/>
        <v>-1</v>
      </c>
    </row>
    <row r="137" spans="1:7" x14ac:dyDescent="0.3">
      <c r="A137" t="s">
        <v>90</v>
      </c>
      <c r="B137" s="7">
        <v>53.423732000000001</v>
      </c>
      <c r="C137" s="7">
        <v>46.732588999999997</v>
      </c>
      <c r="D137" s="7">
        <f t="shared" si="17"/>
        <v>-6.6911430000000038</v>
      </c>
      <c r="E137" s="7">
        <f t="shared" si="18"/>
        <v>6.6911430000000038</v>
      </c>
      <c r="F137" s="7">
        <f t="shared" si="19"/>
        <v>122</v>
      </c>
      <c r="G137">
        <f t="shared" si="20"/>
        <v>-1</v>
      </c>
    </row>
    <row r="138" spans="1:7" x14ac:dyDescent="0.3">
      <c r="A138" t="s">
        <v>90</v>
      </c>
      <c r="B138" s="7">
        <v>49.103394999999999</v>
      </c>
      <c r="C138" s="7">
        <v>46.790126999999998</v>
      </c>
      <c r="D138" s="7">
        <f t="shared" si="17"/>
        <v>-2.3132680000000008</v>
      </c>
      <c r="E138" s="7">
        <f t="shared" si="18"/>
        <v>2.3132680000000008</v>
      </c>
      <c r="F138" s="7">
        <f t="shared" si="19"/>
        <v>51</v>
      </c>
      <c r="G138">
        <f t="shared" si="20"/>
        <v>-1</v>
      </c>
    </row>
    <row r="139" spans="1:7" x14ac:dyDescent="0.3">
      <c r="A139" t="s">
        <v>90</v>
      </c>
      <c r="B139" s="7">
        <v>53.534519000000003</v>
      </c>
      <c r="C139" s="7">
        <v>46.626869999999997</v>
      </c>
      <c r="D139" s="7">
        <f t="shared" si="17"/>
        <v>-6.9076490000000064</v>
      </c>
      <c r="E139" s="7">
        <f t="shared" si="18"/>
        <v>6.9076490000000064</v>
      </c>
      <c r="F139" s="7">
        <f t="shared" si="19"/>
        <v>124</v>
      </c>
      <c r="G139">
        <f t="shared" si="20"/>
        <v>-1</v>
      </c>
    </row>
    <row r="140" spans="1:7" x14ac:dyDescent="0.3">
      <c r="A140" t="s">
        <v>90</v>
      </c>
      <c r="B140" s="7">
        <v>47.365662999999998</v>
      </c>
      <c r="C140" s="7">
        <v>46.886879</v>
      </c>
      <c r="D140" s="7">
        <f t="shared" si="17"/>
        <v>-0.47878399999999743</v>
      </c>
      <c r="E140" s="7">
        <f t="shared" si="18"/>
        <v>0.47878399999999743</v>
      </c>
      <c r="F140" s="7">
        <f t="shared" si="19"/>
        <v>9</v>
      </c>
      <c r="G140">
        <f t="shared" si="20"/>
        <v>-1</v>
      </c>
    </row>
    <row r="141" spans="1:7" x14ac:dyDescent="0.3">
      <c r="A141" t="s">
        <v>90</v>
      </c>
      <c r="B141" s="7">
        <v>48.949102000000003</v>
      </c>
      <c r="C141" s="7">
        <v>45.083337999999998</v>
      </c>
      <c r="D141" s="7">
        <f t="shared" si="17"/>
        <v>-3.8657640000000058</v>
      </c>
      <c r="E141" s="7">
        <f t="shared" si="18"/>
        <v>3.8657640000000058</v>
      </c>
      <c r="F141" s="7">
        <f t="shared" si="19"/>
        <v>91</v>
      </c>
      <c r="G141">
        <f t="shared" si="20"/>
        <v>-1</v>
      </c>
    </row>
    <row r="142" spans="1:7" x14ac:dyDescent="0.3">
      <c r="A142" t="s">
        <v>90</v>
      </c>
      <c r="B142" s="7">
        <v>47.250621000000002</v>
      </c>
      <c r="C142" s="7">
        <v>46.794336999999999</v>
      </c>
      <c r="D142" s="7">
        <f t="shared" si="17"/>
        <v>-0.45628400000000369</v>
      </c>
      <c r="E142" s="7">
        <f t="shared" si="18"/>
        <v>0.45628400000000369</v>
      </c>
      <c r="F142" s="7">
        <f t="shared" si="19"/>
        <v>8</v>
      </c>
      <c r="G142">
        <f t="shared" si="20"/>
        <v>-1</v>
      </c>
    </row>
    <row r="143" spans="1:7" x14ac:dyDescent="0.3">
      <c r="A143" t="s">
        <v>90</v>
      </c>
      <c r="B143" s="7">
        <v>48.888067999999997</v>
      </c>
      <c r="C143" s="7">
        <v>45.101753000000002</v>
      </c>
      <c r="D143" s="7">
        <f t="shared" si="17"/>
        <v>-3.7863149999999948</v>
      </c>
      <c r="E143" s="7">
        <f t="shared" si="18"/>
        <v>3.7863149999999948</v>
      </c>
      <c r="F143" s="7">
        <f t="shared" si="19"/>
        <v>87</v>
      </c>
      <c r="G143">
        <f t="shared" si="20"/>
        <v>-1</v>
      </c>
    </row>
    <row r="144" spans="1:7" x14ac:dyDescent="0.3">
      <c r="B144" s="7"/>
      <c r="C144" s="7"/>
      <c r="D144" s="7"/>
      <c r="E144" s="7"/>
      <c r="F144" s="7"/>
    </row>
    <row r="145" spans="2:6" x14ac:dyDescent="0.3">
      <c r="B145" s="7"/>
      <c r="C145" s="7"/>
      <c r="D145" s="7"/>
      <c r="E145" s="7"/>
      <c r="F145" s="7"/>
    </row>
    <row r="146" spans="2:6" x14ac:dyDescent="0.3">
      <c r="B146" s="7"/>
      <c r="C146" s="7"/>
      <c r="D146" s="7"/>
      <c r="E146" s="7"/>
      <c r="F146" s="7"/>
    </row>
    <row r="147" spans="2:6" x14ac:dyDescent="0.3">
      <c r="B147" s="7"/>
      <c r="C147" s="7"/>
      <c r="D147" s="7"/>
      <c r="E147" s="7"/>
      <c r="F147" s="7"/>
    </row>
    <row r="148" spans="2:6" x14ac:dyDescent="0.3">
      <c r="B148" s="7"/>
      <c r="C148" s="7"/>
      <c r="D148" s="7"/>
      <c r="E148" s="7"/>
      <c r="F148" s="7"/>
    </row>
    <row r="149" spans="2:6" x14ac:dyDescent="0.3">
      <c r="B149" s="7"/>
      <c r="C149" s="7"/>
      <c r="D149" s="7"/>
      <c r="E149" s="7"/>
      <c r="F149" s="7"/>
    </row>
    <row r="150" spans="2:6" x14ac:dyDescent="0.3">
      <c r="B150" s="7"/>
      <c r="C150" s="7"/>
      <c r="D150" s="7"/>
      <c r="E150" s="7"/>
      <c r="F150" s="7"/>
    </row>
    <row r="151" spans="2:6" x14ac:dyDescent="0.3">
      <c r="B151" s="7"/>
      <c r="C151" s="7"/>
      <c r="D151" s="7"/>
      <c r="E151" s="7"/>
      <c r="F151" s="7"/>
    </row>
    <row r="152" spans="2:6" x14ac:dyDescent="0.3">
      <c r="B152" s="7"/>
      <c r="C152" s="7"/>
      <c r="D152" s="7"/>
      <c r="E152" s="7"/>
      <c r="F152" s="7"/>
    </row>
    <row r="153" spans="2:6" x14ac:dyDescent="0.3">
      <c r="B153" s="7"/>
      <c r="C153" s="7"/>
      <c r="D153" s="7"/>
      <c r="E153" s="7"/>
      <c r="F153" s="7"/>
    </row>
    <row r="154" spans="2:6" x14ac:dyDescent="0.3">
      <c r="B154" s="7"/>
      <c r="C154" s="7"/>
      <c r="D154" s="7"/>
      <c r="E154" s="7"/>
      <c r="F154" s="7"/>
    </row>
    <row r="155" spans="2:6" x14ac:dyDescent="0.3">
      <c r="B155" s="7"/>
      <c r="C155" s="7"/>
      <c r="D155" s="7"/>
      <c r="E155" s="7"/>
      <c r="F155" s="7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"/>
  <sheetViews>
    <sheetView showGridLines="0" topLeftCell="A42" zoomScaleNormal="100" workbookViewId="0">
      <selection activeCell="H77" sqref="H77"/>
    </sheetView>
  </sheetViews>
  <sheetFormatPr defaultColWidth="8.6640625" defaultRowHeight="14.4" x14ac:dyDescent="0.3"/>
  <cols>
    <col min="1" max="1" width="34" customWidth="1"/>
    <col min="2" max="2" width="6" customWidth="1"/>
    <col min="3" max="4" width="10" customWidth="1"/>
    <col min="5" max="5" width="13" customWidth="1"/>
    <col min="6" max="10" width="10" customWidth="1"/>
    <col min="11" max="11" width="12" customWidth="1"/>
    <col min="12" max="12" width="10" customWidth="1"/>
    <col min="13" max="13" width="13" customWidth="1"/>
    <col min="14" max="15" width="15" customWidth="1"/>
  </cols>
  <sheetData>
    <row r="1" spans="1:15" ht="15" customHeight="1" x14ac:dyDescent="0.3">
      <c r="A1" s="1" t="s">
        <v>91</v>
      </c>
    </row>
    <row r="2" spans="1:15" x14ac:dyDescent="0.3">
      <c r="A2" s="18" t="s">
        <v>92</v>
      </c>
    </row>
    <row r="4" spans="1:15" x14ac:dyDescent="0.3">
      <c r="A4" s="19" t="s">
        <v>93</v>
      </c>
    </row>
    <row r="5" spans="1:15" ht="25.5" customHeight="1" x14ac:dyDescent="0.3">
      <c r="A5" s="20" t="s">
        <v>94</v>
      </c>
      <c r="B5" s="20" t="s">
        <v>62</v>
      </c>
      <c r="C5" s="20" t="s">
        <v>95</v>
      </c>
      <c r="D5" s="20" t="s">
        <v>96</v>
      </c>
      <c r="E5" s="20" t="s">
        <v>97</v>
      </c>
      <c r="F5" s="20" t="s">
        <v>98</v>
      </c>
      <c r="G5" s="20" t="s">
        <v>99</v>
      </c>
      <c r="H5" s="20" t="s">
        <v>100</v>
      </c>
      <c r="I5" s="20" t="s">
        <v>101</v>
      </c>
      <c r="J5" s="20" t="s">
        <v>102</v>
      </c>
      <c r="K5" s="20" t="s">
        <v>103</v>
      </c>
      <c r="L5" s="20" t="s">
        <v>104</v>
      </c>
      <c r="M5" s="20" t="s">
        <v>105</v>
      </c>
      <c r="N5" s="20" t="s">
        <v>106</v>
      </c>
      <c r="O5" s="20" t="s">
        <v>107</v>
      </c>
    </row>
    <row r="6" spans="1:15" x14ac:dyDescent="0.3">
      <c r="A6" s="21" t="s">
        <v>108</v>
      </c>
      <c r="B6" s="22">
        <f>COUNT('Testes estatísticos'!B6:B143)</f>
        <v>138</v>
      </c>
      <c r="C6" s="23">
        <f>AVERAGE('Testes estatísticos'!B6:B143)</f>
        <v>49.404171036231929</v>
      </c>
      <c r="D6" s="23">
        <f>MEDIAN('Testes estatísticos'!B6:B143)</f>
        <v>49.471097499999999</v>
      </c>
      <c r="E6" s="23">
        <f>_xlfn.STDEV.S('Testes estatísticos'!B6:B143)</f>
        <v>3.0233209361692226</v>
      </c>
      <c r="F6" s="23">
        <f>MIN('Testes estatísticos'!B6:B143)</f>
        <v>44.793365000000001</v>
      </c>
      <c r="G6" s="23">
        <f>MAX('Testes estatísticos'!B6:B143)</f>
        <v>60.471984999999997</v>
      </c>
      <c r="H6" s="23">
        <f>QUARTILE('Testes estatísticos'!B6:B143,1)</f>
        <v>47.1477085</v>
      </c>
      <c r="I6" s="23">
        <f>QUARTILE('Testes estatísticos'!B6:B143,3)</f>
        <v>51.201511000000004</v>
      </c>
      <c r="J6" s="23">
        <f>I6-H6</f>
        <v>4.0538025000000033</v>
      </c>
      <c r="K6" s="23">
        <f>E6/SQRT(B6)</f>
        <v>0.25736216914937043</v>
      </c>
      <c r="L6" s="23">
        <f>TINV(0.05,B6-1)</f>
        <v>1.9774312123081748</v>
      </c>
      <c r="M6" s="23">
        <f>L6*K6</f>
        <v>0.50891598614330114</v>
      </c>
      <c r="N6" s="23">
        <f>C6-M6</f>
        <v>48.895255050088629</v>
      </c>
      <c r="O6" s="23">
        <f>C6+M6</f>
        <v>49.91308702237523</v>
      </c>
    </row>
    <row r="7" spans="1:15" x14ac:dyDescent="0.3">
      <c r="A7" s="21" t="s">
        <v>109</v>
      </c>
      <c r="B7" s="22">
        <f>COUNT('Testes estatísticos'!C6:C143)</f>
        <v>138</v>
      </c>
      <c r="C7" s="23">
        <f>AVERAGE('Testes estatísticos'!C6:C143)</f>
        <v>47.010874202898549</v>
      </c>
      <c r="D7" s="23">
        <f>MEDIAN('Testes estatísticos'!C6:C143)</f>
        <v>46.771963</v>
      </c>
      <c r="E7" s="23">
        <f>_xlfn.STDEV.S('Testes estatísticos'!C6:C143)</f>
        <v>3.2383157683221984</v>
      </c>
      <c r="F7" s="23">
        <f>MIN('Testes estatísticos'!C6:C143)</f>
        <v>42.650283999999999</v>
      </c>
      <c r="G7" s="23">
        <f>MAX('Testes estatísticos'!C6:C143)</f>
        <v>56.05236</v>
      </c>
      <c r="H7" s="23">
        <f>QUARTILE('Testes estatísticos'!C6:C143,1)</f>
        <v>45.012560499999999</v>
      </c>
      <c r="I7" s="23">
        <f>QUARTILE('Testes estatísticos'!C6:C143,3)</f>
        <v>48.182499999999997</v>
      </c>
      <c r="J7" s="23">
        <f>I7-H7</f>
        <v>3.1699394999999981</v>
      </c>
      <c r="K7" s="23">
        <f>E7/SQRT(B7)</f>
        <v>0.27566374464433063</v>
      </c>
      <c r="L7" s="23">
        <f>TINV(0.05,B7-1)</f>
        <v>1.9774312123081748</v>
      </c>
      <c r="M7" s="23">
        <f>L7*K7</f>
        <v>0.54510609276144983</v>
      </c>
      <c r="N7" s="23">
        <f>C7-M7</f>
        <v>46.465768110137098</v>
      </c>
      <c r="O7" s="23">
        <f>C7+M7</f>
        <v>47.55598029566</v>
      </c>
    </row>
    <row r="8" spans="1:15" x14ac:dyDescent="0.3">
      <c r="A8" s="21" t="s">
        <v>110</v>
      </c>
      <c r="B8" s="22">
        <f>COUNT('Testes estatísticos'!D6:D143)</f>
        <v>138</v>
      </c>
      <c r="C8" s="23">
        <f>AVERAGE('Testes estatísticos'!D6:D143)</f>
        <v>-2.3932968333333324</v>
      </c>
      <c r="D8" s="23">
        <f>MEDIAN('Testes estatísticos'!D6:D143)</f>
        <v>-2.3160935000000009</v>
      </c>
      <c r="E8" s="23">
        <f>_xlfn.STDEV.S('Testes estatísticos'!D6:D143)</f>
        <v>3.754952710935648</v>
      </c>
      <c r="F8" s="23">
        <f>MIN('Testes estatísticos'!D6:D143)</f>
        <v>-15.416955999999999</v>
      </c>
      <c r="G8" s="23">
        <f>MAX('Testes estatísticos'!D6:D143)</f>
        <v>8.8778679999999994</v>
      </c>
      <c r="H8" s="23">
        <f>QUARTILE('Testes estatísticos'!D6:D143,1)</f>
        <v>-4.0051844999999968</v>
      </c>
      <c r="I8" s="23">
        <f>QUARTILE('Testes estatísticos'!D6:D143,3)</f>
        <v>-0.59256300000000017</v>
      </c>
      <c r="J8" s="23">
        <f>I8-H8</f>
        <v>3.4126214999999966</v>
      </c>
      <c r="K8" s="23">
        <f>E8/SQRT(B8)</f>
        <v>0.31964280178742382</v>
      </c>
      <c r="L8" s="23">
        <f>TINV(0.05,B8-1)</f>
        <v>1.9774312123081748</v>
      </c>
      <c r="M8" s="23">
        <f>L8*K8</f>
        <v>0.63207165304408708</v>
      </c>
      <c r="N8" s="23">
        <f>C8-M8</f>
        <v>-3.0253684863774195</v>
      </c>
      <c r="O8" s="23">
        <f>C8+M8</f>
        <v>-1.7612251802892454</v>
      </c>
    </row>
    <row r="10" spans="1:15" x14ac:dyDescent="0.3">
      <c r="A10" s="18" t="s">
        <v>111</v>
      </c>
    </row>
    <row r="12" spans="1:15" x14ac:dyDescent="0.3">
      <c r="A12" s="19" t="s">
        <v>112</v>
      </c>
    </row>
    <row r="13" spans="1:15" ht="25.5" customHeight="1" x14ac:dyDescent="0.3">
      <c r="A13" s="20" t="s">
        <v>94</v>
      </c>
      <c r="B13" s="20" t="s">
        <v>62</v>
      </c>
      <c r="C13" s="20" t="s">
        <v>95</v>
      </c>
      <c r="D13" s="20" t="s">
        <v>96</v>
      </c>
      <c r="E13" s="20" t="s">
        <v>97</v>
      </c>
      <c r="F13" s="20" t="s">
        <v>98</v>
      </c>
      <c r="G13" s="20" t="s">
        <v>99</v>
      </c>
      <c r="H13" s="20" t="s">
        <v>100</v>
      </c>
      <c r="I13" s="20" t="s">
        <v>101</v>
      </c>
      <c r="J13" s="20" t="s">
        <v>102</v>
      </c>
      <c r="K13" s="20" t="s">
        <v>103</v>
      </c>
      <c r="L13" s="20" t="s">
        <v>104</v>
      </c>
      <c r="M13" s="20" t="s">
        <v>105</v>
      </c>
      <c r="N13" s="20" t="s">
        <v>106</v>
      </c>
      <c r="O13" s="20" t="s">
        <v>107</v>
      </c>
    </row>
    <row r="14" spans="1:15" x14ac:dyDescent="0.3">
      <c r="A14" s="21" t="s">
        <v>26</v>
      </c>
      <c r="B14" s="22">
        <f>COUNT('Testes estatísticos'!B6:B23)</f>
        <v>18</v>
      </c>
      <c r="C14" s="23">
        <f>AVERAGE('Testes estatísticos'!B6:B23)</f>
        <v>50.268834388888884</v>
      </c>
      <c r="D14" s="23">
        <f>MEDIAN('Testes estatísticos'!B6:B23)</f>
        <v>49.926504000000001</v>
      </c>
      <c r="E14" s="23">
        <f>_xlfn.STDEV.S('Testes estatísticos'!B6:B23)</f>
        <v>3.1670451451491557</v>
      </c>
      <c r="F14" s="23">
        <f>MIN('Testes estatísticos'!B6:B23)</f>
        <v>45.297632999999998</v>
      </c>
      <c r="G14" s="23">
        <f>MAX('Testes estatísticos'!B6:B23)</f>
        <v>54.482655000000001</v>
      </c>
      <c r="H14" s="23">
        <f>QUARTILE('Testes estatísticos'!B6:B23,1)</f>
        <v>48.181953</v>
      </c>
      <c r="I14" s="23">
        <f>QUARTILE('Testes estatísticos'!B6:B23,3)</f>
        <v>52.9937015</v>
      </c>
      <c r="J14" s="23">
        <f t="shared" ref="J14:J21" si="0">I14-H14</f>
        <v>4.8117485000000002</v>
      </c>
      <c r="K14" s="23">
        <f t="shared" ref="K14:K21" si="1">E14/SQRT(B14)</f>
        <v>0.74647969948630066</v>
      </c>
      <c r="L14" s="23">
        <f t="shared" ref="L14:L21" si="2">TINV(0.05,B14-1)</f>
        <v>2.109815577833317</v>
      </c>
      <c r="M14" s="23">
        <f t="shared" ref="M14:M21" si="3">L14*K14</f>
        <v>1.5749344985125302</v>
      </c>
      <c r="N14" s="23">
        <f t="shared" ref="N14:N21" si="4">C14-M14</f>
        <v>48.69389989037635</v>
      </c>
      <c r="O14" s="23">
        <f t="shared" ref="O14:O21" si="5">C14+M14</f>
        <v>51.843768887401417</v>
      </c>
    </row>
    <row r="15" spans="1:15" x14ac:dyDescent="0.3">
      <c r="A15" s="21" t="s">
        <v>42</v>
      </c>
      <c r="B15" s="22">
        <f>COUNT('Testes estatísticos'!B24:B43)</f>
        <v>20</v>
      </c>
      <c r="C15" s="23">
        <f>AVERAGE('Testes estatísticos'!B24:B43)</f>
        <v>46.273133799999997</v>
      </c>
      <c r="D15" s="23">
        <f>MEDIAN('Testes estatísticos'!B24:B43)</f>
        <v>45.062233499999998</v>
      </c>
      <c r="E15" s="23">
        <f>_xlfn.STDEV.S('Testes estatísticos'!B24:B43)</f>
        <v>1.9028096051973586</v>
      </c>
      <c r="F15" s="23">
        <f>MIN('Testes estatísticos'!B24:B43)</f>
        <v>44.793365000000001</v>
      </c>
      <c r="G15" s="23">
        <f>MAX('Testes estatísticos'!B24:B43)</f>
        <v>50.397911000000001</v>
      </c>
      <c r="H15" s="23">
        <f>QUARTILE('Testes estatísticos'!B24:B43,1)</f>
        <v>44.968972999999998</v>
      </c>
      <c r="I15" s="23">
        <f>QUARTILE('Testes estatísticos'!B24:B43,3)</f>
        <v>46.762417249999999</v>
      </c>
      <c r="J15" s="23">
        <f t="shared" si="0"/>
        <v>1.7934442500000003</v>
      </c>
      <c r="K15" s="23">
        <f t="shared" si="1"/>
        <v>0.42548116254608309</v>
      </c>
      <c r="L15" s="23">
        <f t="shared" si="2"/>
        <v>2.0930240544083096</v>
      </c>
      <c r="M15" s="23">
        <f t="shared" si="3"/>
        <v>0.89054230790656386</v>
      </c>
      <c r="N15" s="23">
        <f t="shared" si="4"/>
        <v>45.382591492093432</v>
      </c>
      <c r="O15" s="23">
        <f t="shared" si="5"/>
        <v>47.163676107906561</v>
      </c>
    </row>
    <row r="16" spans="1:15" x14ac:dyDescent="0.3">
      <c r="A16" s="21" t="s">
        <v>56</v>
      </c>
      <c r="B16" s="22">
        <f>COUNT('Testes estatísticos'!B44:B60)</f>
        <v>17</v>
      </c>
      <c r="C16" s="23">
        <f>AVERAGE('Testes estatísticos'!B44:B60)</f>
        <v>48.12438964705882</v>
      </c>
      <c r="D16" s="23">
        <f>MEDIAN('Testes estatísticos'!B44:B60)</f>
        <v>48.137439000000001</v>
      </c>
      <c r="E16" s="23">
        <f>_xlfn.STDEV.S('Testes estatísticos'!B44:B60)</f>
        <v>2.3514481697215857</v>
      </c>
      <c r="F16" s="23">
        <f>MIN('Testes estatísticos'!B44:B60)</f>
        <v>45.230344000000002</v>
      </c>
      <c r="G16" s="23">
        <f>MAX('Testes estatísticos'!B44:B60)</f>
        <v>52.309505000000001</v>
      </c>
      <c r="H16" s="23">
        <f>QUARTILE('Testes estatísticos'!B44:B60,1)</f>
        <v>45.473461999999998</v>
      </c>
      <c r="I16" s="23">
        <f>QUARTILE('Testes estatísticos'!B44:B60,3)</f>
        <v>50.125838000000002</v>
      </c>
      <c r="J16" s="23">
        <f t="shared" si="0"/>
        <v>4.6523760000000038</v>
      </c>
      <c r="K16" s="23">
        <f t="shared" si="1"/>
        <v>0.57030995158396591</v>
      </c>
      <c r="L16" s="23">
        <f t="shared" si="2"/>
        <v>2.119905299221255</v>
      </c>
      <c r="M16" s="23">
        <f t="shared" si="3"/>
        <v>1.2090030885614667</v>
      </c>
      <c r="N16" s="23">
        <f t="shared" si="4"/>
        <v>46.915386558497353</v>
      </c>
      <c r="O16" s="23">
        <f t="shared" si="5"/>
        <v>49.333392735620286</v>
      </c>
    </row>
    <row r="17" spans="1:15" x14ac:dyDescent="0.3">
      <c r="A17" s="21" t="s">
        <v>78</v>
      </c>
      <c r="B17" s="22">
        <f>COUNT('Testes estatísticos'!B61:B75)</f>
        <v>15</v>
      </c>
      <c r="C17" s="23">
        <f>AVERAGE('Testes estatísticos'!B61:B75)</f>
        <v>50.620335999999995</v>
      </c>
      <c r="D17" s="23">
        <f>MEDIAN('Testes estatísticos'!B61:B75)</f>
        <v>50.322401999999997</v>
      </c>
      <c r="E17" s="23">
        <f>_xlfn.STDEV.S('Testes estatísticos'!B61:B75)</f>
        <v>2.6411362218772423</v>
      </c>
      <c r="F17" s="23">
        <f>MIN('Testes estatísticos'!B61:B75)</f>
        <v>46.490771000000002</v>
      </c>
      <c r="G17" s="23">
        <f>MAX('Testes estatísticos'!B61:B75)</f>
        <v>54.488681999999997</v>
      </c>
      <c r="H17" s="23">
        <f>QUARTILE('Testes estatísticos'!B61:B75,1)</f>
        <v>49.602298000000005</v>
      </c>
      <c r="I17" s="23">
        <f>QUARTILE('Testes estatísticos'!B61:B75,3)</f>
        <v>52.297612000000001</v>
      </c>
      <c r="J17" s="23">
        <f t="shared" si="0"/>
        <v>2.6953139999999962</v>
      </c>
      <c r="K17" s="23">
        <f t="shared" si="1"/>
        <v>0.68193844015971572</v>
      </c>
      <c r="L17" s="23">
        <f t="shared" si="2"/>
        <v>2.1447866879178044</v>
      </c>
      <c r="M17" s="23">
        <f t="shared" si="3"/>
        <v>1.4626124884339906</v>
      </c>
      <c r="N17" s="23">
        <f t="shared" si="4"/>
        <v>49.157723511566005</v>
      </c>
      <c r="O17" s="23">
        <f t="shared" si="5"/>
        <v>52.082948488433985</v>
      </c>
    </row>
    <row r="18" spans="1:15" x14ac:dyDescent="0.3">
      <c r="A18" s="21" t="s">
        <v>87</v>
      </c>
      <c r="B18" s="22">
        <f>COUNT('Testes estatísticos'!B76:B95)</f>
        <v>20</v>
      </c>
      <c r="C18" s="23">
        <f>AVERAGE('Testes estatísticos'!B76:B95)</f>
        <v>50.888971599999991</v>
      </c>
      <c r="D18" s="23">
        <f>MEDIAN('Testes estatísticos'!B76:B95)</f>
        <v>50.16863</v>
      </c>
      <c r="E18" s="23">
        <f>_xlfn.STDEV.S('Testes estatísticos'!B76:B95)</f>
        <v>1.5545821950069647</v>
      </c>
      <c r="F18" s="23">
        <f>MIN('Testes estatísticos'!B76:B95)</f>
        <v>49.151743000000003</v>
      </c>
      <c r="G18" s="23">
        <f>MAX('Testes estatísticos'!B76:B95)</f>
        <v>56.114477999999998</v>
      </c>
      <c r="H18" s="23">
        <f>QUARTILE('Testes estatísticos'!B76:B95,1)</f>
        <v>50.042400000000001</v>
      </c>
      <c r="I18" s="23">
        <f>QUARTILE('Testes estatísticos'!B76:B95,3)</f>
        <v>51.5975635</v>
      </c>
      <c r="J18" s="23">
        <f t="shared" si="0"/>
        <v>1.555163499999999</v>
      </c>
      <c r="K18" s="23">
        <f t="shared" si="1"/>
        <v>0.3476151464646407</v>
      </c>
      <c r="L18" s="23">
        <f t="shared" si="2"/>
        <v>2.0930240544083096</v>
      </c>
      <c r="M18" s="23">
        <f t="shared" si="3"/>
        <v>0.72756686322716069</v>
      </c>
      <c r="N18" s="23">
        <f t="shared" si="4"/>
        <v>50.16140473677283</v>
      </c>
      <c r="O18" s="23">
        <f t="shared" si="5"/>
        <v>51.616538463227151</v>
      </c>
    </row>
    <row r="19" spans="1:15" x14ac:dyDescent="0.3">
      <c r="A19" s="21" t="s">
        <v>88</v>
      </c>
      <c r="B19" s="22">
        <f>COUNT('Testes estatísticos'!B96:B110)</f>
        <v>15</v>
      </c>
      <c r="C19" s="23">
        <f>AVERAGE('Testes estatísticos'!B96:B110)</f>
        <v>51.017659266666662</v>
      </c>
      <c r="D19" s="23">
        <f>MEDIAN('Testes estatísticos'!B96:B110)</f>
        <v>50.907725999999997</v>
      </c>
      <c r="E19" s="23">
        <f>_xlfn.STDEV.S('Testes estatísticos'!B96:B110)</f>
        <v>0.27498312596606117</v>
      </c>
      <c r="F19" s="23">
        <f>MIN('Testes estatísticos'!B96:B110)</f>
        <v>50.651344999999999</v>
      </c>
      <c r="G19" s="23">
        <f>MAX('Testes estatísticos'!B96:B110)</f>
        <v>51.598370000000003</v>
      </c>
      <c r="H19" s="23">
        <f>QUARTILE('Testes estatísticos'!B96:B110,1)</f>
        <v>50.829741499999997</v>
      </c>
      <c r="I19" s="23">
        <f>QUARTILE('Testes estatísticos'!B96:B110,3)</f>
        <v>51.177814999999995</v>
      </c>
      <c r="J19" s="23">
        <f t="shared" si="0"/>
        <v>0.34807349999999815</v>
      </c>
      <c r="K19" s="23">
        <f t="shared" si="1"/>
        <v>7.100033782364075E-2</v>
      </c>
      <c r="L19" s="23">
        <f t="shared" si="2"/>
        <v>2.1447866879178044</v>
      </c>
      <c r="M19" s="23">
        <f t="shared" si="3"/>
        <v>0.15228057940181167</v>
      </c>
      <c r="N19" s="23">
        <f t="shared" si="4"/>
        <v>50.865378687264851</v>
      </c>
      <c r="O19" s="23">
        <f t="shared" si="5"/>
        <v>51.169939846068473</v>
      </c>
    </row>
    <row r="20" spans="1:15" x14ac:dyDescent="0.3">
      <c r="A20" s="21" t="s">
        <v>89</v>
      </c>
      <c r="B20" s="22">
        <f>COUNT('Testes estatísticos'!B111:B126)</f>
        <v>16</v>
      </c>
      <c r="C20" s="23">
        <f>AVERAGE('Testes estatísticos'!B111:B126)</f>
        <v>47.863755249999997</v>
      </c>
      <c r="D20" s="23">
        <f>MEDIAN('Testes estatísticos'!B111:B126)</f>
        <v>47.166024</v>
      </c>
      <c r="E20" s="23">
        <f>_xlfn.STDEV.S('Testes estatísticos'!B111:B126)</f>
        <v>2.7910771650939723</v>
      </c>
      <c r="F20" s="23">
        <f>MIN('Testes estatísticos'!B111:B126)</f>
        <v>47.047638999999997</v>
      </c>
      <c r="G20" s="23">
        <f>MAX('Testes estatísticos'!B111:B126)</f>
        <v>58.322647000000003</v>
      </c>
      <c r="H20" s="23">
        <f>QUARTILE('Testes estatísticos'!B111:B126,1)</f>
        <v>47.088555249999999</v>
      </c>
      <c r="I20" s="23">
        <f>QUARTILE('Testes estatísticos'!B111:B126,3)</f>
        <v>47.226414249999998</v>
      </c>
      <c r="J20" s="23">
        <f t="shared" si="0"/>
        <v>0.13785899999999884</v>
      </c>
      <c r="K20" s="23">
        <f t="shared" si="1"/>
        <v>0.69776929127349308</v>
      </c>
      <c r="L20" s="23">
        <f t="shared" si="2"/>
        <v>2.1314495455597742</v>
      </c>
      <c r="M20" s="23">
        <f t="shared" si="3"/>
        <v>1.4872600387904524</v>
      </c>
      <c r="N20" s="23">
        <f t="shared" si="4"/>
        <v>46.376495211209544</v>
      </c>
      <c r="O20" s="23">
        <f t="shared" si="5"/>
        <v>49.35101528879045</v>
      </c>
    </row>
    <row r="21" spans="1:15" x14ac:dyDescent="0.3">
      <c r="A21" s="21" t="s">
        <v>90</v>
      </c>
      <c r="B21" s="22">
        <f>COUNT('Testes estatísticos'!B127:B143)</f>
        <v>17</v>
      </c>
      <c r="C21" s="23">
        <f>AVERAGE('Testes estatísticos'!B127:B143)</f>
        <v>50.65822582352942</v>
      </c>
      <c r="D21" s="23">
        <f>MEDIAN('Testes estatísticos'!B127:B143)</f>
        <v>48.943416999999997</v>
      </c>
      <c r="E21" s="23">
        <f>_xlfn.STDEV.S('Testes estatísticos'!B127:B143)</f>
        <v>3.9967509859968007</v>
      </c>
      <c r="F21" s="23">
        <f>MIN('Testes estatísticos'!B127:B143)</f>
        <v>47.249070000000003</v>
      </c>
      <c r="G21" s="23">
        <f>MAX('Testes estatísticos'!B127:B143)</f>
        <v>60.471984999999997</v>
      </c>
      <c r="H21" s="23">
        <f>QUARTILE('Testes estatísticos'!B127:B143,1)</f>
        <v>48.814802999999998</v>
      </c>
      <c r="I21" s="23">
        <f>QUARTILE('Testes estatísticos'!B127:B143,3)</f>
        <v>53.423732000000001</v>
      </c>
      <c r="J21" s="23">
        <f t="shared" si="0"/>
        <v>4.6089290000000034</v>
      </c>
      <c r="K21" s="23">
        <f t="shared" si="1"/>
        <v>0.96935449850331412</v>
      </c>
      <c r="L21" s="23">
        <f t="shared" si="2"/>
        <v>2.119905299221255</v>
      </c>
      <c r="M21" s="23">
        <f t="shared" si="3"/>
        <v>2.0549397382011376</v>
      </c>
      <c r="N21" s="23">
        <f t="shared" si="4"/>
        <v>48.603286085328286</v>
      </c>
      <c r="O21" s="23">
        <f t="shared" si="5"/>
        <v>52.713165561730555</v>
      </c>
    </row>
    <row r="24" spans="1:15" x14ac:dyDescent="0.3">
      <c r="A24" s="19" t="s">
        <v>113</v>
      </c>
    </row>
    <row r="25" spans="1:15" ht="25.5" customHeight="1" x14ac:dyDescent="0.3">
      <c r="A25" s="20" t="s">
        <v>94</v>
      </c>
      <c r="B25" s="20" t="s">
        <v>62</v>
      </c>
      <c r="C25" s="20" t="s">
        <v>95</v>
      </c>
      <c r="D25" s="20" t="s">
        <v>96</v>
      </c>
      <c r="E25" s="20" t="s">
        <v>97</v>
      </c>
      <c r="F25" s="20" t="s">
        <v>98</v>
      </c>
      <c r="G25" s="20" t="s">
        <v>99</v>
      </c>
      <c r="H25" s="20" t="s">
        <v>100</v>
      </c>
      <c r="I25" s="20" t="s">
        <v>101</v>
      </c>
      <c r="J25" s="20" t="s">
        <v>102</v>
      </c>
      <c r="K25" s="20" t="s">
        <v>103</v>
      </c>
      <c r="L25" s="20" t="s">
        <v>104</v>
      </c>
      <c r="M25" s="20" t="s">
        <v>105</v>
      </c>
      <c r="N25" s="20" t="s">
        <v>106</v>
      </c>
      <c r="O25" s="20" t="s">
        <v>107</v>
      </c>
    </row>
    <row r="26" spans="1:15" x14ac:dyDescent="0.3">
      <c r="A26" s="21" t="s">
        <v>26</v>
      </c>
      <c r="B26" s="22">
        <f>COUNT('Testes estatísticos'!C6:C23)</f>
        <v>18</v>
      </c>
      <c r="C26" s="23">
        <f>AVERAGE('Testes estatísticos'!C6:C23)</f>
        <v>47.949944444444448</v>
      </c>
      <c r="D26" s="23">
        <f>MEDIAN('Testes estatísticos'!C6:C23)</f>
        <v>48.177999999999997</v>
      </c>
      <c r="E26" s="23">
        <f>_xlfn.STDEV.S('Testes estatísticos'!C6:C23)</f>
        <v>3.2030431205380521</v>
      </c>
      <c r="F26" s="23">
        <f>MIN('Testes estatísticos'!C6:C23)</f>
        <v>43.218000000000004</v>
      </c>
      <c r="G26" s="23">
        <f>MAX('Testes estatísticos'!C6:C23)</f>
        <v>53.615000000000002</v>
      </c>
      <c r="H26" s="23">
        <f>QUARTILE('Testes estatísticos'!C6:C23,1)</f>
        <v>46.110750000000003</v>
      </c>
      <c r="I26" s="23">
        <f>QUARTILE('Testes estatísticos'!C6:C23,3)</f>
        <v>49.883250000000004</v>
      </c>
      <c r="J26" s="23">
        <f t="shared" ref="J26:J33" si="6">I26-H26</f>
        <v>3.7725000000000009</v>
      </c>
      <c r="K26" s="23">
        <f t="shared" ref="K26:K33" si="7">E26/SQRT(B26)</f>
        <v>0.75496450365512568</v>
      </c>
      <c r="L26" s="23">
        <f t="shared" ref="L26:L33" si="8">TINV(0.05,B26-1)</f>
        <v>2.109815577833317</v>
      </c>
      <c r="M26" s="23">
        <f t="shared" ref="M26:M33" si="9">L26*K26</f>
        <v>1.5928358705227823</v>
      </c>
      <c r="N26" s="23">
        <f t="shared" ref="N26:N33" si="10">C26-M26</f>
        <v>46.357108573921664</v>
      </c>
      <c r="O26" s="23">
        <f t="shared" ref="O26:O33" si="11">C26+M26</f>
        <v>49.542780314967231</v>
      </c>
    </row>
    <row r="27" spans="1:15" x14ac:dyDescent="0.3">
      <c r="A27" s="21" t="s">
        <v>42</v>
      </c>
      <c r="B27" s="22">
        <f>COUNT('Testes estatísticos'!C24:C43)</f>
        <v>20</v>
      </c>
      <c r="C27" s="23">
        <f>AVERAGE('Testes estatísticos'!C24:C43)</f>
        <v>43.814483750000001</v>
      </c>
      <c r="D27" s="23">
        <f>MEDIAN('Testes estatísticos'!C24:C43)</f>
        <v>42.806956999999997</v>
      </c>
      <c r="E27" s="23">
        <f>_xlfn.STDEV.S('Testes estatísticos'!C24:C43)</f>
        <v>1.8668580555156205</v>
      </c>
      <c r="F27" s="23">
        <f>MIN('Testes estatísticos'!C24:C43)</f>
        <v>42.650283999999999</v>
      </c>
      <c r="G27" s="23">
        <f>MAX('Testes estatísticos'!C24:C43)</f>
        <v>48.329301999999998</v>
      </c>
      <c r="H27" s="23">
        <f>QUARTILE('Testes estatísticos'!C24:C43,1)</f>
        <v>42.735580249999998</v>
      </c>
      <c r="I27" s="23">
        <f>QUARTILE('Testes estatísticos'!C24:C43,3)</f>
        <v>44.280104249999994</v>
      </c>
      <c r="J27" s="23">
        <f t="shared" si="6"/>
        <v>1.5445239999999956</v>
      </c>
      <c r="K27" s="23">
        <f t="shared" si="7"/>
        <v>0.41744215164760035</v>
      </c>
      <c r="L27" s="23">
        <f t="shared" si="8"/>
        <v>2.0930240544083096</v>
      </c>
      <c r="M27" s="23">
        <f t="shared" si="9"/>
        <v>0.87371646472238895</v>
      </c>
      <c r="N27" s="23">
        <f t="shared" si="10"/>
        <v>42.940767285277609</v>
      </c>
      <c r="O27" s="23">
        <f t="shared" si="11"/>
        <v>44.688200214722393</v>
      </c>
    </row>
    <row r="28" spans="1:15" x14ac:dyDescent="0.3">
      <c r="A28" s="21" t="s">
        <v>56</v>
      </c>
      <c r="B28" s="22">
        <f>COUNT('Testes estatísticos'!C44:C60)</f>
        <v>17</v>
      </c>
      <c r="C28" s="23">
        <f>AVERAGE('Testes estatísticos'!C44:C60)</f>
        <v>46.989981470588241</v>
      </c>
      <c r="D28" s="23">
        <f>MEDIAN('Testes estatísticos'!C44:C60)</f>
        <v>45.612313</v>
      </c>
      <c r="E28" s="23">
        <f>_xlfn.STDEV.S('Testes estatísticos'!C44:C60)</f>
        <v>4.1399701023044102</v>
      </c>
      <c r="F28" s="23">
        <f>MIN('Testes estatísticos'!C44:C60)</f>
        <v>43.715068000000002</v>
      </c>
      <c r="G28" s="23">
        <f>MAX('Testes estatísticos'!C44:C60)</f>
        <v>55.879503999999997</v>
      </c>
      <c r="H28" s="23">
        <f>QUARTILE('Testes estatísticos'!C44:C60,1)</f>
        <v>43.975354000000003</v>
      </c>
      <c r="I28" s="23">
        <f>QUARTILE('Testes estatísticos'!C44:C60,3)</f>
        <v>48.536520000000003</v>
      </c>
      <c r="J28" s="23">
        <f t="shared" si="6"/>
        <v>4.5611660000000001</v>
      </c>
      <c r="K28" s="23">
        <f t="shared" si="7"/>
        <v>1.0040902363941315</v>
      </c>
      <c r="L28" s="23">
        <f t="shared" si="8"/>
        <v>2.119905299221255</v>
      </c>
      <c r="M28" s="23">
        <f t="shared" si="9"/>
        <v>2.128576213028242</v>
      </c>
      <c r="N28" s="23">
        <f t="shared" si="10"/>
        <v>44.861405257560001</v>
      </c>
      <c r="O28" s="23">
        <f t="shared" si="11"/>
        <v>49.11855768361648</v>
      </c>
    </row>
    <row r="29" spans="1:15" x14ac:dyDescent="0.3">
      <c r="A29" s="21" t="s">
        <v>78</v>
      </c>
      <c r="B29" s="22">
        <f>COUNT('Testes estatísticos'!C61:C75)</f>
        <v>15</v>
      </c>
      <c r="C29" s="23">
        <f>AVERAGE('Testes estatísticos'!C61:C75)</f>
        <v>49.261626600000007</v>
      </c>
      <c r="D29" s="23">
        <f>MEDIAN('Testes estatísticos'!C61:C75)</f>
        <v>48.941153</v>
      </c>
      <c r="E29" s="23">
        <f>_xlfn.STDEV.S('Testes estatísticos'!C61:C75)</f>
        <v>3.178369327971855</v>
      </c>
      <c r="F29" s="23">
        <f>MIN('Testes estatísticos'!C61:C75)</f>
        <v>43.675382999999997</v>
      </c>
      <c r="G29" s="23">
        <f>MAX('Testes estatísticos'!C61:C75)</f>
        <v>53.955050999999997</v>
      </c>
      <c r="H29" s="23">
        <f>QUARTILE('Testes estatísticos'!C61:C75,1)</f>
        <v>47.4866235</v>
      </c>
      <c r="I29" s="23">
        <f>QUARTILE('Testes estatísticos'!C61:C75,3)</f>
        <v>51.864557500000004</v>
      </c>
      <c r="J29" s="23">
        <f t="shared" si="6"/>
        <v>4.3779340000000033</v>
      </c>
      <c r="K29" s="23">
        <f t="shared" si="7"/>
        <v>0.82065143168876353</v>
      </c>
      <c r="L29" s="23">
        <f t="shared" si="8"/>
        <v>2.1447866879178044</v>
      </c>
      <c r="M29" s="23">
        <f t="shared" si="9"/>
        <v>1.7601222661067475</v>
      </c>
      <c r="N29" s="23">
        <f t="shared" si="10"/>
        <v>47.501504333893259</v>
      </c>
      <c r="O29" s="23">
        <f t="shared" si="11"/>
        <v>51.021748866106755</v>
      </c>
    </row>
    <row r="30" spans="1:15" x14ac:dyDescent="0.3">
      <c r="A30" s="21" t="s">
        <v>87</v>
      </c>
      <c r="B30" s="22">
        <f>COUNT('Testes estatísticos'!C76:C95)</f>
        <v>20</v>
      </c>
      <c r="C30" s="23">
        <f>AVERAGE('Testes estatísticos'!C76:C95)</f>
        <v>47.742952850000009</v>
      </c>
      <c r="D30" s="23">
        <f>MEDIAN('Testes estatísticos'!C76:C95)</f>
        <v>46.922505999999998</v>
      </c>
      <c r="E30" s="23">
        <f>_xlfn.STDEV.S('Testes estatísticos'!C76:C95)</f>
        <v>2.9635510507618394</v>
      </c>
      <c r="F30" s="23">
        <f>MIN('Testes estatísticos'!C76:C95)</f>
        <v>45.363616</v>
      </c>
      <c r="G30" s="23">
        <f>MAX('Testes estatísticos'!C76:C95)</f>
        <v>55.880271999999998</v>
      </c>
      <c r="H30" s="23">
        <f>QUARTILE('Testes estatísticos'!C76:C95,1)</f>
        <v>45.967743499999997</v>
      </c>
      <c r="I30" s="23">
        <f>QUARTILE('Testes estatísticos'!C76:C95,3)</f>
        <v>47.735730750000002</v>
      </c>
      <c r="J30" s="23">
        <f t="shared" si="6"/>
        <v>1.7679872500000045</v>
      </c>
      <c r="K30" s="23">
        <f t="shared" si="7"/>
        <v>0.66267016042944027</v>
      </c>
      <c r="L30" s="23">
        <f t="shared" si="8"/>
        <v>2.0930240544083096</v>
      </c>
      <c r="M30" s="23">
        <f t="shared" si="9"/>
        <v>1.3869845859174321</v>
      </c>
      <c r="N30" s="23">
        <f t="shared" si="10"/>
        <v>46.355968264082577</v>
      </c>
      <c r="O30" s="23">
        <f t="shared" si="11"/>
        <v>49.129937435917441</v>
      </c>
    </row>
    <row r="31" spans="1:15" x14ac:dyDescent="0.3">
      <c r="A31" s="21" t="s">
        <v>88</v>
      </c>
      <c r="B31" s="22">
        <f>COUNT('Testes estatísticos'!C96:C110)</f>
        <v>15</v>
      </c>
      <c r="C31" s="23">
        <f>AVERAGE('Testes estatísticos'!C96:C110)</f>
        <v>47.479287533333327</v>
      </c>
      <c r="D31" s="23">
        <f>MEDIAN('Testes estatísticos'!C96:C110)</f>
        <v>47.074399</v>
      </c>
      <c r="E31" s="23">
        <f>_xlfn.STDEV.S('Testes estatísticos'!C96:C110)</f>
        <v>1.1440191346824995</v>
      </c>
      <c r="F31" s="23">
        <f>MIN('Testes estatísticos'!C96:C110)</f>
        <v>46.964322000000003</v>
      </c>
      <c r="G31" s="23">
        <f>MAX('Testes estatísticos'!C96:C110)</f>
        <v>51.5289</v>
      </c>
      <c r="H31" s="23">
        <f>QUARTILE('Testes estatísticos'!C96:C110,1)</f>
        <v>47.011245000000002</v>
      </c>
      <c r="I31" s="23">
        <f>QUARTILE('Testes estatísticos'!C96:C110,3)</f>
        <v>47.450646000000006</v>
      </c>
      <c r="J31" s="23">
        <f t="shared" si="6"/>
        <v>0.43940100000000371</v>
      </c>
      <c r="K31" s="23">
        <f t="shared" si="7"/>
        <v>0.29538447042452937</v>
      </c>
      <c r="L31" s="23">
        <f t="shared" si="8"/>
        <v>2.1447866879178044</v>
      </c>
      <c r="M31" s="23">
        <f t="shared" si="9"/>
        <v>0.63353667998418095</v>
      </c>
      <c r="N31" s="23">
        <f t="shared" si="10"/>
        <v>46.845750853349145</v>
      </c>
      <c r="O31" s="23">
        <f t="shared" si="11"/>
        <v>48.112824213317509</v>
      </c>
    </row>
    <row r="32" spans="1:15" x14ac:dyDescent="0.3">
      <c r="A32" s="21" t="s">
        <v>89</v>
      </c>
      <c r="B32" s="22">
        <f>COUNT('Testes estatísticos'!C111:C126)</f>
        <v>16</v>
      </c>
      <c r="C32" s="23">
        <f>AVERAGE('Testes estatísticos'!C111:C126)</f>
        <v>46.578390875000004</v>
      </c>
      <c r="D32" s="23">
        <f>MEDIAN('Testes estatísticos'!C111:C126)</f>
        <v>45.036304999999999</v>
      </c>
      <c r="E32" s="23">
        <f>_xlfn.STDEV.S('Testes estatísticos'!C111:C126)</f>
        <v>3.3892838330294475</v>
      </c>
      <c r="F32" s="23">
        <f>MIN('Testes estatísticos'!C111:C126)</f>
        <v>44.921168000000002</v>
      </c>
      <c r="G32" s="23">
        <f>MAX('Testes estatísticos'!C111:C126)</f>
        <v>56.05236</v>
      </c>
      <c r="H32" s="23">
        <f>QUARTILE('Testes estatísticos'!C111:C126,1)</f>
        <v>45.001780750000002</v>
      </c>
      <c r="I32" s="23">
        <f>QUARTILE('Testes estatísticos'!C111:C126,3)</f>
        <v>45.250194749999999</v>
      </c>
      <c r="J32" s="23">
        <f t="shared" si="6"/>
        <v>0.2484139999999968</v>
      </c>
      <c r="K32" s="23">
        <f t="shared" si="7"/>
        <v>0.84732095825736187</v>
      </c>
      <c r="L32" s="23">
        <f t="shared" si="8"/>
        <v>2.1314495455597742</v>
      </c>
      <c r="M32" s="23">
        <f t="shared" si="9"/>
        <v>1.8060218714209264</v>
      </c>
      <c r="N32" s="23">
        <f t="shared" si="10"/>
        <v>44.77236900357908</v>
      </c>
      <c r="O32" s="23">
        <f t="shared" si="11"/>
        <v>48.384412746420928</v>
      </c>
    </row>
    <row r="33" spans="1:15" x14ac:dyDescent="0.3">
      <c r="A33" s="21" t="s">
        <v>90</v>
      </c>
      <c r="B33" s="22">
        <f>COUNT('Testes estatísticos'!C127:C143)</f>
        <v>17</v>
      </c>
      <c r="C33" s="23">
        <f>AVERAGE('Testes estatísticos'!C127:C143)</f>
        <v>46.94442688235295</v>
      </c>
      <c r="D33" s="23">
        <f>MEDIAN('Testes estatísticos'!C127:C143)</f>
        <v>46.732588999999997</v>
      </c>
      <c r="E33" s="23">
        <f>_xlfn.STDEV.S('Testes estatísticos'!C127:C143)</f>
        <v>2.6172792113963705</v>
      </c>
      <c r="F33" s="23">
        <f>MIN('Testes estatísticos'!C127:C143)</f>
        <v>45.050001000000002</v>
      </c>
      <c r="G33" s="23">
        <f>MAX('Testes estatísticos'!C127:C143)</f>
        <v>55.756135999999998</v>
      </c>
      <c r="H33" s="23">
        <f>QUARTILE('Testes estatísticos'!C127:C143,1)</f>
        <v>45.117578999999999</v>
      </c>
      <c r="I33" s="23">
        <f>QUARTILE('Testes estatísticos'!C127:C143,3)</f>
        <v>47.535027999999997</v>
      </c>
      <c r="J33" s="23">
        <f t="shared" si="6"/>
        <v>2.4174489999999977</v>
      </c>
      <c r="K33" s="23">
        <f t="shared" si="7"/>
        <v>0.63478344943061937</v>
      </c>
      <c r="L33" s="23">
        <f t="shared" si="8"/>
        <v>2.119905299221255</v>
      </c>
      <c r="M33" s="23">
        <f t="shared" si="9"/>
        <v>1.3456807983059176</v>
      </c>
      <c r="N33" s="23">
        <f t="shared" si="10"/>
        <v>45.598746084047029</v>
      </c>
      <c r="O33" s="23">
        <f t="shared" si="11"/>
        <v>48.29010768065887</v>
      </c>
    </row>
    <row r="36" spans="1:15" x14ac:dyDescent="0.3">
      <c r="A36" s="19" t="s">
        <v>114</v>
      </c>
    </row>
    <row r="37" spans="1:15" ht="25.5" customHeight="1" x14ac:dyDescent="0.3">
      <c r="A37" s="20" t="s">
        <v>94</v>
      </c>
      <c r="B37" s="20" t="s">
        <v>62</v>
      </c>
      <c r="C37" s="20" t="s">
        <v>95</v>
      </c>
      <c r="D37" s="20" t="s">
        <v>96</v>
      </c>
      <c r="E37" s="20" t="s">
        <v>97</v>
      </c>
      <c r="F37" s="20" t="s">
        <v>98</v>
      </c>
      <c r="G37" s="20" t="s">
        <v>99</v>
      </c>
      <c r="H37" s="20" t="s">
        <v>100</v>
      </c>
      <c r="I37" s="20" t="s">
        <v>101</v>
      </c>
      <c r="J37" s="20" t="s">
        <v>102</v>
      </c>
      <c r="K37" s="20" t="s">
        <v>103</v>
      </c>
      <c r="L37" s="20" t="s">
        <v>104</v>
      </c>
      <c r="M37" s="20" t="s">
        <v>105</v>
      </c>
      <c r="N37" s="20" t="s">
        <v>106</v>
      </c>
      <c r="O37" s="20" t="s">
        <v>107</v>
      </c>
    </row>
    <row r="38" spans="1:15" x14ac:dyDescent="0.3">
      <c r="A38" s="21" t="s">
        <v>26</v>
      </c>
      <c r="B38" s="22">
        <f>COUNT('Testes estatísticos'!D6:D23)</f>
        <v>18</v>
      </c>
      <c r="C38" s="23">
        <f>AVERAGE('Testes estatísticos'!D6:D23)</f>
        <v>-2.3188899444444444</v>
      </c>
      <c r="D38" s="23">
        <f>MEDIAN('Testes estatísticos'!D6:D23)</f>
        <v>-1.5550704999999994</v>
      </c>
      <c r="E38" s="23">
        <f>_xlfn.STDEV.S('Testes estatísticos'!D6:D23)</f>
        <v>4.6598987107124028</v>
      </c>
      <c r="F38" s="23">
        <f>MIN('Testes estatísticos'!D6:D23)</f>
        <v>-11.033655000000003</v>
      </c>
      <c r="G38" s="23">
        <f>MAX('Testes estatísticos'!D6:D23)</f>
        <v>4.7130879999999991</v>
      </c>
      <c r="H38" s="23">
        <f>QUARTILE('Testes estatísticos'!D6:D23,1)</f>
        <v>-6.0675905000000014</v>
      </c>
      <c r="I38" s="23">
        <f>QUARTILE('Testes estatísticos'!D6:D23,3)</f>
        <v>0.55626499999999979</v>
      </c>
      <c r="J38" s="23">
        <f t="shared" ref="J38:J45" si="12">I38-H38</f>
        <v>6.6238555000000012</v>
      </c>
      <c r="K38" s="23">
        <f t="shared" ref="K38:K45" si="13">E38/SQRT(B38)</f>
        <v>1.0983486593290634</v>
      </c>
      <c r="L38" s="23">
        <f t="shared" ref="L38:L45" si="14">TINV(0.05,B38-1)</f>
        <v>2.109815577833317</v>
      </c>
      <c r="M38" s="23">
        <f t="shared" ref="M38:M45" si="15">L38*K38</f>
        <v>2.3173131113447969</v>
      </c>
      <c r="N38" s="23">
        <f t="shared" ref="N38:N45" si="16">C38-M38</f>
        <v>-4.6362030557892417</v>
      </c>
      <c r="O38" s="23">
        <f t="shared" ref="O38:O45" si="17">C38+M38</f>
        <v>-1.5768330996475122E-3</v>
      </c>
    </row>
    <row r="39" spans="1:15" x14ac:dyDescent="0.3">
      <c r="A39" s="21" t="s">
        <v>42</v>
      </c>
      <c r="B39" s="22">
        <f>COUNT('Testes estatísticos'!D24:D43)</f>
        <v>20</v>
      </c>
      <c r="C39" s="23">
        <f>AVERAGE('Testes estatísticos'!D24:D43)</f>
        <v>-2.4586500500000001</v>
      </c>
      <c r="D39" s="23">
        <f>MEDIAN('Testes estatísticos'!D24:D43)</f>
        <v>-2.2718505000000029</v>
      </c>
      <c r="E39" s="23">
        <f>_xlfn.STDEV.S('Testes estatísticos'!D24:D43)</f>
        <v>2.3336162685334627</v>
      </c>
      <c r="F39" s="23">
        <f>MIN('Testes estatísticos'!D24:D43)</f>
        <v>-7.353047999999994</v>
      </c>
      <c r="G39" s="23">
        <f>MAX('Testes estatísticos'!D24:D43)</f>
        <v>3.3726440000000011</v>
      </c>
      <c r="H39" s="23">
        <f>QUARTILE('Testes estatísticos'!D24:D43,1)</f>
        <v>-3.6537927499999991</v>
      </c>
      <c r="I39" s="23">
        <f>QUARTILE('Testes estatísticos'!D24:D43,3)</f>
        <v>-2.1092304999999989</v>
      </c>
      <c r="J39" s="23">
        <f t="shared" si="12"/>
        <v>1.5445622500000002</v>
      </c>
      <c r="K39" s="23">
        <f t="shared" si="13"/>
        <v>0.52181246098402256</v>
      </c>
      <c r="L39" s="23">
        <f t="shared" si="14"/>
        <v>2.0930240544083096</v>
      </c>
      <c r="M39" s="23">
        <f t="shared" si="15"/>
        <v>1.0921660327295568</v>
      </c>
      <c r="N39" s="23">
        <f t="shared" si="16"/>
        <v>-3.5508160827295567</v>
      </c>
      <c r="O39" s="23">
        <f t="shared" si="17"/>
        <v>-1.3664840172704433</v>
      </c>
    </row>
    <row r="40" spans="1:15" x14ac:dyDescent="0.3">
      <c r="A40" s="21" t="s">
        <v>56</v>
      </c>
      <c r="B40" s="22">
        <f>COUNT('Testes estatísticos'!D44:D60)</f>
        <v>17</v>
      </c>
      <c r="C40" s="23">
        <f>AVERAGE('Testes estatísticos'!D44:D60)</f>
        <v>-1.134408176470588</v>
      </c>
      <c r="D40" s="23">
        <f>MEDIAN('Testes estatísticos'!D44:D60)</f>
        <v>-1.2549899999999994</v>
      </c>
      <c r="E40" s="23">
        <f>_xlfn.STDEV.S('Testes estatísticos'!D44:D60)</f>
        <v>3.3694981530588728</v>
      </c>
      <c r="F40" s="23">
        <f>MIN('Testes estatísticos'!D44:D60)</f>
        <v>-6.7214710000000011</v>
      </c>
      <c r="G40" s="23">
        <f>MAX('Testes estatísticos'!D44:D60)</f>
        <v>4.7588119999999989</v>
      </c>
      <c r="H40" s="23">
        <f>QUARTILE('Testes estatísticos'!D44:D60,1)</f>
        <v>-2.9336059999999975</v>
      </c>
      <c r="I40" s="23">
        <f>QUARTILE('Testes estatísticos'!D44:D60,3)</f>
        <v>0.40675500000000397</v>
      </c>
      <c r="J40" s="23">
        <f t="shared" si="12"/>
        <v>3.3403610000000015</v>
      </c>
      <c r="K40" s="23">
        <f t="shared" si="13"/>
        <v>0.81722334061090329</v>
      </c>
      <c r="L40" s="23">
        <f t="shared" si="14"/>
        <v>2.119905299221255</v>
      </c>
      <c r="M40" s="23">
        <f t="shared" si="15"/>
        <v>1.7324360904083507</v>
      </c>
      <c r="N40" s="23">
        <f t="shared" si="16"/>
        <v>-2.8668442668789389</v>
      </c>
      <c r="O40" s="23">
        <f t="shared" si="17"/>
        <v>0.59802791393776267</v>
      </c>
    </row>
    <row r="41" spans="1:15" x14ac:dyDescent="0.3">
      <c r="A41" s="21" t="s">
        <v>78</v>
      </c>
      <c r="B41" s="22">
        <f>COUNT('Testes estatísticos'!D61:D75)</f>
        <v>15</v>
      </c>
      <c r="C41" s="23">
        <f>AVERAGE('Testes estatísticos'!D61:D75)</f>
        <v>-1.3587094000000008</v>
      </c>
      <c r="D41" s="23">
        <f>MEDIAN('Testes estatísticos'!D61:D75)</f>
        <v>-0.50112499999999471</v>
      </c>
      <c r="E41" s="23">
        <f>_xlfn.STDEV.S('Testes estatísticos'!D61:D75)</f>
        <v>3.9345247621506032</v>
      </c>
      <c r="F41" s="23">
        <f>MIN('Testes estatísticos'!D61:D75)</f>
        <v>-8.456940000000003</v>
      </c>
      <c r="G41" s="23">
        <f>MAX('Testes estatísticos'!D61:D75)</f>
        <v>3.5010789999999972</v>
      </c>
      <c r="H41" s="23">
        <f>QUARTILE('Testes estatísticos'!D61:D75,1)</f>
        <v>-4.0311479999999982</v>
      </c>
      <c r="I41" s="23">
        <f>QUARTILE('Testes estatísticos'!D61:D75,3)</f>
        <v>1.3416124999999965</v>
      </c>
      <c r="J41" s="23">
        <f t="shared" si="12"/>
        <v>5.3727604999999947</v>
      </c>
      <c r="K41" s="23">
        <f t="shared" si="13"/>
        <v>1.0158899252699989</v>
      </c>
      <c r="L41" s="23">
        <f t="shared" si="14"/>
        <v>2.1447866879178044</v>
      </c>
      <c r="M41" s="23">
        <f t="shared" si="15"/>
        <v>2.1788671881089066</v>
      </c>
      <c r="N41" s="23">
        <f t="shared" si="16"/>
        <v>-3.5375765881089074</v>
      </c>
      <c r="O41" s="23">
        <f t="shared" si="17"/>
        <v>0.82015778810890572</v>
      </c>
    </row>
    <row r="42" spans="1:15" x14ac:dyDescent="0.3">
      <c r="A42" s="21" t="s">
        <v>87</v>
      </c>
      <c r="B42" s="22">
        <f>COUNT('Testes estatísticos'!D76:D95)</f>
        <v>20</v>
      </c>
      <c r="C42" s="23">
        <f>AVERAGE('Testes estatísticos'!D76:D95)</f>
        <v>-3.1460187500000005</v>
      </c>
      <c r="D42" s="23">
        <f>MEDIAN('Testes estatísticos'!D76:D95)</f>
        <v>-3.4062355000000046</v>
      </c>
      <c r="E42" s="23">
        <f>_xlfn.STDEV.S('Testes estatísticos'!D76:D95)</f>
        <v>3.2701672216050488</v>
      </c>
      <c r="F42" s="23">
        <f>MIN('Testes estatísticos'!D76:D95)</f>
        <v>-8.4063209999999984</v>
      </c>
      <c r="G42" s="23">
        <f>MAX('Testes estatísticos'!D76:D95)</f>
        <v>4.6408799999999957</v>
      </c>
      <c r="H42" s="23">
        <f>QUARTILE('Testes estatísticos'!D76:D95,1)</f>
        <v>-5.6336124999999964</v>
      </c>
      <c r="I42" s="23">
        <f>QUARTILE('Testes estatísticos'!D76:D95,3)</f>
        <v>-2.4464347500000017</v>
      </c>
      <c r="J42" s="23">
        <f t="shared" si="12"/>
        <v>3.1871777499999947</v>
      </c>
      <c r="K42" s="23">
        <f t="shared" si="13"/>
        <v>0.73123162053005075</v>
      </c>
      <c r="L42" s="23">
        <f t="shared" si="14"/>
        <v>2.0930240544083096</v>
      </c>
      <c r="M42" s="23">
        <f t="shared" si="15"/>
        <v>1.5304853711133655</v>
      </c>
      <c r="N42" s="23">
        <f t="shared" si="16"/>
        <v>-4.676504121113366</v>
      </c>
      <c r="O42" s="23">
        <f t="shared" si="17"/>
        <v>-1.6155333788866351</v>
      </c>
    </row>
    <row r="43" spans="1:15" x14ac:dyDescent="0.3">
      <c r="A43" s="21" t="s">
        <v>88</v>
      </c>
      <c r="B43" s="22">
        <f>COUNT('Testes estatísticos'!D96:D110)</f>
        <v>15</v>
      </c>
      <c r="C43" s="23">
        <f>AVERAGE('Testes estatísticos'!D96:D110)</f>
        <v>-3.5383717333333324</v>
      </c>
      <c r="D43" s="23">
        <f>MEDIAN('Testes estatísticos'!D96:D110)</f>
        <v>-3.8007929999999988</v>
      </c>
      <c r="E43" s="23">
        <f>_xlfn.STDEV.S('Testes estatísticos'!D96:D110)</f>
        <v>1.0464296684357208</v>
      </c>
      <c r="F43" s="23">
        <f>MIN('Testes estatísticos'!D96:D110)</f>
        <v>-4.4317859999999953</v>
      </c>
      <c r="G43" s="23">
        <f>MAX('Testes estatísticos'!D96:D110)</f>
        <v>-6.9470000000002585E-2</v>
      </c>
      <c r="H43" s="23">
        <f>QUARTILE('Testes estatísticos'!D96:D110,1)</f>
        <v>-4.052131499999998</v>
      </c>
      <c r="I43" s="23">
        <f>QUARTILE('Testes estatísticos'!D96:D110,3)</f>
        <v>-3.3281279999999995</v>
      </c>
      <c r="J43" s="23">
        <f t="shared" si="12"/>
        <v>0.72400349999999847</v>
      </c>
      <c r="K43" s="23">
        <f t="shared" si="13"/>
        <v>0.27018697858859303</v>
      </c>
      <c r="L43" s="23">
        <f t="shared" si="14"/>
        <v>2.1447866879178044</v>
      </c>
      <c r="M43" s="23">
        <f t="shared" si="15"/>
        <v>0.57949343492554717</v>
      </c>
      <c r="N43" s="23">
        <f t="shared" si="16"/>
        <v>-4.1178651682588798</v>
      </c>
      <c r="O43" s="23">
        <f t="shared" si="17"/>
        <v>-2.958878298407785</v>
      </c>
    </row>
    <row r="44" spans="1:15" x14ac:dyDescent="0.3">
      <c r="A44" s="21" t="s">
        <v>89</v>
      </c>
      <c r="B44" s="22">
        <f>COUNT('Testes estatísticos'!D111:D126)</f>
        <v>16</v>
      </c>
      <c r="C44" s="23">
        <f>AVERAGE('Testes estatísticos'!D111:D126)</f>
        <v>-1.2853643749999994</v>
      </c>
      <c r="D44" s="23">
        <f>MEDIAN('Testes estatísticos'!D111:D126)</f>
        <v>-2.0588480000000011</v>
      </c>
      <c r="E44" s="23">
        <f>_xlfn.STDEV.S('Testes estatísticos'!D111:D126)</f>
        <v>4.6243110202791504</v>
      </c>
      <c r="F44" s="23">
        <f>MIN('Testes estatísticos'!D111:D126)</f>
        <v>-13.340673000000002</v>
      </c>
      <c r="G44" s="23">
        <f>MAX('Testes estatísticos'!D111:D126)</f>
        <v>8.8778679999999994</v>
      </c>
      <c r="H44" s="23">
        <f>QUARTILE('Testes estatísticos'!D111:D126,1)</f>
        <v>-2.1900964999999974</v>
      </c>
      <c r="I44" s="23">
        <f>QUARTILE('Testes estatísticos'!D111:D126,3)</f>
        <v>-1.8592229999999983</v>
      </c>
      <c r="J44" s="23">
        <f t="shared" si="12"/>
        <v>0.33087349999999915</v>
      </c>
      <c r="K44" s="23">
        <f t="shared" si="13"/>
        <v>1.1560777550697876</v>
      </c>
      <c r="L44" s="23">
        <f t="shared" si="14"/>
        <v>2.1314495455597742</v>
      </c>
      <c r="M44" s="23">
        <f t="shared" si="15"/>
        <v>2.4641214056752627</v>
      </c>
      <c r="N44" s="23">
        <f t="shared" si="16"/>
        <v>-3.7494857806752622</v>
      </c>
      <c r="O44" s="23">
        <f t="shared" si="17"/>
        <v>1.1787570306752633</v>
      </c>
    </row>
    <row r="45" spans="1:15" x14ac:dyDescent="0.3">
      <c r="A45" s="21" t="s">
        <v>90</v>
      </c>
      <c r="B45" s="22">
        <f>COUNT('Testes estatísticos'!D127:D143)</f>
        <v>17</v>
      </c>
      <c r="C45" s="23">
        <f>AVERAGE('Testes estatísticos'!D127:D143)</f>
        <v>-3.7137989411764716</v>
      </c>
      <c r="D45" s="23">
        <f>MEDIAN('Testes estatísticos'!D127:D143)</f>
        <v>-3.7748139999999992</v>
      </c>
      <c r="E45" s="23">
        <f>_xlfn.STDEV.S('Testes estatísticos'!D127:D143)</f>
        <v>4.9869050869566074</v>
      </c>
      <c r="F45" s="23">
        <f>MIN('Testes estatísticos'!D127:D143)</f>
        <v>-15.416955999999999</v>
      </c>
      <c r="G45" s="23">
        <f>MAX('Testes estatísticos'!D127:D143)</f>
        <v>8.5070659999999947</v>
      </c>
      <c r="H45" s="23">
        <f>QUARTILE('Testes estatísticos'!D127:D143,1)</f>
        <v>-6.6911430000000038</v>
      </c>
      <c r="I45" s="23">
        <f>QUARTILE('Testes estatísticos'!D127:D143,3)</f>
        <v>-1.2844770000000025</v>
      </c>
      <c r="J45" s="23">
        <f t="shared" si="12"/>
        <v>5.4066660000000013</v>
      </c>
      <c r="K45" s="23">
        <f t="shared" si="13"/>
        <v>1.2095021422618892</v>
      </c>
      <c r="L45" s="23">
        <f t="shared" si="14"/>
        <v>2.119905299221255</v>
      </c>
      <c r="M45" s="23">
        <f t="shared" si="15"/>
        <v>2.5640300008004391</v>
      </c>
      <c r="N45" s="23">
        <f t="shared" si="16"/>
        <v>-6.2778289419769102</v>
      </c>
      <c r="O45" s="23">
        <f t="shared" si="17"/>
        <v>-1.1497689403760325</v>
      </c>
    </row>
    <row r="47" spans="1:15" x14ac:dyDescent="0.3">
      <c r="A47" s="18" t="s">
        <v>115</v>
      </c>
    </row>
    <row r="49" spans="1:15" x14ac:dyDescent="0.3">
      <c r="A49" s="19" t="s">
        <v>116</v>
      </c>
    </row>
    <row r="50" spans="1:15" ht="25.5" customHeight="1" x14ac:dyDescent="0.3">
      <c r="A50" s="20" t="s">
        <v>94</v>
      </c>
      <c r="B50" s="20" t="s">
        <v>62</v>
      </c>
      <c r="C50" s="20" t="s">
        <v>95</v>
      </c>
      <c r="D50" s="20" t="s">
        <v>96</v>
      </c>
      <c r="E50" s="20" t="s">
        <v>97</v>
      </c>
      <c r="F50" s="20" t="s">
        <v>98</v>
      </c>
      <c r="G50" s="20" t="s">
        <v>99</v>
      </c>
      <c r="H50" s="20" t="s">
        <v>100</v>
      </c>
      <c r="I50" s="20" t="s">
        <v>101</v>
      </c>
      <c r="J50" s="20" t="s">
        <v>102</v>
      </c>
      <c r="K50" s="20" t="s">
        <v>103</v>
      </c>
      <c r="L50" s="20" t="s">
        <v>104</v>
      </c>
      <c r="M50" s="20" t="s">
        <v>105</v>
      </c>
      <c r="N50" s="20" t="s">
        <v>106</v>
      </c>
      <c r="O50" s="20" t="s">
        <v>107</v>
      </c>
    </row>
    <row r="51" spans="1:15" x14ac:dyDescent="0.3">
      <c r="A51" s="21" t="s">
        <v>117</v>
      </c>
      <c r="B51" s="22">
        <f>COUNT('Dados auxiliares'!A4:A203)</f>
        <v>200</v>
      </c>
      <c r="C51" s="23">
        <f>AVERAGE('Dados auxiliares'!A4:A203)</f>
        <v>0.95998419848645511</v>
      </c>
      <c r="D51" s="23">
        <f>MEDIAN('Dados auxiliares'!A4:A203)</f>
        <v>0.94604070562806708</v>
      </c>
      <c r="E51" s="23">
        <f>_xlfn.STDEV.S('Dados auxiliares'!A4:A203)</f>
        <v>0.38079833972062516</v>
      </c>
      <c r="F51" s="23">
        <f>MIN('Dados auxiliares'!A4:A203)</f>
        <v>0</v>
      </c>
      <c r="G51" s="23">
        <f>MAX('Dados auxiliares'!A4:A203)</f>
        <v>2.0688160865577498</v>
      </c>
      <c r="H51" s="23">
        <f>QUARTILE('Dados auxiliares'!A4:A203,1)</f>
        <v>0.64807406984075699</v>
      </c>
      <c r="I51" s="23">
        <f>QUARTILE('Dados auxiliares'!A4:A203,3)</f>
        <v>1.2277915754649951</v>
      </c>
      <c r="J51" s="23">
        <f>I51-H51</f>
        <v>0.57971750562423807</v>
      </c>
      <c r="K51" s="23">
        <f>E51/SQRT(B51)</f>
        <v>2.6926508828103268E-2</v>
      </c>
      <c r="L51" s="23">
        <f>TINV(0.05,B51-1)</f>
        <v>1.9719565442517553</v>
      </c>
      <c r="M51" s="23">
        <f>L51*K51</f>
        <v>5.30979052974309E-2</v>
      </c>
      <c r="N51" s="23">
        <f>C51-M51</f>
        <v>0.90688629318902425</v>
      </c>
      <c r="O51" s="23">
        <f>C51+M51</f>
        <v>1.013082103783886</v>
      </c>
    </row>
    <row r="52" spans="1:15" x14ac:dyDescent="0.3">
      <c r="A52" s="21" t="s">
        <v>118</v>
      </c>
      <c r="B52" s="22">
        <f>COUNT('Dados auxiliares'!D4:D20)</f>
        <v>17</v>
      </c>
      <c r="C52" s="23">
        <f>AVERAGE('Dados auxiliares'!D4:D20)</f>
        <v>50.284818567646667</v>
      </c>
      <c r="D52" s="23">
        <f>MEDIAN('Dados auxiliares'!D4:D20)</f>
        <v>50.4179531516304</v>
      </c>
      <c r="E52" s="23">
        <f>_xlfn.STDEV.S('Dados auxiliares'!D4:D20)</f>
        <v>0.83063859170900289</v>
      </c>
      <c r="F52" s="23">
        <f>MIN('Dados auxiliares'!D4:D20)</f>
        <v>48.805122681948099</v>
      </c>
      <c r="G52" s="23">
        <f>MAX('Dados auxiliares'!D4:D20)</f>
        <v>52.0048074700792</v>
      </c>
      <c r="H52" s="23">
        <f>QUARTILE('Dados auxiliares'!D4:D20,1)</f>
        <v>49.701307829875098</v>
      </c>
      <c r="I52" s="23">
        <f>QUARTILE('Dados auxiliares'!D4:D20,3)</f>
        <v>50.7036487838893</v>
      </c>
      <c r="J52" s="23">
        <f>I52-H52</f>
        <v>1.0023409540142012</v>
      </c>
      <c r="K52" s="23">
        <f>E52/SQRT(B52)</f>
        <v>0.2014594500194424</v>
      </c>
      <c r="L52" s="23">
        <f>TINV(0.05,B52-1)</f>
        <v>2.119905299221255</v>
      </c>
      <c r="M52" s="23">
        <f>L52*K52</f>
        <v>0.4270749556744155</v>
      </c>
      <c r="N52" s="23">
        <f>C52-M52</f>
        <v>49.857743611972253</v>
      </c>
      <c r="O52" s="23">
        <f>C52+M52</f>
        <v>50.711893523321081</v>
      </c>
    </row>
    <row r="53" spans="1:15" x14ac:dyDescent="0.3">
      <c r="A53" s="21" t="s">
        <v>119</v>
      </c>
      <c r="B53" s="22">
        <f>COUNT('Dados auxiliares'!E4:E20)</f>
        <v>17</v>
      </c>
      <c r="C53" s="23">
        <f>AVERAGE('Dados auxiliares'!E4:E20)</f>
        <v>0.93242698785722733</v>
      </c>
      <c r="D53" s="23">
        <f>MEDIAN('Dados auxiliares'!E4:E20)</f>
        <v>0.87749643873922301</v>
      </c>
      <c r="E53" s="23">
        <f>_xlfn.STDEV.S('Dados auxiliares'!E4:E20)</f>
        <v>0.34200315325335173</v>
      </c>
      <c r="F53" s="23">
        <f>MIN('Dados auxiliares'!E4:E20)</f>
        <v>0.30000000000004101</v>
      </c>
      <c r="G53" s="23">
        <f>MAX('Dados auxiliares'!E4:E20)</f>
        <v>1.58429795177549</v>
      </c>
      <c r="H53" s="23">
        <f>QUARTILE('Dados auxiliares'!E4:E20,1)</f>
        <v>0.70710678118664605</v>
      </c>
      <c r="I53" s="23">
        <f>QUARTILE('Dados auxiliares'!E4:E20,3)</f>
        <v>1.0862780491200099</v>
      </c>
      <c r="J53" s="23">
        <f>I53-H53</f>
        <v>0.37917126793336386</v>
      </c>
      <c r="K53" s="23">
        <f>E53/SQRT(B53)</f>
        <v>8.2947948538698441E-2</v>
      </c>
      <c r="L53" s="23">
        <f>TINV(0.05,B53-1)</f>
        <v>2.119905299221255</v>
      </c>
      <c r="M53" s="23">
        <f>L53*K53</f>
        <v>0.17584179566671879</v>
      </c>
      <c r="N53" s="23">
        <f>C53-M53</f>
        <v>0.75658519219050857</v>
      </c>
      <c r="O53" s="23">
        <f>C53+M53</f>
        <v>1.1082687835239462</v>
      </c>
    </row>
    <row r="54" spans="1:15" x14ac:dyDescent="0.3">
      <c r="A54" s="21" t="s">
        <v>120</v>
      </c>
      <c r="B54" s="22">
        <f>COUNT('Dados auxiliares'!B4:B18)</f>
        <v>15</v>
      </c>
      <c r="C54" s="23">
        <f>AVERAGE('Dados auxiliares'!B4:B18)</f>
        <v>184.53892000000002</v>
      </c>
      <c r="D54" s="23">
        <f>MEDIAN('Dados auxiliares'!B4:B18)</f>
        <v>180.71279999999999</v>
      </c>
      <c r="E54" s="23">
        <f>_xlfn.STDEV.S('Dados auxiliares'!B4:B18)</f>
        <v>83.747414234284562</v>
      </c>
      <c r="F54" s="23">
        <f>MIN('Dados auxiliares'!B4:B18)</f>
        <v>42.056199999999997</v>
      </c>
      <c r="G54" s="23">
        <f>MAX('Dados auxiliares'!B4:B18)</f>
        <v>341.16910000000001</v>
      </c>
      <c r="H54" s="23">
        <f>QUARTILE('Dados auxiliares'!B4:B18,1)</f>
        <v>127.72684999999998</v>
      </c>
      <c r="I54" s="23">
        <f>QUARTILE('Dados auxiliares'!B4:B18,3)</f>
        <v>238.30855</v>
      </c>
      <c r="J54" s="23">
        <f>I54-H54</f>
        <v>110.58170000000001</v>
      </c>
      <c r="K54" s="23">
        <f>E54/SQRT(B54)</f>
        <v>21.623489374487871</v>
      </c>
      <c r="L54" s="23">
        <f>TINV(0.05,B54-1)</f>
        <v>2.1447866879178044</v>
      </c>
      <c r="M54" s="23">
        <f>L54*K54</f>
        <v>46.377772156733677</v>
      </c>
      <c r="N54" s="23">
        <f>C54-M54</f>
        <v>138.16114784326635</v>
      </c>
      <c r="O54" s="23">
        <f>C54+M54</f>
        <v>230.91669215673369</v>
      </c>
    </row>
    <row r="55" spans="1:15" x14ac:dyDescent="0.3">
      <c r="A55" s="21" t="s">
        <v>121</v>
      </c>
      <c r="B55" s="22">
        <f>COUNT('Dados auxiliares'!C4:C8)</f>
        <v>5</v>
      </c>
      <c r="C55" s="23">
        <f>AVERAGE('Dados auxiliares'!C4:C8)</f>
        <v>761.47713999999996</v>
      </c>
      <c r="D55" s="23">
        <f>MEDIAN('Dados auxiliares'!C4:C8)</f>
        <v>549.42470000000003</v>
      </c>
      <c r="E55" s="23">
        <f>_xlfn.STDEV.S('Dados auxiliares'!C4:C8)</f>
        <v>711.1608531999691</v>
      </c>
      <c r="F55" s="23">
        <f>MIN('Dados auxiliares'!C4:C8)</f>
        <v>334.91160000000002</v>
      </c>
      <c r="G55" s="23">
        <f>MAX('Dados auxiliares'!C4:C8)</f>
        <v>2017.57</v>
      </c>
      <c r="H55" s="23">
        <f>QUARTILE('Dados auxiliares'!C4:C8,1)</f>
        <v>335.12220000000002</v>
      </c>
      <c r="I55" s="23">
        <f>QUARTILE('Dados auxiliares'!C4:C8,3)</f>
        <v>570.35720000000003</v>
      </c>
      <c r="J55" s="23">
        <f>I55-H55</f>
        <v>235.23500000000001</v>
      </c>
      <c r="K55" s="23">
        <f>E55/SQRT(B55)</f>
        <v>318.04080213837591</v>
      </c>
      <c r="L55" s="23">
        <f>TINV(0.05,B55-1)</f>
        <v>2.7764451051977934</v>
      </c>
      <c r="M55" s="23">
        <f>L55*K55</f>
        <v>883.0228283502737</v>
      </c>
      <c r="N55" s="23">
        <f>C55-M55</f>
        <v>-121.54568835027374</v>
      </c>
      <c r="O55" s="23">
        <f>C55+M55</f>
        <v>1644.4999683502738</v>
      </c>
    </row>
    <row r="57" spans="1:15" x14ac:dyDescent="0.3">
      <c r="A57" s="18" t="s">
        <v>122</v>
      </c>
    </row>
    <row r="59" spans="1:15" x14ac:dyDescent="0.3">
      <c r="A59" s="19" t="s">
        <v>123</v>
      </c>
    </row>
    <row r="60" spans="1:15" ht="25.5" customHeight="1" x14ac:dyDescent="0.3">
      <c r="A60" s="20" t="s">
        <v>94</v>
      </c>
      <c r="B60" s="20" t="s">
        <v>62</v>
      </c>
      <c r="C60" s="20" t="s">
        <v>95</v>
      </c>
      <c r="D60" s="20" t="s">
        <v>96</v>
      </c>
      <c r="E60" s="20" t="s">
        <v>97</v>
      </c>
      <c r="F60" s="20" t="s">
        <v>98</v>
      </c>
      <c r="G60" s="20" t="s">
        <v>99</v>
      </c>
      <c r="H60" s="20" t="s">
        <v>100</v>
      </c>
      <c r="I60" s="20" t="s">
        <v>101</v>
      </c>
      <c r="J60" s="20" t="s">
        <v>102</v>
      </c>
      <c r="K60" s="20" t="s">
        <v>103</v>
      </c>
      <c r="L60" s="20" t="s">
        <v>104</v>
      </c>
      <c r="M60" s="20" t="s">
        <v>105</v>
      </c>
      <c r="N60" s="20" t="s">
        <v>106</v>
      </c>
      <c r="O60" s="20" t="s">
        <v>107</v>
      </c>
    </row>
    <row r="61" spans="1:15" x14ac:dyDescent="0.3">
      <c r="A61" s="21" t="s">
        <v>124</v>
      </c>
      <c r="B61" s="22">
        <f>COUNT('Dados planeadores'!C3:C51)</f>
        <v>49</v>
      </c>
      <c r="C61" s="23">
        <f>AVERAGE('Dados planeadores'!C3:C51)</f>
        <v>33.32292244897959</v>
      </c>
      <c r="D61" s="23">
        <f>MEDIAN('Dados planeadores'!C3:C51)</f>
        <v>31.952000000000002</v>
      </c>
      <c r="E61" s="23">
        <f>_xlfn.STDEV.S('Dados planeadores'!C3:C51)</f>
        <v>4.4533854727922071</v>
      </c>
      <c r="F61" s="23">
        <f>MIN('Dados planeadores'!C3:C51)</f>
        <v>27.949100000000001</v>
      </c>
      <c r="G61" s="23">
        <f>MAX('Dados planeadores'!C3:C51)</f>
        <v>46.781999999999996</v>
      </c>
      <c r="H61" s="23">
        <f>QUARTILE('Dados planeadores'!C3:C51,1)</f>
        <v>30.091999999999999</v>
      </c>
      <c r="I61" s="23">
        <f>QUARTILE('Dados planeadores'!C3:C51,3)</f>
        <v>34.537999999999997</v>
      </c>
      <c r="J61" s="23">
        <f t="shared" ref="J61:J66" si="18">I61-H61</f>
        <v>4.445999999999998</v>
      </c>
      <c r="K61" s="23">
        <f t="shared" ref="K61:K66" si="19">E61/SQRT(B61)</f>
        <v>0.63619792468460101</v>
      </c>
      <c r="L61" s="23">
        <f t="shared" ref="L61:L66" si="20">TINV(0.05,B61-1)</f>
        <v>2.0106347576242314</v>
      </c>
      <c r="M61" s="23">
        <f t="shared" ref="M61:M66" si="21">L61*K61</f>
        <v>1.2791616600992617</v>
      </c>
      <c r="N61" s="23">
        <f t="shared" ref="N61:N66" si="22">C61-M61</f>
        <v>32.043760788880327</v>
      </c>
      <c r="O61" s="23">
        <f t="shared" ref="O61:O66" si="23">C61+M61</f>
        <v>34.602084109078852</v>
      </c>
    </row>
    <row r="62" spans="1:15" x14ac:dyDescent="0.3">
      <c r="A62" s="21" t="s">
        <v>125</v>
      </c>
      <c r="B62" s="22">
        <f>COUNT('Dados planeadores'!C52:C101)</f>
        <v>50</v>
      </c>
      <c r="C62" s="23">
        <f>AVERAGE('Dados planeadores'!C52:C101)</f>
        <v>35.246473999999999</v>
      </c>
      <c r="D62" s="23">
        <f>MEDIAN('Dados planeadores'!C52:C101)</f>
        <v>34.003799999999998</v>
      </c>
      <c r="E62" s="23">
        <f>_xlfn.STDEV.S('Dados planeadores'!C52:C101)</f>
        <v>4.0171377563882347</v>
      </c>
      <c r="F62" s="23">
        <f>MIN('Dados planeadores'!C52:C101)</f>
        <v>28.307500000000001</v>
      </c>
      <c r="G62" s="23">
        <f>MAX('Dados planeadores'!C52:C101)</f>
        <v>43.238999999999997</v>
      </c>
      <c r="H62" s="23">
        <f>QUARTILE('Dados planeadores'!C52:C101,1)</f>
        <v>32.722000000000001</v>
      </c>
      <c r="I62" s="23">
        <f>QUARTILE('Dados planeadores'!C52:C101,3)</f>
        <v>37.849999999999994</v>
      </c>
      <c r="J62" s="23">
        <f t="shared" si="18"/>
        <v>5.127999999999993</v>
      </c>
      <c r="K62" s="23">
        <f t="shared" si="19"/>
        <v>0.56810906970052677</v>
      </c>
      <c r="L62" s="23">
        <f t="shared" si="20"/>
        <v>2.0095752371292388</v>
      </c>
      <c r="M62" s="23">
        <f t="shared" si="21"/>
        <v>1.1416579184587072</v>
      </c>
      <c r="N62" s="23">
        <f t="shared" si="22"/>
        <v>34.104816081541294</v>
      </c>
      <c r="O62" s="23">
        <f t="shared" si="23"/>
        <v>36.388131918458704</v>
      </c>
    </row>
    <row r="63" spans="1:15" x14ac:dyDescent="0.3">
      <c r="A63" s="21" t="s">
        <v>126</v>
      </c>
      <c r="B63" s="22">
        <f>COUNT('Dados planeadores'!C102:C151)</f>
        <v>50</v>
      </c>
      <c r="C63" s="23">
        <f>AVERAGE('Dados planeadores'!C102:C151)</f>
        <v>34.565200000000004</v>
      </c>
      <c r="D63" s="23">
        <f>MEDIAN('Dados planeadores'!C102:C151)</f>
        <v>33.294499999999999</v>
      </c>
      <c r="E63" s="23">
        <f>_xlfn.STDEV.S('Dados planeadores'!C102:C151)</f>
        <v>4.4262295057937422</v>
      </c>
      <c r="F63" s="23">
        <f>MIN('Dados planeadores'!C102:C151)</f>
        <v>28.13</v>
      </c>
      <c r="G63" s="23">
        <f>MAX('Dados planeadores'!C102:C151)</f>
        <v>50.735999999999997</v>
      </c>
      <c r="H63" s="23">
        <f>QUARTILE('Dados planeadores'!C102:C151,1)</f>
        <v>31.542999999999999</v>
      </c>
      <c r="I63" s="23">
        <f>QUARTILE('Dados planeadores'!C102:C151,3)</f>
        <v>35.548499999999997</v>
      </c>
      <c r="J63" s="23">
        <f t="shared" si="18"/>
        <v>4.0054999999999978</v>
      </c>
      <c r="K63" s="23">
        <f t="shared" si="19"/>
        <v>0.62596337972694716</v>
      </c>
      <c r="L63" s="23">
        <f t="shared" si="20"/>
        <v>2.0095752371292388</v>
      </c>
      <c r="M63" s="23">
        <f t="shared" si="21"/>
        <v>1.2579205072489996</v>
      </c>
      <c r="N63" s="23">
        <f t="shared" si="22"/>
        <v>33.307279492751007</v>
      </c>
      <c r="O63" s="23">
        <f t="shared" si="23"/>
        <v>35.823120507249001</v>
      </c>
    </row>
    <row r="64" spans="1:15" x14ac:dyDescent="0.3">
      <c r="A64" s="21" t="s">
        <v>127</v>
      </c>
      <c r="B64" s="22">
        <f>COUNT('Dados planeadores'!C152:C236)</f>
        <v>85</v>
      </c>
      <c r="C64" s="23">
        <f>AVERAGE('Dados planeadores'!C152:C236)</f>
        <v>3.8778369058823525</v>
      </c>
      <c r="D64" s="23">
        <f>MEDIAN('Dados planeadores'!C152:C236)</f>
        <v>3.7607940000000002</v>
      </c>
      <c r="E64" s="23">
        <f>_xlfn.STDEV.S('Dados planeadores'!C152:C236)</f>
        <v>0.72258245269289867</v>
      </c>
      <c r="F64" s="23">
        <f>MIN('Dados planeadores'!C152:C236)</f>
        <v>2.954526</v>
      </c>
      <c r="G64" s="23">
        <f>MAX('Dados planeadores'!C152:C236)</f>
        <v>7.0390579999999998</v>
      </c>
      <c r="H64" s="23">
        <f>QUARTILE('Dados planeadores'!C152:C236,1)</f>
        <v>3.3239999999999998</v>
      </c>
      <c r="I64" s="23">
        <f>QUARTILE('Dados planeadores'!C152:C236,3)</f>
        <v>4.3266730000000004</v>
      </c>
      <c r="J64" s="23">
        <f t="shared" si="18"/>
        <v>1.0026730000000006</v>
      </c>
      <c r="K64" s="23">
        <f t="shared" si="19"/>
        <v>7.8375071137198993E-2</v>
      </c>
      <c r="L64" s="23">
        <f t="shared" si="20"/>
        <v>1.9886096669757098</v>
      </c>
      <c r="M64" s="23">
        <f t="shared" si="21"/>
        <v>0.15585742411334286</v>
      </c>
      <c r="N64" s="23">
        <f t="shared" si="22"/>
        <v>3.7219794817690097</v>
      </c>
      <c r="O64" s="23">
        <f t="shared" si="23"/>
        <v>4.0336943299956953</v>
      </c>
    </row>
    <row r="65" spans="1:15" x14ac:dyDescent="0.3">
      <c r="A65" s="21" t="s">
        <v>128</v>
      </c>
      <c r="B65" s="22">
        <f>COUNT('Dados planeadores'!C237:C318)</f>
        <v>82</v>
      </c>
      <c r="C65" s="23">
        <f>AVERAGE('Dados planeadores'!C237:C318)</f>
        <v>3.8276770365853663</v>
      </c>
      <c r="D65" s="23">
        <f>MEDIAN('Dados planeadores'!C237:C318)</f>
        <v>3.7499785000000001</v>
      </c>
      <c r="E65" s="23">
        <f>_xlfn.STDEV.S('Dados planeadores'!C237:C318)</f>
        <v>0.88462111375846386</v>
      </c>
      <c r="F65" s="23">
        <f>MIN('Dados planeadores'!C237:C318)</f>
        <v>2.9449160000000001</v>
      </c>
      <c r="G65" s="23">
        <f>MAX('Dados planeadores'!C237:C318)</f>
        <v>8.9262549999999994</v>
      </c>
      <c r="H65" s="23">
        <f>QUARTILE('Dados planeadores'!C237:C318,1)</f>
        <v>3.2504602500000002</v>
      </c>
      <c r="I65" s="23">
        <f>QUARTILE('Dados planeadores'!C237:C318,3)</f>
        <v>4.0645487500000002</v>
      </c>
      <c r="J65" s="23">
        <f t="shared" si="18"/>
        <v>0.81408849999999999</v>
      </c>
      <c r="K65" s="23">
        <f t="shared" si="19"/>
        <v>9.769005959037759E-2</v>
      </c>
      <c r="L65" s="23">
        <f t="shared" si="20"/>
        <v>1.9896863234569038</v>
      </c>
      <c r="M65" s="23">
        <f t="shared" si="21"/>
        <v>0.19437257550466422</v>
      </c>
      <c r="N65" s="23">
        <f t="shared" si="22"/>
        <v>3.6333044610807019</v>
      </c>
      <c r="O65" s="23">
        <f t="shared" si="23"/>
        <v>4.0220496120900302</v>
      </c>
    </row>
    <row r="66" spans="1:15" x14ac:dyDescent="0.3">
      <c r="A66" s="21" t="s">
        <v>129</v>
      </c>
      <c r="B66" s="22">
        <f>COUNT('Dados planeadores'!C319:C397)</f>
        <v>79</v>
      </c>
      <c r="C66" s="23">
        <f>AVERAGE('Dados planeadores'!C319:C397)</f>
        <v>3.9200068354430386</v>
      </c>
      <c r="D66" s="23">
        <f>MEDIAN('Dados planeadores'!C319:C397)</f>
        <v>3.7588949999999999</v>
      </c>
      <c r="E66" s="23">
        <f>_xlfn.STDEV.S('Dados planeadores'!C319:C397)</f>
        <v>0.94369902925407922</v>
      </c>
      <c r="F66" s="23">
        <f>MIN('Dados planeadores'!C319:C397)</f>
        <v>2.9696699999999998</v>
      </c>
      <c r="G66" s="23">
        <f>MAX('Dados planeadores'!C319:C397)</f>
        <v>8.4379690000000007</v>
      </c>
      <c r="H66" s="23">
        <f>QUARTILE('Dados planeadores'!C319:C397,1)</f>
        <v>3.4657755000000003</v>
      </c>
      <c r="I66" s="23">
        <f>QUARTILE('Dados planeadores'!C319:C397,3)</f>
        <v>4.3248540000000002</v>
      </c>
      <c r="J66" s="23">
        <f t="shared" si="18"/>
        <v>0.85907849999999986</v>
      </c>
      <c r="K66" s="23">
        <f t="shared" si="19"/>
        <v>0.10617443599293984</v>
      </c>
      <c r="L66" s="23">
        <f t="shared" si="20"/>
        <v>1.9908470688116919</v>
      </c>
      <c r="M66" s="23">
        <f t="shared" si="21"/>
        <v>0.21137706467927889</v>
      </c>
      <c r="N66" s="23">
        <f t="shared" si="22"/>
        <v>3.7086297707637597</v>
      </c>
      <c r="O66" s="23">
        <f t="shared" si="23"/>
        <v>4.1313839001223176</v>
      </c>
    </row>
    <row r="69" spans="1:15" x14ac:dyDescent="0.3">
      <c r="A69" s="19" t="s">
        <v>130</v>
      </c>
    </row>
    <row r="72" spans="1:15" x14ac:dyDescent="0.3">
      <c r="A72" s="19" t="s">
        <v>131</v>
      </c>
    </row>
    <row r="73" spans="1:15" ht="73.5" customHeight="1" x14ac:dyDescent="0.3">
      <c r="A73" s="13" t="s">
        <v>132</v>
      </c>
    </row>
    <row r="75" spans="1:15" ht="25.5" customHeight="1" x14ac:dyDescent="0.3">
      <c r="A75" s="20" t="s">
        <v>18</v>
      </c>
      <c r="B75" s="20" t="s">
        <v>62</v>
      </c>
      <c r="C75" s="20" t="s">
        <v>133</v>
      </c>
      <c r="D75" s="20" t="s">
        <v>134</v>
      </c>
      <c r="E75" s="20" t="s">
        <v>135</v>
      </c>
      <c r="F75" s="20" t="s">
        <v>136</v>
      </c>
      <c r="G75" s="20" t="s">
        <v>137</v>
      </c>
      <c r="H75" s="20" t="s">
        <v>138</v>
      </c>
    </row>
    <row r="76" spans="1:15" x14ac:dyDescent="0.3">
      <c r="A76" s="21" t="s">
        <v>26</v>
      </c>
      <c r="B76" s="22">
        <v>18</v>
      </c>
      <c r="C76" s="23">
        <v>-2.1441214999999971</v>
      </c>
      <c r="D76" s="23">
        <v>-4.8792474999999982</v>
      </c>
      <c r="E76" s="23">
        <v>0.3010604999999984</v>
      </c>
      <c r="F76" s="23">
        <v>-4.63620305578924</v>
      </c>
      <c r="G76" s="23">
        <v>-1.576833099649289E-3</v>
      </c>
      <c r="H76" s="24">
        <v>6.653594970703125E-2</v>
      </c>
    </row>
    <row r="77" spans="1:15" x14ac:dyDescent="0.3">
      <c r="A77" s="21" t="s">
        <v>42</v>
      </c>
      <c r="B77" s="22">
        <v>20</v>
      </c>
      <c r="C77" s="23">
        <v>-2.5122327500000008</v>
      </c>
      <c r="D77" s="23">
        <v>-3.2316045</v>
      </c>
      <c r="E77" s="23">
        <v>-2.0614165</v>
      </c>
      <c r="F77" s="23">
        <v>-3.5508160827295572</v>
      </c>
      <c r="G77" s="23">
        <v>-1.3664840172704431</v>
      </c>
      <c r="H77" s="24">
        <v>1.4324188232421879E-3</v>
      </c>
    </row>
    <row r="78" spans="1:15" x14ac:dyDescent="0.3">
      <c r="A78" s="21" t="s">
        <v>56</v>
      </c>
      <c r="B78" s="22">
        <v>17</v>
      </c>
      <c r="C78" s="23">
        <v>-1.045383999999999</v>
      </c>
      <c r="D78" s="23">
        <v>-3.0020074999999982</v>
      </c>
      <c r="E78" s="23">
        <v>0.62424999999999997</v>
      </c>
      <c r="F78" s="23">
        <v>-2.866844266878938</v>
      </c>
      <c r="G78" s="23">
        <v>0.598027913937762</v>
      </c>
      <c r="H78" s="24">
        <v>0.190093994140625</v>
      </c>
    </row>
    <row r="79" spans="1:15" x14ac:dyDescent="0.3">
      <c r="A79" s="21" t="s">
        <v>78</v>
      </c>
      <c r="B79" s="22">
        <v>15</v>
      </c>
      <c r="C79" s="23">
        <v>-0.98015250000000087</v>
      </c>
      <c r="D79" s="23">
        <v>-3.632932500000003</v>
      </c>
      <c r="E79" s="23">
        <v>1.1910749999999981</v>
      </c>
      <c r="F79" s="23">
        <v>-3.537576588108907</v>
      </c>
      <c r="G79" s="23">
        <v>0.82015778810890527</v>
      </c>
      <c r="H79" s="24">
        <v>0.45428466796875</v>
      </c>
    </row>
    <row r="80" spans="1:15" x14ac:dyDescent="0.3">
      <c r="A80" s="21" t="s">
        <v>87</v>
      </c>
      <c r="B80" s="22">
        <v>20</v>
      </c>
      <c r="C80" s="23">
        <v>-3.3705912499999999</v>
      </c>
      <c r="D80" s="23">
        <v>-4.6128404999999972</v>
      </c>
      <c r="E80" s="23">
        <v>-2.2374290000000019</v>
      </c>
      <c r="F80" s="23">
        <v>-4.676504121113366</v>
      </c>
      <c r="G80" s="23">
        <v>-1.6155333788866351</v>
      </c>
      <c r="H80" s="24">
        <v>2.3250579833984379E-3</v>
      </c>
    </row>
    <row r="81" spans="1:8" x14ac:dyDescent="0.3">
      <c r="A81" s="21" t="s">
        <v>88</v>
      </c>
      <c r="B81" s="22">
        <v>15</v>
      </c>
      <c r="C81" s="23">
        <v>-3.7304032499999979</v>
      </c>
      <c r="D81" s="23">
        <v>-4.0369975000000018</v>
      </c>
      <c r="E81" s="23">
        <v>-3.328128</v>
      </c>
      <c r="F81" s="23">
        <v>-4.1178651682588798</v>
      </c>
      <c r="G81" s="23">
        <v>-2.958878298407785</v>
      </c>
      <c r="H81" s="24">
        <v>6.103515625E-5</v>
      </c>
    </row>
    <row r="82" spans="1:8" x14ac:dyDescent="0.3">
      <c r="A82" s="21" t="s">
        <v>89</v>
      </c>
      <c r="B82" s="22">
        <v>16</v>
      </c>
      <c r="C82" s="23">
        <v>-2.0547032499999989</v>
      </c>
      <c r="D82" s="23">
        <v>-2.1874899999999968</v>
      </c>
      <c r="E82" s="23">
        <v>1.17822</v>
      </c>
      <c r="F82" s="23">
        <v>-3.7494857806752639</v>
      </c>
      <c r="G82" s="23">
        <v>1.178757030675265</v>
      </c>
      <c r="H82" s="24">
        <v>0.19281005859375</v>
      </c>
    </row>
    <row r="83" spans="1:8" x14ac:dyDescent="0.3">
      <c r="A83" s="21" t="s">
        <v>90</v>
      </c>
      <c r="B83" s="22">
        <v>17</v>
      </c>
      <c r="C83" s="23">
        <v>-3.7519925000000001</v>
      </c>
      <c r="D83" s="23">
        <v>-5.8310054999999998</v>
      </c>
      <c r="E83" s="23">
        <v>-1.7988725000000021</v>
      </c>
      <c r="F83" s="23">
        <v>-6.2778289419769093</v>
      </c>
      <c r="G83" s="23">
        <v>-1.1497689403760341</v>
      </c>
      <c r="H83" s="24">
        <v>3.84521484375E-3</v>
      </c>
    </row>
    <row r="84" spans="1:8" x14ac:dyDescent="0.3">
      <c r="A84" s="21" t="s">
        <v>139</v>
      </c>
      <c r="B84" s="22">
        <v>138</v>
      </c>
      <c r="C84" s="23">
        <v>-2.5084849999999999</v>
      </c>
      <c r="D84" s="23">
        <v>-3.0005990000000011</v>
      </c>
      <c r="E84" s="23">
        <v>-1.941315000000003</v>
      </c>
      <c r="F84" s="23">
        <v>-3.02536848637742</v>
      </c>
      <c r="G84" s="23">
        <v>-1.761225180289246</v>
      </c>
      <c r="H84" s="24">
        <v>5.955931120173102E-11</v>
      </c>
    </row>
    <row r="86" spans="1:8" x14ac:dyDescent="0.3">
      <c r="A86" s="18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5"/>
  <sheetViews>
    <sheetView showGridLines="0" topLeftCell="I1" zoomScale="68" zoomScaleNormal="100" workbookViewId="0">
      <selection activeCell="R9" sqref="R9"/>
    </sheetView>
  </sheetViews>
  <sheetFormatPr defaultColWidth="8.6640625" defaultRowHeight="14.4" x14ac:dyDescent="0.3"/>
  <cols>
    <col min="1" max="1" width="26" customWidth="1"/>
    <col min="2" max="3" width="20" customWidth="1"/>
    <col min="4" max="4" width="12" customWidth="1"/>
    <col min="5" max="5" width="20" customWidth="1"/>
    <col min="6" max="6" width="18" customWidth="1"/>
    <col min="7" max="7" width="6" customWidth="1"/>
    <col min="8" max="8" width="12" customWidth="1"/>
    <col min="9" max="19" width="13" customWidth="1"/>
  </cols>
  <sheetData>
    <row r="1" spans="1:19" ht="15" customHeight="1" x14ac:dyDescent="0.3">
      <c r="A1" s="1" t="s">
        <v>141</v>
      </c>
    </row>
    <row r="2" spans="1:19" x14ac:dyDescent="0.3">
      <c r="A2" s="18" t="s">
        <v>142</v>
      </c>
    </row>
    <row r="4" spans="1:19" x14ac:dyDescent="0.3">
      <c r="A4" s="19" t="s">
        <v>143</v>
      </c>
    </row>
    <row r="5" spans="1:19" x14ac:dyDescent="0.3">
      <c r="A5" s="18" t="s">
        <v>144</v>
      </c>
    </row>
    <row r="7" spans="1:19" ht="51" customHeight="1" x14ac:dyDescent="0.3">
      <c r="A7" s="20" t="s">
        <v>145</v>
      </c>
      <c r="B7" s="20" t="s">
        <v>146</v>
      </c>
      <c r="C7" s="20" t="s">
        <v>147</v>
      </c>
      <c r="D7" s="20" t="s">
        <v>148</v>
      </c>
      <c r="E7" s="20" t="s">
        <v>149</v>
      </c>
      <c r="F7" s="20" t="s">
        <v>150</v>
      </c>
      <c r="G7" s="20" t="s">
        <v>151</v>
      </c>
      <c r="H7" s="20" t="s">
        <v>152</v>
      </c>
      <c r="I7" s="20" t="s">
        <v>153</v>
      </c>
      <c r="J7" s="20" t="s">
        <v>154</v>
      </c>
      <c r="K7" s="20" t="s">
        <v>149</v>
      </c>
      <c r="L7" s="20" t="s">
        <v>150</v>
      </c>
      <c r="M7" s="20" t="s">
        <v>151</v>
      </c>
      <c r="N7" s="20" t="s">
        <v>155</v>
      </c>
      <c r="O7" s="20" t="s">
        <v>156</v>
      </c>
      <c r="P7" s="20" t="s">
        <v>157</v>
      </c>
      <c r="Q7" s="20" t="s">
        <v>149</v>
      </c>
      <c r="R7" s="20" t="s">
        <v>150</v>
      </c>
      <c r="S7" s="20" t="s">
        <v>151</v>
      </c>
    </row>
    <row r="8" spans="1:19" x14ac:dyDescent="0.3">
      <c r="A8" s="25" t="s">
        <v>158</v>
      </c>
      <c r="B8" s="26">
        <v>44.045000000000002</v>
      </c>
      <c r="C8" s="26">
        <v>43.238999999999997</v>
      </c>
      <c r="D8" s="26">
        <v>39.873399999999997</v>
      </c>
      <c r="E8" s="27">
        <f t="shared" ref="E8:E39" si="0">RANK(B8,$B8:$D8,1)</f>
        <v>3</v>
      </c>
      <c r="F8" s="27">
        <f t="shared" ref="F8:F39" si="1">RANK(C8,$B8:$D8,1)</f>
        <v>2</v>
      </c>
      <c r="G8" s="27">
        <f t="shared" ref="G8:G39" si="2">RANK(D8,$B8:$D8,1)</f>
        <v>1</v>
      </c>
      <c r="H8" s="26">
        <v>3.7938999999999998</v>
      </c>
      <c r="I8" s="26">
        <v>3.8195000000000001</v>
      </c>
      <c r="J8" s="26">
        <v>3.5204</v>
      </c>
      <c r="K8" s="27">
        <f t="shared" ref="K8:K39" si="3">RANK(H8,$H8:$J8,1)</f>
        <v>2</v>
      </c>
      <c r="L8" s="27">
        <f t="shared" ref="L8:L39" si="4">RANK(I8,$H8:$J8,1)</f>
        <v>3</v>
      </c>
      <c r="M8" s="27">
        <f t="shared" ref="M8:M39" si="5">RANK(J8,$H8:$J8,1)</f>
        <v>1</v>
      </c>
      <c r="N8" s="26">
        <v>3.2509999999999999</v>
      </c>
      <c r="O8" s="26">
        <v>3.2170000000000001</v>
      </c>
      <c r="P8" s="26">
        <v>4.0674000000000001</v>
      </c>
      <c r="Q8" s="27">
        <f t="shared" ref="Q8:Q39" si="6">RANK(N8,$N8:$P8,1)</f>
        <v>2</v>
      </c>
      <c r="R8" s="27">
        <f t="shared" ref="R8:R39" si="7">RANK(O8,$N8:$P8,1)</f>
        <v>1</v>
      </c>
      <c r="S8" s="27">
        <f t="shared" ref="S8:S39" si="8">RANK(P8,$N8:$P8,1)</f>
        <v>3</v>
      </c>
    </row>
    <row r="9" spans="1:19" x14ac:dyDescent="0.3">
      <c r="A9" s="25" t="s">
        <v>159</v>
      </c>
      <c r="B9" s="26">
        <v>36.201999999999998</v>
      </c>
      <c r="C9" s="26">
        <v>40.206000000000003</v>
      </c>
      <c r="D9" s="26">
        <v>31.155999999999999</v>
      </c>
      <c r="E9" s="27">
        <f t="shared" si="0"/>
        <v>2</v>
      </c>
      <c r="F9" s="27">
        <f t="shared" si="1"/>
        <v>3</v>
      </c>
      <c r="G9" s="27">
        <f t="shared" si="2"/>
        <v>1</v>
      </c>
      <c r="H9" s="26">
        <v>3.8107000000000002</v>
      </c>
      <c r="I9" s="26">
        <v>4.0243000000000002</v>
      </c>
      <c r="J9" s="26">
        <v>4.3945999999999996</v>
      </c>
      <c r="K9" s="27">
        <f t="shared" si="3"/>
        <v>1</v>
      </c>
      <c r="L9" s="27">
        <f t="shared" si="4"/>
        <v>2</v>
      </c>
      <c r="M9" s="27">
        <f t="shared" si="5"/>
        <v>3</v>
      </c>
      <c r="N9" s="26">
        <v>3.6509999999999998</v>
      </c>
      <c r="O9" s="26">
        <v>3.4649999999999999</v>
      </c>
      <c r="P9" s="26">
        <v>4.1420000000000003</v>
      </c>
      <c r="Q9" s="27">
        <f t="shared" si="6"/>
        <v>2</v>
      </c>
      <c r="R9" s="27">
        <f t="shared" si="7"/>
        <v>1</v>
      </c>
      <c r="S9" s="27">
        <f t="shared" si="8"/>
        <v>3</v>
      </c>
    </row>
    <row r="10" spans="1:19" x14ac:dyDescent="0.3">
      <c r="A10" s="25" t="s">
        <v>160</v>
      </c>
      <c r="B10" s="26">
        <v>40.628999999999998</v>
      </c>
      <c r="C10" s="26">
        <v>42.28</v>
      </c>
      <c r="D10" s="26">
        <v>43.539000000000001</v>
      </c>
      <c r="E10" s="27">
        <f t="shared" si="0"/>
        <v>1</v>
      </c>
      <c r="F10" s="27">
        <f t="shared" si="1"/>
        <v>2</v>
      </c>
      <c r="G10" s="27">
        <f t="shared" si="2"/>
        <v>3</v>
      </c>
      <c r="H10" s="26">
        <v>3.8026</v>
      </c>
      <c r="I10" s="26">
        <v>3.6699000000000002</v>
      </c>
      <c r="J10" s="26">
        <v>4.4645000000000001</v>
      </c>
      <c r="K10" s="27">
        <f t="shared" si="3"/>
        <v>2</v>
      </c>
      <c r="L10" s="27">
        <f t="shared" si="4"/>
        <v>1</v>
      </c>
      <c r="M10" s="27">
        <f t="shared" si="5"/>
        <v>3</v>
      </c>
      <c r="N10" s="26">
        <v>3.1110000000000002</v>
      </c>
      <c r="O10" s="26">
        <v>3.4220000000000002</v>
      </c>
      <c r="P10" s="26">
        <v>3.4009999999999998</v>
      </c>
      <c r="Q10" s="27">
        <f t="shared" si="6"/>
        <v>1</v>
      </c>
      <c r="R10" s="27">
        <f t="shared" si="7"/>
        <v>3</v>
      </c>
      <c r="S10" s="27">
        <f t="shared" si="8"/>
        <v>2</v>
      </c>
    </row>
    <row r="11" spans="1:19" x14ac:dyDescent="0.3">
      <c r="A11" s="25" t="s">
        <v>161</v>
      </c>
      <c r="B11" s="26">
        <v>46.781999999999996</v>
      </c>
      <c r="C11" s="26">
        <v>42.844000000000001</v>
      </c>
      <c r="D11" s="26">
        <v>44.841000000000001</v>
      </c>
      <c r="E11" s="27">
        <f t="shared" si="0"/>
        <v>3</v>
      </c>
      <c r="F11" s="27">
        <f t="shared" si="1"/>
        <v>1</v>
      </c>
      <c r="G11" s="27">
        <f t="shared" si="2"/>
        <v>2</v>
      </c>
      <c r="H11" s="26">
        <v>3.8582999999999998</v>
      </c>
      <c r="I11" s="26">
        <v>3.8889</v>
      </c>
      <c r="J11" s="26">
        <v>4.2953999999999999</v>
      </c>
      <c r="K11" s="27">
        <f t="shared" si="3"/>
        <v>1</v>
      </c>
      <c r="L11" s="27">
        <f t="shared" si="4"/>
        <v>2</v>
      </c>
      <c r="M11" s="27">
        <f t="shared" si="5"/>
        <v>3</v>
      </c>
      <c r="N11" s="26">
        <v>3.3069999999999999</v>
      </c>
      <c r="O11" s="26">
        <v>3.2669999999999999</v>
      </c>
      <c r="P11" s="26">
        <v>3.3109999999999999</v>
      </c>
      <c r="Q11" s="27">
        <f t="shared" si="6"/>
        <v>2</v>
      </c>
      <c r="R11" s="27">
        <f t="shared" si="7"/>
        <v>1</v>
      </c>
      <c r="S11" s="27">
        <f t="shared" si="8"/>
        <v>3</v>
      </c>
    </row>
    <row r="12" spans="1:19" x14ac:dyDescent="0.3">
      <c r="A12" s="25" t="s">
        <v>162</v>
      </c>
      <c r="B12" s="26">
        <v>43.930999999999997</v>
      </c>
      <c r="C12" s="26">
        <v>39.997999999999998</v>
      </c>
      <c r="D12" s="26">
        <v>41.488</v>
      </c>
      <c r="E12" s="27">
        <f t="shared" si="0"/>
        <v>3</v>
      </c>
      <c r="F12" s="27">
        <f t="shared" si="1"/>
        <v>1</v>
      </c>
      <c r="G12" s="27">
        <f t="shared" si="2"/>
        <v>2</v>
      </c>
      <c r="H12" s="26">
        <v>3.4863</v>
      </c>
      <c r="I12" s="26">
        <v>3.5102000000000002</v>
      </c>
      <c r="J12" s="26">
        <v>4.2356999999999996</v>
      </c>
      <c r="K12" s="27">
        <f t="shared" si="3"/>
        <v>1</v>
      </c>
      <c r="L12" s="27">
        <f t="shared" si="4"/>
        <v>2</v>
      </c>
      <c r="M12" s="27">
        <f t="shared" si="5"/>
        <v>3</v>
      </c>
      <c r="N12" s="26">
        <v>3.4129999999999998</v>
      </c>
      <c r="O12" s="26">
        <v>3.4060000000000001</v>
      </c>
      <c r="P12" s="26">
        <v>4.1269999999999998</v>
      </c>
      <c r="Q12" s="27">
        <f t="shared" si="6"/>
        <v>2</v>
      </c>
      <c r="R12" s="27">
        <f t="shared" si="7"/>
        <v>1</v>
      </c>
      <c r="S12" s="27">
        <f t="shared" si="8"/>
        <v>3</v>
      </c>
    </row>
    <row r="13" spans="1:19" x14ac:dyDescent="0.3">
      <c r="A13" s="25" t="s">
        <v>163</v>
      </c>
      <c r="B13" s="26">
        <v>36.719000000000001</v>
      </c>
      <c r="C13" s="26">
        <v>40.081000000000003</v>
      </c>
      <c r="D13" s="26">
        <v>41.834000000000003</v>
      </c>
      <c r="E13" s="27">
        <f t="shared" si="0"/>
        <v>1</v>
      </c>
      <c r="F13" s="27">
        <f t="shared" si="1"/>
        <v>2</v>
      </c>
      <c r="G13" s="27">
        <f t="shared" si="2"/>
        <v>3</v>
      </c>
      <c r="H13" s="26">
        <v>3.5891999999999999</v>
      </c>
      <c r="I13" s="26">
        <v>3.7814999999999999</v>
      </c>
      <c r="J13" s="26">
        <v>4.4431000000000003</v>
      </c>
      <c r="K13" s="27">
        <f t="shared" si="3"/>
        <v>1</v>
      </c>
      <c r="L13" s="27">
        <f t="shared" si="4"/>
        <v>2</v>
      </c>
      <c r="M13" s="27">
        <f t="shared" si="5"/>
        <v>3</v>
      </c>
      <c r="N13" s="26">
        <v>3.419</v>
      </c>
      <c r="O13" s="26">
        <v>3.1909999999999998</v>
      </c>
      <c r="P13" s="26">
        <v>3.4910000000000001</v>
      </c>
      <c r="Q13" s="27">
        <f t="shared" si="6"/>
        <v>2</v>
      </c>
      <c r="R13" s="27">
        <f t="shared" si="7"/>
        <v>1</v>
      </c>
      <c r="S13" s="27">
        <f t="shared" si="8"/>
        <v>3</v>
      </c>
    </row>
    <row r="14" spans="1:19" x14ac:dyDescent="0.3">
      <c r="A14" s="25" t="s">
        <v>164</v>
      </c>
      <c r="B14" s="26">
        <v>38.906999999999996</v>
      </c>
      <c r="C14" s="26">
        <v>41.281999999999996</v>
      </c>
      <c r="D14" s="26">
        <v>37.243000000000002</v>
      </c>
      <c r="E14" s="27">
        <f t="shared" si="0"/>
        <v>2</v>
      </c>
      <c r="F14" s="27">
        <f t="shared" si="1"/>
        <v>3</v>
      </c>
      <c r="G14" s="27">
        <f t="shared" si="2"/>
        <v>1</v>
      </c>
      <c r="H14" s="26">
        <v>3.7913999999999999</v>
      </c>
      <c r="I14" s="26">
        <v>3.8618000000000001</v>
      </c>
      <c r="J14" s="26">
        <v>4.2725999999999997</v>
      </c>
      <c r="K14" s="27">
        <f t="shared" si="3"/>
        <v>1</v>
      </c>
      <c r="L14" s="27">
        <f t="shared" si="4"/>
        <v>2</v>
      </c>
      <c r="M14" s="27">
        <f t="shared" si="5"/>
        <v>3</v>
      </c>
      <c r="N14" s="26">
        <v>3.2570000000000001</v>
      </c>
      <c r="O14" s="26">
        <v>4.0640000000000001</v>
      </c>
      <c r="P14" s="26">
        <v>3.2679999999999998</v>
      </c>
      <c r="Q14" s="27">
        <f t="shared" si="6"/>
        <v>1</v>
      </c>
      <c r="R14" s="27">
        <f t="shared" si="7"/>
        <v>3</v>
      </c>
      <c r="S14" s="27">
        <f t="shared" si="8"/>
        <v>2</v>
      </c>
    </row>
    <row r="15" spans="1:19" x14ac:dyDescent="0.3">
      <c r="A15" s="25" t="s">
        <v>165</v>
      </c>
      <c r="B15" s="26">
        <v>38.448</v>
      </c>
      <c r="C15" s="26">
        <v>41.08</v>
      </c>
      <c r="D15" s="26">
        <v>41.066000000000003</v>
      </c>
      <c r="E15" s="27">
        <f t="shared" si="0"/>
        <v>1</v>
      </c>
      <c r="F15" s="27">
        <f t="shared" si="1"/>
        <v>3</v>
      </c>
      <c r="G15" s="27">
        <f t="shared" si="2"/>
        <v>2</v>
      </c>
      <c r="H15" s="26">
        <v>3.4824999999999999</v>
      </c>
      <c r="I15" s="26">
        <v>3.9155000000000002</v>
      </c>
      <c r="J15" s="26">
        <v>4.4905999999999997</v>
      </c>
      <c r="K15" s="27">
        <f t="shared" si="3"/>
        <v>1</v>
      </c>
      <c r="L15" s="27">
        <f t="shared" si="4"/>
        <v>2</v>
      </c>
      <c r="M15" s="27">
        <f t="shared" si="5"/>
        <v>3</v>
      </c>
      <c r="N15" s="26">
        <v>4.0860000000000003</v>
      </c>
      <c r="O15" s="26">
        <v>3.39</v>
      </c>
      <c r="P15" s="26">
        <v>4.0880000000000001</v>
      </c>
      <c r="Q15" s="27">
        <f t="shared" si="6"/>
        <v>2</v>
      </c>
      <c r="R15" s="27">
        <f t="shared" si="7"/>
        <v>1</v>
      </c>
      <c r="S15" s="27">
        <f t="shared" si="8"/>
        <v>3</v>
      </c>
    </row>
    <row r="16" spans="1:19" x14ac:dyDescent="0.3">
      <c r="A16" s="25" t="s">
        <v>166</v>
      </c>
      <c r="B16" s="26">
        <v>41.685000000000002</v>
      </c>
      <c r="C16" s="26">
        <v>41.457999999999998</v>
      </c>
      <c r="D16" s="26">
        <v>42.497999999999998</v>
      </c>
      <c r="E16" s="27">
        <f t="shared" si="0"/>
        <v>2</v>
      </c>
      <c r="F16" s="27">
        <f t="shared" si="1"/>
        <v>1</v>
      </c>
      <c r="G16" s="27">
        <f t="shared" si="2"/>
        <v>3</v>
      </c>
      <c r="H16" s="26">
        <v>3.8090000000000002</v>
      </c>
      <c r="I16" s="26">
        <v>4.0122</v>
      </c>
      <c r="J16" s="26">
        <v>4.3686999999999996</v>
      </c>
      <c r="K16" s="27">
        <f t="shared" si="3"/>
        <v>1</v>
      </c>
      <c r="L16" s="27">
        <f t="shared" si="4"/>
        <v>2</v>
      </c>
      <c r="M16" s="27">
        <f t="shared" si="5"/>
        <v>3</v>
      </c>
      <c r="N16" s="26">
        <v>6.274</v>
      </c>
      <c r="O16" s="26">
        <v>3.339</v>
      </c>
      <c r="P16" s="26">
        <v>3.351</v>
      </c>
      <c r="Q16" s="27">
        <f t="shared" si="6"/>
        <v>3</v>
      </c>
      <c r="R16" s="27">
        <f t="shared" si="7"/>
        <v>1</v>
      </c>
      <c r="S16" s="27">
        <f t="shared" si="8"/>
        <v>2</v>
      </c>
    </row>
    <row r="17" spans="1:19" x14ac:dyDescent="0.3">
      <c r="A17" s="25" t="s">
        <v>167</v>
      </c>
      <c r="B17" s="26">
        <v>35.539099999999998</v>
      </c>
      <c r="C17" s="26">
        <v>42.701000000000001</v>
      </c>
      <c r="D17" s="26">
        <v>50.735999999999997</v>
      </c>
      <c r="E17" s="27">
        <f t="shared" si="0"/>
        <v>1</v>
      </c>
      <c r="F17" s="27">
        <f t="shared" si="1"/>
        <v>2</v>
      </c>
      <c r="G17" s="27">
        <f t="shared" si="2"/>
        <v>3</v>
      </c>
      <c r="H17" s="26">
        <v>3.7820999999999998</v>
      </c>
      <c r="I17" s="26">
        <v>4.2073</v>
      </c>
      <c r="J17" s="26">
        <v>4.5031999999999996</v>
      </c>
      <c r="K17" s="27">
        <f t="shared" si="3"/>
        <v>1</v>
      </c>
      <c r="L17" s="27">
        <f t="shared" si="4"/>
        <v>2</v>
      </c>
      <c r="M17" s="27">
        <f t="shared" si="5"/>
        <v>3</v>
      </c>
      <c r="N17" s="26">
        <v>3.609</v>
      </c>
      <c r="O17" s="26">
        <v>4.0490000000000004</v>
      </c>
      <c r="P17" s="26">
        <v>4.04</v>
      </c>
      <c r="Q17" s="27">
        <f t="shared" si="6"/>
        <v>1</v>
      </c>
      <c r="R17" s="27">
        <f t="shared" si="7"/>
        <v>3</v>
      </c>
      <c r="S17" s="27">
        <f t="shared" si="8"/>
        <v>2</v>
      </c>
    </row>
    <row r="18" spans="1:19" x14ac:dyDescent="0.3">
      <c r="A18" s="25" t="s">
        <v>168</v>
      </c>
      <c r="B18" s="26">
        <v>31.707999999999998</v>
      </c>
      <c r="C18" s="26">
        <v>35.933999999999997</v>
      </c>
      <c r="D18" s="26">
        <v>33.033000000000001</v>
      </c>
      <c r="E18" s="27">
        <f t="shared" si="0"/>
        <v>1</v>
      </c>
      <c r="F18" s="27">
        <f t="shared" si="1"/>
        <v>3</v>
      </c>
      <c r="G18" s="27">
        <f t="shared" si="2"/>
        <v>2</v>
      </c>
      <c r="H18" s="26">
        <v>3.5019999999999998</v>
      </c>
      <c r="I18" s="26">
        <v>7.0656999999999996</v>
      </c>
      <c r="J18" s="26">
        <v>3.5836999999999999</v>
      </c>
      <c r="K18" s="27">
        <f t="shared" si="3"/>
        <v>1</v>
      </c>
      <c r="L18" s="27">
        <f t="shared" si="4"/>
        <v>3</v>
      </c>
      <c r="M18" s="27">
        <f t="shared" si="5"/>
        <v>2</v>
      </c>
      <c r="N18" s="26">
        <v>4.4219999999999997</v>
      </c>
      <c r="O18" s="26">
        <v>4.4610000000000003</v>
      </c>
      <c r="P18" s="26">
        <v>3.9260000000000002</v>
      </c>
      <c r="Q18" s="27">
        <f t="shared" si="6"/>
        <v>2</v>
      </c>
      <c r="R18" s="27">
        <f t="shared" si="7"/>
        <v>3</v>
      </c>
      <c r="S18" s="27">
        <f t="shared" si="8"/>
        <v>1</v>
      </c>
    </row>
    <row r="19" spans="1:19" x14ac:dyDescent="0.3">
      <c r="A19" s="25" t="s">
        <v>169</v>
      </c>
      <c r="B19" s="26">
        <v>30.062999999999999</v>
      </c>
      <c r="C19" s="26">
        <v>28.307500000000001</v>
      </c>
      <c r="D19" s="26">
        <v>30.742999999999999</v>
      </c>
      <c r="E19" s="27">
        <f t="shared" si="0"/>
        <v>2</v>
      </c>
      <c r="F19" s="27">
        <f t="shared" si="1"/>
        <v>1</v>
      </c>
      <c r="G19" s="27">
        <f t="shared" si="2"/>
        <v>3</v>
      </c>
      <c r="H19" s="26">
        <v>3.3711000000000002</v>
      </c>
      <c r="I19" s="26">
        <v>3.1452</v>
      </c>
      <c r="J19" s="26">
        <v>3.3896999999999999</v>
      </c>
      <c r="K19" s="27">
        <f t="shared" si="3"/>
        <v>2</v>
      </c>
      <c r="L19" s="27">
        <f t="shared" si="4"/>
        <v>1</v>
      </c>
      <c r="M19" s="27">
        <f t="shared" si="5"/>
        <v>3</v>
      </c>
      <c r="N19" s="26">
        <v>3.9550000000000001</v>
      </c>
      <c r="O19" s="26">
        <v>3.5421</v>
      </c>
      <c r="P19" s="26">
        <v>4.3659999999999997</v>
      </c>
      <c r="Q19" s="27">
        <f t="shared" si="6"/>
        <v>2</v>
      </c>
      <c r="R19" s="27">
        <f t="shared" si="7"/>
        <v>1</v>
      </c>
      <c r="S19" s="27">
        <f t="shared" si="8"/>
        <v>3</v>
      </c>
    </row>
    <row r="20" spans="1:19" x14ac:dyDescent="0.3">
      <c r="A20" s="25" t="s">
        <v>170</v>
      </c>
      <c r="B20" s="26">
        <v>29.797000000000001</v>
      </c>
      <c r="C20" s="26">
        <v>30.885000000000002</v>
      </c>
      <c r="D20" s="26">
        <v>32.713000000000001</v>
      </c>
      <c r="E20" s="27">
        <f t="shared" si="0"/>
        <v>1</v>
      </c>
      <c r="F20" s="27">
        <f t="shared" si="1"/>
        <v>2</v>
      </c>
      <c r="G20" s="27">
        <f t="shared" si="2"/>
        <v>3</v>
      </c>
      <c r="H20" s="26">
        <v>3.7643</v>
      </c>
      <c r="I20" s="26">
        <v>3.7366999999999999</v>
      </c>
      <c r="J20" s="26">
        <v>7.9259000000000004</v>
      </c>
      <c r="K20" s="27">
        <f t="shared" si="3"/>
        <v>2</v>
      </c>
      <c r="L20" s="27">
        <f t="shared" si="4"/>
        <v>1</v>
      </c>
      <c r="M20" s="27">
        <f t="shared" si="5"/>
        <v>3</v>
      </c>
      <c r="N20" s="26">
        <v>3.7629999999999999</v>
      </c>
      <c r="O20" s="26">
        <v>3.7719999999999998</v>
      </c>
      <c r="P20" s="26">
        <v>3.786</v>
      </c>
      <c r="Q20" s="27">
        <f t="shared" si="6"/>
        <v>1</v>
      </c>
      <c r="R20" s="27">
        <f t="shared" si="7"/>
        <v>2</v>
      </c>
      <c r="S20" s="27">
        <f t="shared" si="8"/>
        <v>3</v>
      </c>
    </row>
    <row r="21" spans="1:19" x14ac:dyDescent="0.3">
      <c r="A21" s="25" t="s">
        <v>171</v>
      </c>
      <c r="B21" s="26">
        <v>30.928999999999998</v>
      </c>
      <c r="C21" s="26">
        <v>32.866999999999997</v>
      </c>
      <c r="D21" s="26">
        <v>30.771699999999999</v>
      </c>
      <c r="E21" s="27">
        <f t="shared" si="0"/>
        <v>2</v>
      </c>
      <c r="F21" s="27">
        <f t="shared" si="1"/>
        <v>3</v>
      </c>
      <c r="G21" s="27">
        <f t="shared" si="2"/>
        <v>1</v>
      </c>
      <c r="H21" s="26">
        <v>3.9798</v>
      </c>
      <c r="I21" s="26">
        <v>3.2511999999999999</v>
      </c>
      <c r="J21" s="26">
        <v>2.7395999999999998</v>
      </c>
      <c r="K21" s="27">
        <f t="shared" si="3"/>
        <v>3</v>
      </c>
      <c r="L21" s="27">
        <f t="shared" si="4"/>
        <v>2</v>
      </c>
      <c r="M21" s="27">
        <f t="shared" si="5"/>
        <v>1</v>
      </c>
      <c r="N21" s="26">
        <v>4.2560000000000002</v>
      </c>
      <c r="O21" s="26">
        <v>4.069</v>
      </c>
      <c r="P21" s="26">
        <v>4.0730000000000004</v>
      </c>
      <c r="Q21" s="27">
        <f t="shared" si="6"/>
        <v>3</v>
      </c>
      <c r="R21" s="27">
        <f t="shared" si="7"/>
        <v>1</v>
      </c>
      <c r="S21" s="27">
        <f t="shared" si="8"/>
        <v>2</v>
      </c>
    </row>
    <row r="22" spans="1:19" x14ac:dyDescent="0.3">
      <c r="A22" s="25" t="s">
        <v>172</v>
      </c>
      <c r="B22" s="26">
        <v>32.637999999999998</v>
      </c>
      <c r="C22" s="26">
        <v>32.51</v>
      </c>
      <c r="D22" s="26">
        <v>31.181000000000001</v>
      </c>
      <c r="E22" s="27">
        <f t="shared" si="0"/>
        <v>3</v>
      </c>
      <c r="F22" s="27">
        <f t="shared" si="1"/>
        <v>2</v>
      </c>
      <c r="G22" s="27">
        <f t="shared" si="2"/>
        <v>1</v>
      </c>
      <c r="H22" s="26">
        <v>3.5181</v>
      </c>
      <c r="I22" s="26">
        <v>3.5975999999999999</v>
      </c>
      <c r="J22" s="26">
        <v>4.3399000000000001</v>
      </c>
      <c r="K22" s="27">
        <f t="shared" si="3"/>
        <v>1</v>
      </c>
      <c r="L22" s="27">
        <f t="shared" si="4"/>
        <v>2</v>
      </c>
      <c r="M22" s="27">
        <f t="shared" si="5"/>
        <v>3</v>
      </c>
      <c r="N22" s="26">
        <v>3.823</v>
      </c>
      <c r="O22" s="26">
        <v>3.7559999999999998</v>
      </c>
      <c r="P22" s="26">
        <v>4.4390000000000001</v>
      </c>
      <c r="Q22" s="27">
        <f t="shared" si="6"/>
        <v>2</v>
      </c>
      <c r="R22" s="27">
        <f t="shared" si="7"/>
        <v>1</v>
      </c>
      <c r="S22" s="27">
        <f t="shared" si="8"/>
        <v>3</v>
      </c>
    </row>
    <row r="23" spans="1:19" x14ac:dyDescent="0.3">
      <c r="A23" s="25" t="s">
        <v>173</v>
      </c>
      <c r="B23" s="26">
        <v>31.609000000000002</v>
      </c>
      <c r="C23" s="26">
        <v>33.650300000000001</v>
      </c>
      <c r="D23" s="26">
        <v>33.485900000000001</v>
      </c>
      <c r="E23" s="27">
        <f t="shared" si="0"/>
        <v>1</v>
      </c>
      <c r="F23" s="27">
        <f t="shared" si="1"/>
        <v>3</v>
      </c>
      <c r="G23" s="27">
        <f t="shared" si="2"/>
        <v>2</v>
      </c>
      <c r="H23" s="26">
        <v>3.3763000000000001</v>
      </c>
      <c r="I23" s="26">
        <v>3.4358</v>
      </c>
      <c r="J23" s="26">
        <v>3.7168999999999999</v>
      </c>
      <c r="K23" s="27">
        <f t="shared" si="3"/>
        <v>1</v>
      </c>
      <c r="L23" s="27">
        <f t="shared" si="4"/>
        <v>2</v>
      </c>
      <c r="M23" s="27">
        <f t="shared" si="5"/>
        <v>3</v>
      </c>
      <c r="N23" s="26">
        <v>4.4539999999999997</v>
      </c>
      <c r="O23" s="26">
        <v>3.6783000000000001</v>
      </c>
      <c r="P23" s="26">
        <v>3.7288999999999999</v>
      </c>
      <c r="Q23" s="27">
        <f t="shared" si="6"/>
        <v>3</v>
      </c>
      <c r="R23" s="27">
        <f t="shared" si="7"/>
        <v>1</v>
      </c>
      <c r="S23" s="27">
        <f t="shared" si="8"/>
        <v>2</v>
      </c>
    </row>
    <row r="24" spans="1:19" x14ac:dyDescent="0.3">
      <c r="A24" s="25" t="s">
        <v>174</v>
      </c>
      <c r="B24" s="26">
        <v>30.155000000000001</v>
      </c>
      <c r="C24" s="26">
        <v>33.055</v>
      </c>
      <c r="D24" s="26">
        <v>33.216000000000001</v>
      </c>
      <c r="E24" s="27">
        <f t="shared" si="0"/>
        <v>1</v>
      </c>
      <c r="F24" s="27">
        <f t="shared" si="1"/>
        <v>2</v>
      </c>
      <c r="G24" s="27">
        <f t="shared" si="2"/>
        <v>3</v>
      </c>
      <c r="H24" s="26">
        <v>3.6486999999999998</v>
      </c>
      <c r="I24" s="26">
        <v>3.7852000000000001</v>
      </c>
      <c r="J24" s="26">
        <v>6.2220000000000004</v>
      </c>
      <c r="K24" s="27">
        <f t="shared" si="3"/>
        <v>1</v>
      </c>
      <c r="L24" s="27">
        <f t="shared" si="4"/>
        <v>2</v>
      </c>
      <c r="M24" s="27">
        <f t="shared" si="5"/>
        <v>3</v>
      </c>
      <c r="N24" s="26">
        <v>3.911</v>
      </c>
      <c r="O24" s="26">
        <v>3.99</v>
      </c>
      <c r="P24" s="26">
        <v>4.0720000000000001</v>
      </c>
      <c r="Q24" s="27">
        <f t="shared" si="6"/>
        <v>1</v>
      </c>
      <c r="R24" s="27">
        <f t="shared" si="7"/>
        <v>2</v>
      </c>
      <c r="S24" s="27">
        <f t="shared" si="8"/>
        <v>3</v>
      </c>
    </row>
    <row r="25" spans="1:19" x14ac:dyDescent="0.3">
      <c r="A25" s="25" t="s">
        <v>175</v>
      </c>
      <c r="B25" s="26">
        <v>34.404000000000003</v>
      </c>
      <c r="C25" s="26">
        <v>32.972999999999999</v>
      </c>
      <c r="D25" s="26">
        <v>33.015999999999998</v>
      </c>
      <c r="E25" s="27">
        <f t="shared" si="0"/>
        <v>3</v>
      </c>
      <c r="F25" s="27">
        <f t="shared" si="1"/>
        <v>1</v>
      </c>
      <c r="G25" s="27">
        <f t="shared" si="2"/>
        <v>2</v>
      </c>
      <c r="H25" s="26">
        <v>6.6794000000000002</v>
      </c>
      <c r="I25" s="26">
        <v>3.8887</v>
      </c>
      <c r="J25" s="26">
        <v>4.4950999999999999</v>
      </c>
      <c r="K25" s="27">
        <f t="shared" si="3"/>
        <v>3</v>
      </c>
      <c r="L25" s="27">
        <f t="shared" si="4"/>
        <v>1</v>
      </c>
      <c r="M25" s="27">
        <f t="shared" si="5"/>
        <v>2</v>
      </c>
      <c r="N25" s="26">
        <v>4.4039999999999999</v>
      </c>
      <c r="O25" s="26">
        <v>3.7509999999999999</v>
      </c>
      <c r="P25" s="26">
        <v>3.7370000000000001</v>
      </c>
      <c r="Q25" s="27">
        <f t="shared" si="6"/>
        <v>3</v>
      </c>
      <c r="R25" s="27">
        <f t="shared" si="7"/>
        <v>2</v>
      </c>
      <c r="S25" s="27">
        <f t="shared" si="8"/>
        <v>1</v>
      </c>
    </row>
    <row r="26" spans="1:19" x14ac:dyDescent="0.3">
      <c r="A26" s="25" t="s">
        <v>176</v>
      </c>
      <c r="B26" s="26">
        <v>32.164000000000001</v>
      </c>
      <c r="C26" s="26">
        <v>33.904000000000003</v>
      </c>
      <c r="D26" s="26">
        <v>35.551000000000002</v>
      </c>
      <c r="E26" s="27">
        <f t="shared" si="0"/>
        <v>1</v>
      </c>
      <c r="F26" s="27">
        <f t="shared" si="1"/>
        <v>2</v>
      </c>
      <c r="G26" s="27">
        <f t="shared" si="2"/>
        <v>3</v>
      </c>
      <c r="H26" s="26">
        <v>5.8853</v>
      </c>
      <c r="I26" s="26">
        <v>4.6124000000000001</v>
      </c>
      <c r="J26" s="26">
        <v>6.7469999999999999</v>
      </c>
      <c r="K26" s="27">
        <f t="shared" si="3"/>
        <v>2</v>
      </c>
      <c r="L26" s="27">
        <f t="shared" si="4"/>
        <v>1</v>
      </c>
      <c r="M26" s="27">
        <f t="shared" si="5"/>
        <v>3</v>
      </c>
      <c r="N26" s="26">
        <v>3.7570000000000001</v>
      </c>
      <c r="O26" s="26">
        <v>3.7</v>
      </c>
      <c r="P26" s="26">
        <v>3.762</v>
      </c>
      <c r="Q26" s="27">
        <f t="shared" si="6"/>
        <v>2</v>
      </c>
      <c r="R26" s="27">
        <f t="shared" si="7"/>
        <v>1</v>
      </c>
      <c r="S26" s="27">
        <f t="shared" si="8"/>
        <v>3</v>
      </c>
    </row>
    <row r="27" spans="1:19" x14ac:dyDescent="0.3">
      <c r="A27" s="25" t="s">
        <v>177</v>
      </c>
      <c r="B27" s="26">
        <v>31.952000000000002</v>
      </c>
      <c r="C27" s="26">
        <v>34.825000000000003</v>
      </c>
      <c r="D27" s="26">
        <v>31.166</v>
      </c>
      <c r="E27" s="27">
        <f t="shared" si="0"/>
        <v>2</v>
      </c>
      <c r="F27" s="27">
        <f t="shared" si="1"/>
        <v>3</v>
      </c>
      <c r="G27" s="27">
        <f t="shared" si="2"/>
        <v>1</v>
      </c>
      <c r="H27" s="26">
        <v>4.7203999999999997</v>
      </c>
      <c r="I27" s="26">
        <v>4.8452000000000002</v>
      </c>
      <c r="J27" s="26">
        <v>3.7629000000000001</v>
      </c>
      <c r="K27" s="27">
        <f t="shared" si="3"/>
        <v>2</v>
      </c>
      <c r="L27" s="27">
        <f t="shared" si="4"/>
        <v>3</v>
      </c>
      <c r="M27" s="27">
        <f t="shared" si="5"/>
        <v>1</v>
      </c>
      <c r="N27" s="26">
        <v>3.823</v>
      </c>
      <c r="O27" s="26">
        <v>3.7989999999999999</v>
      </c>
      <c r="P27" s="26">
        <v>3.786</v>
      </c>
      <c r="Q27" s="27">
        <f t="shared" si="6"/>
        <v>3</v>
      </c>
      <c r="R27" s="27">
        <f t="shared" si="7"/>
        <v>2</v>
      </c>
      <c r="S27" s="27">
        <f t="shared" si="8"/>
        <v>1</v>
      </c>
    </row>
    <row r="28" spans="1:19" x14ac:dyDescent="0.3">
      <c r="A28" s="25" t="s">
        <v>178</v>
      </c>
      <c r="B28" s="26">
        <v>32.194000000000003</v>
      </c>
      <c r="C28" s="26">
        <v>34.1036</v>
      </c>
      <c r="D28" s="26">
        <v>31.992000000000001</v>
      </c>
      <c r="E28" s="27">
        <f t="shared" si="0"/>
        <v>2</v>
      </c>
      <c r="F28" s="27">
        <f t="shared" si="1"/>
        <v>3</v>
      </c>
      <c r="G28" s="27">
        <f t="shared" si="2"/>
        <v>1</v>
      </c>
      <c r="H28" s="26">
        <v>4.8765000000000001</v>
      </c>
      <c r="I28" s="26">
        <v>4.9987000000000004</v>
      </c>
      <c r="J28" s="26">
        <v>5.1384999999999996</v>
      </c>
      <c r="K28" s="27">
        <f t="shared" si="3"/>
        <v>1</v>
      </c>
      <c r="L28" s="27">
        <f t="shared" si="4"/>
        <v>2</v>
      </c>
      <c r="M28" s="27">
        <f t="shared" si="5"/>
        <v>3</v>
      </c>
      <c r="N28" s="26">
        <v>4.1349999999999998</v>
      </c>
      <c r="O28" s="26">
        <v>4.0124000000000004</v>
      </c>
      <c r="P28" s="26">
        <v>4.3449999999999998</v>
      </c>
      <c r="Q28" s="27">
        <f t="shared" si="6"/>
        <v>2</v>
      </c>
      <c r="R28" s="27">
        <f t="shared" si="7"/>
        <v>1</v>
      </c>
      <c r="S28" s="27">
        <f t="shared" si="8"/>
        <v>3</v>
      </c>
    </row>
    <row r="29" spans="1:19" x14ac:dyDescent="0.3">
      <c r="A29" s="25" t="s">
        <v>179</v>
      </c>
      <c r="B29" s="26">
        <v>30.091999999999999</v>
      </c>
      <c r="C29" s="26">
        <v>35.533000000000001</v>
      </c>
      <c r="D29" s="26">
        <v>36.604999999999997</v>
      </c>
      <c r="E29" s="27">
        <f t="shared" si="0"/>
        <v>1</v>
      </c>
      <c r="F29" s="27">
        <f t="shared" si="1"/>
        <v>2</v>
      </c>
      <c r="G29" s="27">
        <f t="shared" si="2"/>
        <v>3</v>
      </c>
      <c r="H29" s="26">
        <v>3.3239999999999998</v>
      </c>
      <c r="I29" s="26">
        <v>5.1689999999999996</v>
      </c>
      <c r="J29" s="26">
        <v>6.6493000000000002</v>
      </c>
      <c r="K29" s="27">
        <f t="shared" si="3"/>
        <v>1</v>
      </c>
      <c r="L29" s="27">
        <f t="shared" si="4"/>
        <v>2</v>
      </c>
      <c r="M29" s="27">
        <f t="shared" si="5"/>
        <v>3</v>
      </c>
      <c r="N29" s="26">
        <v>4.1109999999999998</v>
      </c>
      <c r="O29" s="26">
        <v>3.9209999999999998</v>
      </c>
      <c r="P29" s="26">
        <v>6.6180000000000003</v>
      </c>
      <c r="Q29" s="27">
        <f t="shared" si="6"/>
        <v>2</v>
      </c>
      <c r="R29" s="27">
        <f t="shared" si="7"/>
        <v>1</v>
      </c>
      <c r="S29" s="27">
        <f t="shared" si="8"/>
        <v>3</v>
      </c>
    </row>
    <row r="30" spans="1:19" x14ac:dyDescent="0.3">
      <c r="A30" s="25" t="s">
        <v>180</v>
      </c>
      <c r="B30" s="26">
        <v>27.949100000000001</v>
      </c>
      <c r="C30" s="26">
        <v>32.881999999999998</v>
      </c>
      <c r="D30" s="26">
        <v>34.057000000000002</v>
      </c>
      <c r="E30" s="27">
        <f t="shared" si="0"/>
        <v>1</v>
      </c>
      <c r="F30" s="27">
        <f t="shared" si="1"/>
        <v>2</v>
      </c>
      <c r="G30" s="27">
        <f t="shared" si="2"/>
        <v>3</v>
      </c>
      <c r="H30" s="26">
        <v>3.0327000000000002</v>
      </c>
      <c r="I30" s="26">
        <v>3.738</v>
      </c>
      <c r="J30" s="26">
        <v>3.4781</v>
      </c>
      <c r="K30" s="27">
        <f t="shared" si="3"/>
        <v>1</v>
      </c>
      <c r="L30" s="27">
        <f t="shared" si="4"/>
        <v>3</v>
      </c>
      <c r="M30" s="27">
        <f t="shared" si="5"/>
        <v>2</v>
      </c>
      <c r="N30" s="26">
        <v>3.8971</v>
      </c>
      <c r="O30" s="26">
        <v>3.7669999999999999</v>
      </c>
      <c r="P30" s="26">
        <v>4.4260000000000002</v>
      </c>
      <c r="Q30" s="27">
        <f t="shared" si="6"/>
        <v>2</v>
      </c>
      <c r="R30" s="27">
        <f t="shared" si="7"/>
        <v>1</v>
      </c>
      <c r="S30" s="27">
        <f t="shared" si="8"/>
        <v>3</v>
      </c>
    </row>
    <row r="31" spans="1:19" x14ac:dyDescent="0.3">
      <c r="A31" s="25" t="s">
        <v>181</v>
      </c>
      <c r="B31" s="26">
        <v>30.63</v>
      </c>
      <c r="C31" s="26">
        <v>33.465000000000003</v>
      </c>
      <c r="D31" s="26">
        <v>35.125999999999998</v>
      </c>
      <c r="E31" s="27">
        <f t="shared" si="0"/>
        <v>1</v>
      </c>
      <c r="F31" s="27">
        <f t="shared" si="1"/>
        <v>2</v>
      </c>
      <c r="G31" s="27">
        <f t="shared" si="2"/>
        <v>3</v>
      </c>
      <c r="H31" s="26">
        <v>3.6149</v>
      </c>
      <c r="I31" s="26">
        <v>3.6778</v>
      </c>
      <c r="J31" s="26">
        <v>4.0446999999999997</v>
      </c>
      <c r="K31" s="27">
        <f t="shared" si="3"/>
        <v>1</v>
      </c>
      <c r="L31" s="27">
        <f t="shared" si="4"/>
        <v>2</v>
      </c>
      <c r="M31" s="27">
        <f t="shared" si="5"/>
        <v>3</v>
      </c>
      <c r="N31" s="26">
        <v>4.1230000000000002</v>
      </c>
      <c r="O31" s="26">
        <v>4.125</v>
      </c>
      <c r="P31" s="26">
        <v>4.024</v>
      </c>
      <c r="Q31" s="27">
        <f t="shared" si="6"/>
        <v>2</v>
      </c>
      <c r="R31" s="27">
        <f t="shared" si="7"/>
        <v>3</v>
      </c>
      <c r="S31" s="27">
        <f t="shared" si="8"/>
        <v>1</v>
      </c>
    </row>
    <row r="32" spans="1:19" x14ac:dyDescent="0.3">
      <c r="A32" s="25" t="s">
        <v>182</v>
      </c>
      <c r="B32" s="26">
        <v>29.611999999999998</v>
      </c>
      <c r="C32" s="26">
        <v>32.722000000000001</v>
      </c>
      <c r="D32" s="26">
        <v>31.748999999999999</v>
      </c>
      <c r="E32" s="27">
        <f t="shared" si="0"/>
        <v>1</v>
      </c>
      <c r="F32" s="27">
        <f t="shared" si="1"/>
        <v>3</v>
      </c>
      <c r="G32" s="27">
        <f t="shared" si="2"/>
        <v>2</v>
      </c>
      <c r="H32" s="26">
        <v>3.4944999999999999</v>
      </c>
      <c r="I32" s="26">
        <v>3.6295000000000002</v>
      </c>
      <c r="J32" s="26">
        <v>4.3696000000000002</v>
      </c>
      <c r="K32" s="27">
        <f t="shared" si="3"/>
        <v>1</v>
      </c>
      <c r="L32" s="27">
        <f t="shared" si="4"/>
        <v>2</v>
      </c>
      <c r="M32" s="27">
        <f t="shared" si="5"/>
        <v>3</v>
      </c>
      <c r="N32" s="26">
        <v>3.7610000000000001</v>
      </c>
      <c r="O32" s="26">
        <v>3.8679999999999999</v>
      </c>
      <c r="P32" s="26">
        <v>4.431</v>
      </c>
      <c r="Q32" s="27">
        <f t="shared" si="6"/>
        <v>1</v>
      </c>
      <c r="R32" s="27">
        <f t="shared" si="7"/>
        <v>2</v>
      </c>
      <c r="S32" s="27">
        <f t="shared" si="8"/>
        <v>3</v>
      </c>
    </row>
    <row r="33" spans="1:19" x14ac:dyDescent="0.3">
      <c r="A33" s="25" t="s">
        <v>183</v>
      </c>
      <c r="B33" s="26">
        <v>31.654</v>
      </c>
      <c r="C33" s="26">
        <v>34.451000000000001</v>
      </c>
      <c r="D33" s="26">
        <v>34.383000000000003</v>
      </c>
      <c r="E33" s="27">
        <f t="shared" si="0"/>
        <v>1</v>
      </c>
      <c r="F33" s="27">
        <f t="shared" si="1"/>
        <v>3</v>
      </c>
      <c r="G33" s="27">
        <f t="shared" si="2"/>
        <v>2</v>
      </c>
      <c r="H33" s="26">
        <v>3.3782999999999999</v>
      </c>
      <c r="I33" s="26">
        <v>3.4287000000000001</v>
      </c>
      <c r="J33" s="26">
        <v>4.2956000000000003</v>
      </c>
      <c r="K33" s="27">
        <f t="shared" si="3"/>
        <v>1</v>
      </c>
      <c r="L33" s="27">
        <f t="shared" si="4"/>
        <v>2</v>
      </c>
      <c r="M33" s="27">
        <f t="shared" si="5"/>
        <v>3</v>
      </c>
      <c r="N33" s="26">
        <v>4.4539999999999997</v>
      </c>
      <c r="O33" s="26">
        <v>4.4509999999999996</v>
      </c>
      <c r="P33" s="26">
        <v>4.4450000000000003</v>
      </c>
      <c r="Q33" s="27">
        <f t="shared" si="6"/>
        <v>3</v>
      </c>
      <c r="R33" s="27">
        <f t="shared" si="7"/>
        <v>2</v>
      </c>
      <c r="S33" s="27">
        <f t="shared" si="8"/>
        <v>1</v>
      </c>
    </row>
    <row r="34" spans="1:19" x14ac:dyDescent="0.3">
      <c r="A34" s="25" t="s">
        <v>184</v>
      </c>
      <c r="B34" s="26">
        <v>29.309000000000001</v>
      </c>
      <c r="C34" s="26">
        <v>37.817</v>
      </c>
      <c r="D34" s="26">
        <v>32.131</v>
      </c>
      <c r="E34" s="27">
        <f t="shared" si="0"/>
        <v>1</v>
      </c>
      <c r="F34" s="27">
        <f t="shared" si="1"/>
        <v>3</v>
      </c>
      <c r="G34" s="27">
        <f t="shared" si="2"/>
        <v>2</v>
      </c>
      <c r="H34" s="26">
        <v>3.5225</v>
      </c>
      <c r="I34" s="26">
        <v>8.4626000000000001</v>
      </c>
      <c r="J34" s="26">
        <v>8.3405000000000005</v>
      </c>
      <c r="K34" s="27">
        <f t="shared" si="3"/>
        <v>1</v>
      </c>
      <c r="L34" s="27">
        <f t="shared" si="4"/>
        <v>3</v>
      </c>
      <c r="M34" s="27">
        <f t="shared" si="5"/>
        <v>2</v>
      </c>
      <c r="N34" s="26">
        <v>3.915</v>
      </c>
      <c r="O34" s="26">
        <v>4.4809999999999999</v>
      </c>
      <c r="P34" s="26">
        <v>4.3879999999999999</v>
      </c>
      <c r="Q34" s="27">
        <f t="shared" si="6"/>
        <v>1</v>
      </c>
      <c r="R34" s="27">
        <f t="shared" si="7"/>
        <v>3</v>
      </c>
      <c r="S34" s="27">
        <f t="shared" si="8"/>
        <v>2</v>
      </c>
    </row>
    <row r="35" spans="1:19" x14ac:dyDescent="0.3">
      <c r="A35" s="25" t="s">
        <v>185</v>
      </c>
      <c r="B35" s="26">
        <v>29.216999999999999</v>
      </c>
      <c r="C35" s="26">
        <v>32.969000000000001</v>
      </c>
      <c r="D35" s="26">
        <v>34.354999999999997</v>
      </c>
      <c r="E35" s="27">
        <f t="shared" si="0"/>
        <v>1</v>
      </c>
      <c r="F35" s="27">
        <f t="shared" si="1"/>
        <v>2</v>
      </c>
      <c r="G35" s="27">
        <f t="shared" si="2"/>
        <v>3</v>
      </c>
      <c r="H35" s="26">
        <v>3.6734</v>
      </c>
      <c r="I35" s="26">
        <v>3.9310999999999998</v>
      </c>
      <c r="J35" s="26">
        <v>6.9333999999999998</v>
      </c>
      <c r="K35" s="27">
        <f t="shared" si="3"/>
        <v>1</v>
      </c>
      <c r="L35" s="27">
        <f t="shared" si="4"/>
        <v>2</v>
      </c>
      <c r="M35" s="27">
        <f t="shared" si="5"/>
        <v>3</v>
      </c>
      <c r="N35" s="26">
        <v>3.7749999999999999</v>
      </c>
      <c r="O35" s="26">
        <v>3.7890000000000001</v>
      </c>
      <c r="P35" s="26">
        <v>3.9660000000000002</v>
      </c>
      <c r="Q35" s="27">
        <f t="shared" si="6"/>
        <v>1</v>
      </c>
      <c r="R35" s="27">
        <f t="shared" si="7"/>
        <v>2</v>
      </c>
      <c r="S35" s="27">
        <f t="shared" si="8"/>
        <v>3</v>
      </c>
    </row>
    <row r="36" spans="1:19" x14ac:dyDescent="0.3">
      <c r="A36" s="25" t="s">
        <v>186</v>
      </c>
      <c r="B36" s="26">
        <v>36.936999999999998</v>
      </c>
      <c r="C36" s="26">
        <v>34.981000000000002</v>
      </c>
      <c r="D36" s="26">
        <v>35.396000000000001</v>
      </c>
      <c r="E36" s="27">
        <f t="shared" si="0"/>
        <v>3</v>
      </c>
      <c r="F36" s="27">
        <f t="shared" si="1"/>
        <v>1</v>
      </c>
      <c r="G36" s="27">
        <f t="shared" si="2"/>
        <v>2</v>
      </c>
      <c r="H36" s="26">
        <v>4.0195999999999996</v>
      </c>
      <c r="I36" s="26">
        <v>4.5750000000000002</v>
      </c>
      <c r="J36" s="26">
        <v>5.0919999999999996</v>
      </c>
      <c r="K36" s="27">
        <f t="shared" si="3"/>
        <v>1</v>
      </c>
      <c r="L36" s="27">
        <f t="shared" si="4"/>
        <v>2</v>
      </c>
      <c r="M36" s="27">
        <f t="shared" si="5"/>
        <v>3</v>
      </c>
      <c r="N36" s="26">
        <v>5.8289999999999997</v>
      </c>
      <c r="O36" s="26">
        <v>3.9940000000000002</v>
      </c>
      <c r="P36" s="26">
        <v>4.4219999999999997</v>
      </c>
      <c r="Q36" s="27">
        <f t="shared" si="6"/>
        <v>3</v>
      </c>
      <c r="R36" s="27">
        <f t="shared" si="7"/>
        <v>1</v>
      </c>
      <c r="S36" s="27">
        <f t="shared" si="8"/>
        <v>2</v>
      </c>
    </row>
    <row r="37" spans="1:19" x14ac:dyDescent="0.3">
      <c r="A37" s="25" t="s">
        <v>187</v>
      </c>
      <c r="B37" s="26">
        <v>31.72</v>
      </c>
      <c r="C37" s="26">
        <v>32.409700000000001</v>
      </c>
      <c r="D37" s="26">
        <v>34.081000000000003</v>
      </c>
      <c r="E37" s="27">
        <f t="shared" si="0"/>
        <v>1</v>
      </c>
      <c r="F37" s="27">
        <f t="shared" si="1"/>
        <v>2</v>
      </c>
      <c r="G37" s="27">
        <f t="shared" si="2"/>
        <v>3</v>
      </c>
      <c r="H37" s="26">
        <v>3.1366000000000001</v>
      </c>
      <c r="I37" s="26">
        <v>6.657</v>
      </c>
      <c r="J37" s="26">
        <v>5.4729000000000001</v>
      </c>
      <c r="K37" s="27">
        <f t="shared" si="3"/>
        <v>1</v>
      </c>
      <c r="L37" s="27">
        <f t="shared" si="4"/>
        <v>3</v>
      </c>
      <c r="M37" s="27">
        <f t="shared" si="5"/>
        <v>2</v>
      </c>
      <c r="N37" s="26">
        <v>4.3689999999999998</v>
      </c>
      <c r="O37" s="26">
        <v>3.4786000000000001</v>
      </c>
      <c r="P37" s="26">
        <v>3.8180000000000001</v>
      </c>
      <c r="Q37" s="27">
        <f t="shared" si="6"/>
        <v>3</v>
      </c>
      <c r="R37" s="27">
        <f t="shared" si="7"/>
        <v>1</v>
      </c>
      <c r="S37" s="27">
        <f t="shared" si="8"/>
        <v>2</v>
      </c>
    </row>
    <row r="38" spans="1:19" x14ac:dyDescent="0.3">
      <c r="A38" s="25" t="s">
        <v>188</v>
      </c>
      <c r="B38" s="26">
        <v>32.161000000000001</v>
      </c>
      <c r="C38" s="26">
        <v>33.904000000000003</v>
      </c>
      <c r="D38" s="26">
        <v>28.13</v>
      </c>
      <c r="E38" s="27">
        <f t="shared" si="0"/>
        <v>2</v>
      </c>
      <c r="F38" s="27">
        <f t="shared" si="1"/>
        <v>3</v>
      </c>
      <c r="G38" s="27">
        <f t="shared" si="2"/>
        <v>1</v>
      </c>
      <c r="H38" s="26">
        <v>3.7892000000000001</v>
      </c>
      <c r="I38" s="26">
        <v>4.6124000000000001</v>
      </c>
      <c r="J38" s="26">
        <v>3.9464999999999999</v>
      </c>
      <c r="K38" s="27">
        <f t="shared" si="3"/>
        <v>1</v>
      </c>
      <c r="L38" s="27">
        <f t="shared" si="4"/>
        <v>3</v>
      </c>
      <c r="M38" s="27">
        <f t="shared" si="5"/>
        <v>2</v>
      </c>
      <c r="N38" s="26">
        <v>3.0030000000000001</v>
      </c>
      <c r="O38" s="26">
        <v>3.7</v>
      </c>
      <c r="P38" s="26">
        <v>3.7280000000000002</v>
      </c>
      <c r="Q38" s="27">
        <f t="shared" si="6"/>
        <v>1</v>
      </c>
      <c r="R38" s="27">
        <f t="shared" si="7"/>
        <v>2</v>
      </c>
      <c r="S38" s="27">
        <f t="shared" si="8"/>
        <v>3</v>
      </c>
    </row>
    <row r="39" spans="1:19" x14ac:dyDescent="0.3">
      <c r="A39" s="25" t="s">
        <v>189</v>
      </c>
      <c r="B39" s="26">
        <v>32.939</v>
      </c>
      <c r="C39" s="26">
        <v>29.28</v>
      </c>
      <c r="D39" s="26">
        <v>32.746000000000002</v>
      </c>
      <c r="E39" s="27">
        <f t="shared" si="0"/>
        <v>3</v>
      </c>
      <c r="F39" s="27">
        <f t="shared" si="1"/>
        <v>1</v>
      </c>
      <c r="G39" s="27">
        <f t="shared" si="2"/>
        <v>2</v>
      </c>
      <c r="H39" s="26">
        <v>3.3641999999999999</v>
      </c>
      <c r="I39" s="26">
        <v>3.6699000000000002</v>
      </c>
      <c r="J39" s="26">
        <v>5.0766</v>
      </c>
      <c r="K39" s="27">
        <f t="shared" si="3"/>
        <v>1</v>
      </c>
      <c r="L39" s="27">
        <f t="shared" si="4"/>
        <v>2</v>
      </c>
      <c r="M39" s="27">
        <f t="shared" si="5"/>
        <v>3</v>
      </c>
      <c r="N39" s="26">
        <v>3.9529999999999998</v>
      </c>
      <c r="O39" s="26">
        <v>3.4220000000000002</v>
      </c>
      <c r="P39" s="26">
        <v>4.0419999999999998</v>
      </c>
      <c r="Q39" s="27">
        <f t="shared" si="6"/>
        <v>2</v>
      </c>
      <c r="R39" s="27">
        <f t="shared" si="7"/>
        <v>1</v>
      </c>
      <c r="S39" s="27">
        <f t="shared" si="8"/>
        <v>3</v>
      </c>
    </row>
    <row r="40" spans="1:19" x14ac:dyDescent="0.3">
      <c r="A40" s="25" t="s">
        <v>190</v>
      </c>
      <c r="B40" s="26">
        <v>39.439</v>
      </c>
      <c r="C40" s="26">
        <v>30.885000000000002</v>
      </c>
      <c r="D40" s="26">
        <v>33.372999999999998</v>
      </c>
      <c r="E40" s="27">
        <f t="shared" ref="E40:E56" si="9">RANK(B40,$B40:$D40,1)</f>
        <v>3</v>
      </c>
      <c r="F40" s="27">
        <f t="shared" ref="F40:F56" si="10">RANK(C40,$B40:$D40,1)</f>
        <v>1</v>
      </c>
      <c r="G40" s="27">
        <f t="shared" ref="G40:G56" si="11">RANK(D40,$B40:$D40,1)</f>
        <v>2</v>
      </c>
      <c r="H40" s="26">
        <v>5.0233999999999996</v>
      </c>
      <c r="I40" s="26">
        <v>3.7366999999999999</v>
      </c>
      <c r="J40" s="26">
        <v>3.0700400000000001</v>
      </c>
      <c r="K40" s="27">
        <f t="shared" ref="K40:K56" si="12">RANK(H40,$H40:$J40,1)</f>
        <v>3</v>
      </c>
      <c r="L40" s="27">
        <f t="shared" ref="L40:L56" si="13">RANK(I40,$H40:$J40,1)</f>
        <v>2</v>
      </c>
      <c r="M40" s="27">
        <f t="shared" ref="M40:M56" si="14">RANK(J40,$H40:$J40,1)</f>
        <v>1</v>
      </c>
      <c r="N40" s="26">
        <v>4.2510000000000003</v>
      </c>
      <c r="O40" s="26">
        <v>3.7719999999999998</v>
      </c>
      <c r="P40" s="26">
        <v>3.996</v>
      </c>
      <c r="Q40" s="27">
        <f t="shared" ref="Q40:Q56" si="15">RANK(N40,$N40:$P40,1)</f>
        <v>3</v>
      </c>
      <c r="R40" s="27">
        <f t="shared" ref="R40:R56" si="16">RANK(O40,$N40:$P40,1)</f>
        <v>1</v>
      </c>
      <c r="S40" s="27">
        <f t="shared" ref="S40:S56" si="17">RANK(P40,$N40:$P40,1)</f>
        <v>2</v>
      </c>
    </row>
    <row r="41" spans="1:19" x14ac:dyDescent="0.3">
      <c r="A41" s="25" t="s">
        <v>191</v>
      </c>
      <c r="B41" s="26">
        <v>30.786999999999999</v>
      </c>
      <c r="C41" s="26">
        <v>32.465000000000003</v>
      </c>
      <c r="D41" s="26">
        <v>33.649000000000001</v>
      </c>
      <c r="E41" s="27">
        <f t="shared" si="9"/>
        <v>1</v>
      </c>
      <c r="F41" s="27">
        <f t="shared" si="10"/>
        <v>2</v>
      </c>
      <c r="G41" s="27">
        <f t="shared" si="11"/>
        <v>3</v>
      </c>
      <c r="H41" s="26">
        <v>3.1547000000000001</v>
      </c>
      <c r="I41" s="26">
        <v>3.6778</v>
      </c>
      <c r="J41" s="26">
        <v>3.6147999999999998</v>
      </c>
      <c r="K41" s="27">
        <f t="shared" si="12"/>
        <v>1</v>
      </c>
      <c r="L41" s="27">
        <f t="shared" si="13"/>
        <v>3</v>
      </c>
      <c r="M41" s="27">
        <f t="shared" si="14"/>
        <v>2</v>
      </c>
      <c r="N41" s="26">
        <v>4.0679999999999996</v>
      </c>
      <c r="O41" s="26">
        <v>4.125</v>
      </c>
      <c r="P41" s="26">
        <v>3.7530000000000001</v>
      </c>
      <c r="Q41" s="27">
        <f t="shared" si="15"/>
        <v>2</v>
      </c>
      <c r="R41" s="27">
        <f t="shared" si="16"/>
        <v>3</v>
      </c>
      <c r="S41" s="27">
        <f t="shared" si="17"/>
        <v>1</v>
      </c>
    </row>
    <row r="42" spans="1:19" x14ac:dyDescent="0.3">
      <c r="A42" s="25" t="s">
        <v>192</v>
      </c>
      <c r="B42" s="26">
        <v>29.785</v>
      </c>
      <c r="C42" s="26">
        <v>32.51</v>
      </c>
      <c r="D42" s="26">
        <v>31.366</v>
      </c>
      <c r="E42" s="27">
        <f t="shared" si="9"/>
        <v>1</v>
      </c>
      <c r="F42" s="27">
        <f t="shared" si="10"/>
        <v>3</v>
      </c>
      <c r="G42" s="27">
        <f t="shared" si="11"/>
        <v>2</v>
      </c>
      <c r="H42" s="26">
        <v>2.5962000000000001</v>
      </c>
      <c r="I42" s="26">
        <v>3.5975999999999999</v>
      </c>
      <c r="J42" s="26">
        <v>4.6047000000000002</v>
      </c>
      <c r="K42" s="27">
        <f t="shared" si="12"/>
        <v>1</v>
      </c>
      <c r="L42" s="27">
        <f t="shared" si="13"/>
        <v>2</v>
      </c>
      <c r="M42" s="27">
        <f t="shared" si="14"/>
        <v>3</v>
      </c>
      <c r="N42" s="26">
        <v>4.3860000000000001</v>
      </c>
      <c r="O42" s="26">
        <v>3.7559999999999998</v>
      </c>
      <c r="P42" s="26">
        <v>4.202</v>
      </c>
      <c r="Q42" s="27">
        <f t="shared" si="15"/>
        <v>3</v>
      </c>
      <c r="R42" s="27">
        <f t="shared" si="16"/>
        <v>1</v>
      </c>
      <c r="S42" s="27">
        <f t="shared" si="17"/>
        <v>2</v>
      </c>
    </row>
    <row r="43" spans="1:19" x14ac:dyDescent="0.3">
      <c r="A43" s="25" t="s">
        <v>193</v>
      </c>
      <c r="B43" s="26">
        <v>34.466000000000001</v>
      </c>
      <c r="C43" s="26">
        <v>29.650300000000001</v>
      </c>
      <c r="D43" s="26">
        <v>31.576000000000001</v>
      </c>
      <c r="E43" s="27">
        <f t="shared" si="9"/>
        <v>3</v>
      </c>
      <c r="F43" s="27">
        <f t="shared" si="10"/>
        <v>1</v>
      </c>
      <c r="G43" s="27">
        <f t="shared" si="11"/>
        <v>2</v>
      </c>
      <c r="H43" s="26">
        <v>3.3782000000000001</v>
      </c>
      <c r="I43" s="26">
        <v>3.4358</v>
      </c>
      <c r="J43" s="26">
        <v>4.2967000000000004</v>
      </c>
      <c r="K43" s="27">
        <f t="shared" si="12"/>
        <v>1</v>
      </c>
      <c r="L43" s="27">
        <f t="shared" si="13"/>
        <v>2</v>
      </c>
      <c r="M43" s="27">
        <f t="shared" si="14"/>
        <v>3</v>
      </c>
      <c r="N43" s="26">
        <v>4.4489999999999998</v>
      </c>
      <c r="O43" s="26">
        <v>3.6783000000000001</v>
      </c>
      <c r="P43" s="26">
        <v>4.3970000000000002</v>
      </c>
      <c r="Q43" s="27">
        <f t="shared" si="15"/>
        <v>3</v>
      </c>
      <c r="R43" s="27">
        <f t="shared" si="16"/>
        <v>1</v>
      </c>
      <c r="S43" s="27">
        <f t="shared" si="17"/>
        <v>2</v>
      </c>
    </row>
    <row r="44" spans="1:19" x14ac:dyDescent="0.3">
      <c r="A44" s="25" t="s">
        <v>194</v>
      </c>
      <c r="B44" s="26">
        <v>33.737000000000002</v>
      </c>
      <c r="C44" s="26">
        <v>29.817</v>
      </c>
      <c r="D44" s="26">
        <v>35.549999999999997</v>
      </c>
      <c r="E44" s="27">
        <f t="shared" si="9"/>
        <v>2</v>
      </c>
      <c r="F44" s="27">
        <f t="shared" si="10"/>
        <v>1</v>
      </c>
      <c r="G44" s="27">
        <f t="shared" si="11"/>
        <v>3</v>
      </c>
      <c r="H44" s="26">
        <v>6.9531000000000001</v>
      </c>
      <c r="I44" s="26">
        <v>8.4626000000000001</v>
      </c>
      <c r="J44" s="26">
        <v>6.8186999999999998</v>
      </c>
      <c r="K44" s="27">
        <f t="shared" si="12"/>
        <v>2</v>
      </c>
      <c r="L44" s="27">
        <f t="shared" si="13"/>
        <v>3</v>
      </c>
      <c r="M44" s="27">
        <f t="shared" si="14"/>
        <v>1</v>
      </c>
      <c r="N44" s="26">
        <v>4.3769999999999998</v>
      </c>
      <c r="O44" s="26">
        <v>4.4809999999999999</v>
      </c>
      <c r="P44" s="26">
        <v>4.6159999999999997</v>
      </c>
      <c r="Q44" s="27">
        <f t="shared" si="15"/>
        <v>1</v>
      </c>
      <c r="R44" s="27">
        <f t="shared" si="16"/>
        <v>2</v>
      </c>
      <c r="S44" s="27">
        <f t="shared" si="17"/>
        <v>3</v>
      </c>
    </row>
    <row r="45" spans="1:19" x14ac:dyDescent="0.3">
      <c r="A45" s="25" t="s">
        <v>195</v>
      </c>
      <c r="B45" s="26">
        <v>30.041</v>
      </c>
      <c r="C45" s="26">
        <v>38.457999999999998</v>
      </c>
      <c r="D45" s="26">
        <v>33.404000000000003</v>
      </c>
      <c r="E45" s="27">
        <f t="shared" si="9"/>
        <v>1</v>
      </c>
      <c r="F45" s="27">
        <f t="shared" si="10"/>
        <v>3</v>
      </c>
      <c r="G45" s="27">
        <f t="shared" si="11"/>
        <v>2</v>
      </c>
      <c r="H45" s="26">
        <v>3.8018999999999998</v>
      </c>
      <c r="I45" s="26">
        <v>4.0122</v>
      </c>
      <c r="J45" s="26">
        <v>4.5347999999999997</v>
      </c>
      <c r="K45" s="27">
        <f t="shared" si="12"/>
        <v>1</v>
      </c>
      <c r="L45" s="27">
        <f t="shared" si="13"/>
        <v>2</v>
      </c>
      <c r="M45" s="27">
        <f t="shared" si="14"/>
        <v>3</v>
      </c>
      <c r="N45" s="26">
        <v>3.7589999999999999</v>
      </c>
      <c r="O45" s="26">
        <v>3.339</v>
      </c>
      <c r="P45" s="26">
        <v>4.3769999999999998</v>
      </c>
      <c r="Q45" s="27">
        <f t="shared" si="15"/>
        <v>2</v>
      </c>
      <c r="R45" s="27">
        <f t="shared" si="16"/>
        <v>1</v>
      </c>
      <c r="S45" s="27">
        <f t="shared" si="17"/>
        <v>3</v>
      </c>
    </row>
    <row r="46" spans="1:19" x14ac:dyDescent="0.3">
      <c r="A46" s="25" t="s">
        <v>196</v>
      </c>
      <c r="B46" s="26">
        <v>28.646000000000001</v>
      </c>
      <c r="C46" s="26">
        <v>28.701000000000001</v>
      </c>
      <c r="D46" s="26">
        <v>31.433</v>
      </c>
      <c r="E46" s="27">
        <f t="shared" si="9"/>
        <v>1</v>
      </c>
      <c r="F46" s="27">
        <f t="shared" si="10"/>
        <v>2</v>
      </c>
      <c r="G46" s="27">
        <f t="shared" si="11"/>
        <v>3</v>
      </c>
      <c r="H46" s="26">
        <v>3.0145</v>
      </c>
      <c r="I46" s="26">
        <v>4.2073</v>
      </c>
      <c r="J46" s="26">
        <v>3.3111000000000002</v>
      </c>
      <c r="K46" s="27">
        <f t="shared" si="12"/>
        <v>1</v>
      </c>
      <c r="L46" s="27">
        <f t="shared" si="13"/>
        <v>3</v>
      </c>
      <c r="M46" s="27">
        <f t="shared" si="14"/>
        <v>2</v>
      </c>
      <c r="N46" s="26">
        <v>3.6890000000000001</v>
      </c>
      <c r="O46" s="26">
        <v>3.0489999999999999</v>
      </c>
      <c r="P46" s="26">
        <v>3.7850000000000001</v>
      </c>
      <c r="Q46" s="27">
        <f t="shared" si="15"/>
        <v>2</v>
      </c>
      <c r="R46" s="27">
        <f t="shared" si="16"/>
        <v>1</v>
      </c>
      <c r="S46" s="27">
        <f t="shared" si="17"/>
        <v>3</v>
      </c>
    </row>
    <row r="47" spans="1:19" x14ac:dyDescent="0.3">
      <c r="A47" s="25" t="s">
        <v>197</v>
      </c>
      <c r="B47" s="26">
        <v>31.484999999999999</v>
      </c>
      <c r="C47" s="26">
        <v>37.238999999999997</v>
      </c>
      <c r="D47" s="26">
        <v>36.798999999999999</v>
      </c>
      <c r="E47" s="27">
        <f t="shared" si="9"/>
        <v>1</v>
      </c>
      <c r="F47" s="27">
        <f t="shared" si="10"/>
        <v>3</v>
      </c>
      <c r="G47" s="27">
        <f t="shared" si="11"/>
        <v>2</v>
      </c>
      <c r="H47" s="26">
        <v>3.1012</v>
      </c>
      <c r="I47" s="26">
        <v>3.8195000000000001</v>
      </c>
      <c r="J47" s="26">
        <v>5.6033999999999997</v>
      </c>
      <c r="K47" s="27">
        <f t="shared" si="12"/>
        <v>1</v>
      </c>
      <c r="L47" s="27">
        <f t="shared" si="13"/>
        <v>2</v>
      </c>
      <c r="M47" s="27">
        <f t="shared" si="14"/>
        <v>3</v>
      </c>
      <c r="N47" s="26">
        <v>3.758</v>
      </c>
      <c r="O47" s="26">
        <v>3.2170000000000001</v>
      </c>
      <c r="P47" s="26">
        <v>4.3570000000000002</v>
      </c>
      <c r="Q47" s="27">
        <f t="shared" si="15"/>
        <v>2</v>
      </c>
      <c r="R47" s="27">
        <f t="shared" si="16"/>
        <v>1</v>
      </c>
      <c r="S47" s="27">
        <f t="shared" si="17"/>
        <v>3</v>
      </c>
    </row>
    <row r="48" spans="1:19" x14ac:dyDescent="0.3">
      <c r="A48" s="25" t="s">
        <v>198</v>
      </c>
      <c r="B48" s="26">
        <v>33.945999999999998</v>
      </c>
      <c r="C48" s="26">
        <v>37.860999999999997</v>
      </c>
      <c r="D48" s="26">
        <v>31.532</v>
      </c>
      <c r="E48" s="27">
        <f t="shared" si="9"/>
        <v>2</v>
      </c>
      <c r="F48" s="27">
        <f t="shared" si="10"/>
        <v>3</v>
      </c>
      <c r="G48" s="27">
        <f t="shared" si="11"/>
        <v>1</v>
      </c>
      <c r="H48" s="26">
        <v>3.8611</v>
      </c>
      <c r="I48" s="26">
        <v>5.3423999999999996</v>
      </c>
      <c r="J48" s="26">
        <v>4.5</v>
      </c>
      <c r="K48" s="27">
        <f t="shared" si="12"/>
        <v>1</v>
      </c>
      <c r="L48" s="27">
        <f t="shared" si="13"/>
        <v>3</v>
      </c>
      <c r="M48" s="27">
        <f t="shared" si="14"/>
        <v>2</v>
      </c>
      <c r="N48" s="26">
        <v>4.3330000000000002</v>
      </c>
      <c r="O48" s="26">
        <v>4.1609999999999996</v>
      </c>
      <c r="P48" s="26">
        <v>3.7360000000000002</v>
      </c>
      <c r="Q48" s="27">
        <f t="shared" si="15"/>
        <v>3</v>
      </c>
      <c r="R48" s="27">
        <f t="shared" si="16"/>
        <v>2</v>
      </c>
      <c r="S48" s="27">
        <f t="shared" si="17"/>
        <v>1</v>
      </c>
    </row>
    <row r="49" spans="1:19" x14ac:dyDescent="0.3">
      <c r="A49" s="25" t="s">
        <v>199</v>
      </c>
      <c r="B49" s="26">
        <v>27.978000000000002</v>
      </c>
      <c r="C49" s="26">
        <v>35.533000000000001</v>
      </c>
      <c r="D49" s="26">
        <v>31.866</v>
      </c>
      <c r="E49" s="27">
        <f t="shared" si="9"/>
        <v>1</v>
      </c>
      <c r="F49" s="27">
        <f t="shared" si="10"/>
        <v>3</v>
      </c>
      <c r="G49" s="27">
        <f t="shared" si="11"/>
        <v>2</v>
      </c>
      <c r="H49" s="26">
        <v>3.2603</v>
      </c>
      <c r="I49" s="26">
        <v>5.1689999999999996</v>
      </c>
      <c r="J49" s="26">
        <v>4.1946000000000003</v>
      </c>
      <c r="K49" s="27">
        <f t="shared" si="12"/>
        <v>1</v>
      </c>
      <c r="L49" s="27">
        <f t="shared" si="13"/>
        <v>3</v>
      </c>
      <c r="M49" s="27">
        <f t="shared" si="14"/>
        <v>2</v>
      </c>
      <c r="N49" s="26">
        <v>4.0149999999999997</v>
      </c>
      <c r="O49" s="26">
        <v>3.9209999999999998</v>
      </c>
      <c r="P49" s="26">
        <v>3.8220000000000001</v>
      </c>
      <c r="Q49" s="27">
        <f t="shared" si="15"/>
        <v>3</v>
      </c>
      <c r="R49" s="27">
        <f t="shared" si="16"/>
        <v>2</v>
      </c>
      <c r="S49" s="27">
        <f t="shared" si="17"/>
        <v>1</v>
      </c>
    </row>
    <row r="50" spans="1:19" x14ac:dyDescent="0.3">
      <c r="A50" s="25" t="s">
        <v>200</v>
      </c>
      <c r="B50" s="26">
        <v>34.537999999999997</v>
      </c>
      <c r="C50" s="26">
        <v>30.885000000000002</v>
      </c>
      <c r="D50" s="26">
        <v>35.543999999999997</v>
      </c>
      <c r="E50" s="27">
        <f t="shared" si="9"/>
        <v>2</v>
      </c>
      <c r="F50" s="27">
        <f t="shared" si="10"/>
        <v>1</v>
      </c>
      <c r="G50" s="27">
        <f t="shared" si="11"/>
        <v>3</v>
      </c>
      <c r="H50" s="26">
        <v>5.0495999999999999</v>
      </c>
      <c r="I50" s="26">
        <v>3.7366999999999999</v>
      </c>
      <c r="J50" s="26">
        <v>5.8891</v>
      </c>
      <c r="K50" s="27">
        <f t="shared" si="12"/>
        <v>2</v>
      </c>
      <c r="L50" s="27">
        <f t="shared" si="13"/>
        <v>1</v>
      </c>
      <c r="M50" s="27">
        <f t="shared" si="14"/>
        <v>3</v>
      </c>
      <c r="N50" s="26">
        <v>4.6239999999999997</v>
      </c>
      <c r="O50" s="26">
        <v>3.7719999999999998</v>
      </c>
      <c r="P50" s="26">
        <v>4.0090000000000003</v>
      </c>
      <c r="Q50" s="27">
        <f t="shared" si="15"/>
        <v>3</v>
      </c>
      <c r="R50" s="27">
        <f t="shared" si="16"/>
        <v>1</v>
      </c>
      <c r="S50" s="27">
        <f t="shared" si="17"/>
        <v>2</v>
      </c>
    </row>
    <row r="51" spans="1:19" x14ac:dyDescent="0.3">
      <c r="A51" s="25" t="s">
        <v>201</v>
      </c>
      <c r="B51" s="26">
        <v>29.518000000000001</v>
      </c>
      <c r="C51" s="26">
        <v>36.997999999999998</v>
      </c>
      <c r="D51" s="26">
        <v>29.814</v>
      </c>
      <c r="E51" s="27">
        <f t="shared" si="9"/>
        <v>1</v>
      </c>
      <c r="F51" s="27">
        <f t="shared" si="10"/>
        <v>3</v>
      </c>
      <c r="G51" s="27">
        <f t="shared" si="11"/>
        <v>2</v>
      </c>
      <c r="H51" s="26">
        <v>3.4906999999999999</v>
      </c>
      <c r="I51" s="26">
        <v>3.5102000000000002</v>
      </c>
      <c r="J51" s="26">
        <v>3.0619000000000001</v>
      </c>
      <c r="K51" s="27">
        <f t="shared" si="12"/>
        <v>2</v>
      </c>
      <c r="L51" s="27">
        <f t="shared" si="13"/>
        <v>3</v>
      </c>
      <c r="M51" s="27">
        <f t="shared" si="14"/>
        <v>1</v>
      </c>
      <c r="N51" s="26">
        <v>4.109</v>
      </c>
      <c r="O51" s="26">
        <v>3.4060000000000001</v>
      </c>
      <c r="P51" s="26">
        <v>3.8460000000000001</v>
      </c>
      <c r="Q51" s="27">
        <f t="shared" si="15"/>
        <v>3</v>
      </c>
      <c r="R51" s="27">
        <f t="shared" si="16"/>
        <v>1</v>
      </c>
      <c r="S51" s="27">
        <f t="shared" si="17"/>
        <v>2</v>
      </c>
    </row>
    <row r="52" spans="1:19" x14ac:dyDescent="0.3">
      <c r="A52" s="25" t="s">
        <v>202</v>
      </c>
      <c r="B52" s="26">
        <v>28.437999999999999</v>
      </c>
      <c r="C52" s="26">
        <v>32.722000000000001</v>
      </c>
      <c r="D52" s="26">
        <v>30.937999999999999</v>
      </c>
      <c r="E52" s="27">
        <f t="shared" si="9"/>
        <v>1</v>
      </c>
      <c r="F52" s="27">
        <f t="shared" si="10"/>
        <v>3</v>
      </c>
      <c r="G52" s="27">
        <f t="shared" si="11"/>
        <v>2</v>
      </c>
      <c r="H52" s="26">
        <v>2.1951000000000001</v>
      </c>
      <c r="I52" s="26">
        <v>3.6295000000000002</v>
      </c>
      <c r="J52" s="26">
        <v>4.3941999999999997</v>
      </c>
      <c r="K52" s="27">
        <f t="shared" si="12"/>
        <v>1</v>
      </c>
      <c r="L52" s="27">
        <f t="shared" si="13"/>
        <v>2</v>
      </c>
      <c r="M52" s="27">
        <f t="shared" si="14"/>
        <v>3</v>
      </c>
      <c r="N52" s="26">
        <v>3.7290000000000001</v>
      </c>
      <c r="O52" s="26">
        <v>3.8679999999999999</v>
      </c>
      <c r="P52" s="26">
        <v>3.98</v>
      </c>
      <c r="Q52" s="27">
        <f t="shared" si="15"/>
        <v>1</v>
      </c>
      <c r="R52" s="27">
        <f t="shared" si="16"/>
        <v>2</v>
      </c>
      <c r="S52" s="27">
        <f t="shared" si="17"/>
        <v>3</v>
      </c>
    </row>
    <row r="53" spans="1:19" x14ac:dyDescent="0.3">
      <c r="A53" s="25" t="s">
        <v>203</v>
      </c>
      <c r="B53" s="26">
        <v>33.061</v>
      </c>
      <c r="C53" s="26">
        <v>33.650300000000001</v>
      </c>
      <c r="D53" s="26">
        <v>31.475000000000001</v>
      </c>
      <c r="E53" s="27">
        <f t="shared" si="9"/>
        <v>2</v>
      </c>
      <c r="F53" s="27">
        <f t="shared" si="10"/>
        <v>3</v>
      </c>
      <c r="G53" s="27">
        <f t="shared" si="11"/>
        <v>1</v>
      </c>
      <c r="H53" s="26">
        <v>3.3628</v>
      </c>
      <c r="I53" s="26">
        <v>3.4358</v>
      </c>
      <c r="J53" s="26">
        <v>6.0174000000000003</v>
      </c>
      <c r="K53" s="27">
        <f t="shared" si="12"/>
        <v>1</v>
      </c>
      <c r="L53" s="27">
        <f t="shared" si="13"/>
        <v>2</v>
      </c>
      <c r="M53" s="27">
        <f t="shared" si="14"/>
        <v>3</v>
      </c>
      <c r="N53" s="26">
        <v>4.452</v>
      </c>
      <c r="O53" s="26">
        <v>3.6783000000000001</v>
      </c>
      <c r="P53" s="26">
        <v>4.4050000000000002</v>
      </c>
      <c r="Q53" s="27">
        <f t="shared" si="15"/>
        <v>3</v>
      </c>
      <c r="R53" s="27">
        <f t="shared" si="16"/>
        <v>1</v>
      </c>
      <c r="S53" s="27">
        <f t="shared" si="17"/>
        <v>2</v>
      </c>
    </row>
    <row r="54" spans="1:19" x14ac:dyDescent="0.3">
      <c r="A54" s="25" t="s">
        <v>204</v>
      </c>
      <c r="B54" s="26">
        <v>31.044</v>
      </c>
      <c r="C54" s="26">
        <v>37.817</v>
      </c>
      <c r="D54" s="26">
        <v>30.859000000000002</v>
      </c>
      <c r="E54" s="27">
        <f t="shared" si="9"/>
        <v>2</v>
      </c>
      <c r="F54" s="27">
        <f t="shared" si="10"/>
        <v>3</v>
      </c>
      <c r="G54" s="27">
        <f t="shared" si="11"/>
        <v>1</v>
      </c>
      <c r="H54" s="26">
        <v>6.8110999999999997</v>
      </c>
      <c r="I54" s="26">
        <v>8.4626000000000001</v>
      </c>
      <c r="J54" s="26">
        <v>3.7623000000000002</v>
      </c>
      <c r="K54" s="27">
        <f t="shared" si="12"/>
        <v>2</v>
      </c>
      <c r="L54" s="27">
        <f t="shared" si="13"/>
        <v>3</v>
      </c>
      <c r="M54" s="27">
        <f t="shared" si="14"/>
        <v>1</v>
      </c>
      <c r="N54" s="26">
        <v>4.3899999999999997</v>
      </c>
      <c r="O54" s="26">
        <v>4.4809999999999999</v>
      </c>
      <c r="P54" s="26">
        <v>3.8069999999999999</v>
      </c>
      <c r="Q54" s="27">
        <f t="shared" si="15"/>
        <v>2</v>
      </c>
      <c r="R54" s="27">
        <f t="shared" si="16"/>
        <v>3</v>
      </c>
      <c r="S54" s="27">
        <f t="shared" si="17"/>
        <v>1</v>
      </c>
    </row>
    <row r="55" spans="1:19" x14ac:dyDescent="0.3">
      <c r="A55" s="25" t="s">
        <v>205</v>
      </c>
      <c r="B55" s="26">
        <v>31.96</v>
      </c>
      <c r="C55" s="26">
        <v>32.972999999999999</v>
      </c>
      <c r="D55" s="26">
        <v>34.149000000000001</v>
      </c>
      <c r="E55" s="27">
        <f t="shared" si="9"/>
        <v>1</v>
      </c>
      <c r="F55" s="27">
        <f t="shared" si="10"/>
        <v>2</v>
      </c>
      <c r="G55" s="27">
        <f t="shared" si="11"/>
        <v>3</v>
      </c>
      <c r="H55" s="26">
        <v>3.8123</v>
      </c>
      <c r="I55" s="26">
        <v>3.8887</v>
      </c>
      <c r="J55" s="26">
        <v>4.0008999999999997</v>
      </c>
      <c r="K55" s="27">
        <f t="shared" si="12"/>
        <v>1</v>
      </c>
      <c r="L55" s="27">
        <f t="shared" si="13"/>
        <v>2</v>
      </c>
      <c r="M55" s="27">
        <f t="shared" si="14"/>
        <v>3</v>
      </c>
      <c r="N55" s="26">
        <v>3.8519999999999999</v>
      </c>
      <c r="O55" s="26">
        <v>3.7509999999999999</v>
      </c>
      <c r="P55" s="26">
        <v>4.3949999999999996</v>
      </c>
      <c r="Q55" s="27">
        <f t="shared" si="15"/>
        <v>2</v>
      </c>
      <c r="R55" s="27">
        <f t="shared" si="16"/>
        <v>1</v>
      </c>
      <c r="S55" s="27">
        <f t="shared" si="17"/>
        <v>3</v>
      </c>
    </row>
    <row r="56" spans="1:19" x14ac:dyDescent="0.3">
      <c r="A56" s="25" t="s">
        <v>206</v>
      </c>
      <c r="B56" s="26">
        <v>31.234000000000002</v>
      </c>
      <c r="C56" s="26">
        <v>37.701000000000001</v>
      </c>
      <c r="D56" s="26">
        <v>31.888999999999999</v>
      </c>
      <c r="E56" s="27">
        <f t="shared" si="9"/>
        <v>1</v>
      </c>
      <c r="F56" s="27">
        <f t="shared" si="10"/>
        <v>3</v>
      </c>
      <c r="G56" s="27">
        <f t="shared" si="11"/>
        <v>2</v>
      </c>
      <c r="H56" s="26">
        <v>4.593</v>
      </c>
      <c r="I56" s="26">
        <v>4.2073</v>
      </c>
      <c r="J56" s="26">
        <v>4.7816999999999998</v>
      </c>
      <c r="K56" s="27">
        <f t="shared" si="12"/>
        <v>2</v>
      </c>
      <c r="L56" s="27">
        <f t="shared" si="13"/>
        <v>1</v>
      </c>
      <c r="M56" s="27">
        <f t="shared" si="14"/>
        <v>3</v>
      </c>
      <c r="N56" s="26">
        <v>3.6560000000000001</v>
      </c>
      <c r="O56" s="26">
        <v>4.0490000000000004</v>
      </c>
      <c r="P56" s="26">
        <v>3.746</v>
      </c>
      <c r="Q56" s="27">
        <f t="shared" si="15"/>
        <v>1</v>
      </c>
      <c r="R56" s="27">
        <f t="shared" si="16"/>
        <v>3</v>
      </c>
      <c r="S56" s="27">
        <f t="shared" si="17"/>
        <v>2</v>
      </c>
    </row>
    <row r="58" spans="1:19" x14ac:dyDescent="0.3">
      <c r="A58" s="20" t="s">
        <v>207</v>
      </c>
      <c r="B58" s="20" t="s">
        <v>208</v>
      </c>
      <c r="C58" s="20" t="s">
        <v>209</v>
      </c>
      <c r="D58" s="20" t="s">
        <v>210</v>
      </c>
      <c r="E58" s="20" t="s">
        <v>211</v>
      </c>
      <c r="F58" s="20" t="s">
        <v>212</v>
      </c>
      <c r="G58" s="20" t="s">
        <v>213</v>
      </c>
      <c r="H58" s="20" t="s">
        <v>214</v>
      </c>
    </row>
    <row r="59" spans="1:19" x14ac:dyDescent="0.3">
      <c r="A59" s="21" t="s">
        <v>215</v>
      </c>
      <c r="B59" s="28">
        <v>49</v>
      </c>
      <c r="C59" s="28">
        <f>SUM(E8:E56)</f>
        <v>80</v>
      </c>
      <c r="D59" s="28">
        <f>SUM(F8:F56)</f>
        <v>109</v>
      </c>
      <c r="E59" s="28">
        <f>SUM(G8:G56)</f>
        <v>105</v>
      </c>
      <c r="F59" s="29">
        <f>12/(49*3*4)*(C59^2+D59^2+E59^2)-3*49*4</f>
        <v>10.081632653061206</v>
      </c>
      <c r="G59" s="28">
        <v>2</v>
      </c>
      <c r="H59" s="30">
        <f>CHIDIST(F59,G59)</f>
        <v>6.4684657822152644E-3</v>
      </c>
    </row>
    <row r="60" spans="1:19" x14ac:dyDescent="0.3">
      <c r="A60" s="21" t="s">
        <v>216</v>
      </c>
      <c r="B60" s="28">
        <v>49</v>
      </c>
      <c r="C60" s="28">
        <f>SUM(K8:K56)</f>
        <v>66</v>
      </c>
      <c r="D60" s="28">
        <f>SUM(L8:L56)</f>
        <v>105</v>
      </c>
      <c r="E60" s="28">
        <f>SUM(M8:M56)</f>
        <v>123</v>
      </c>
      <c r="F60" s="29">
        <f>12/(49*3*4)*(C60^2+D60^2+E60^2)-3*49*4</f>
        <v>34.653061224489761</v>
      </c>
      <c r="G60" s="28">
        <v>2</v>
      </c>
      <c r="H60" s="30">
        <f>CHIDIST(F60,G60)</f>
        <v>2.9866433510120914E-8</v>
      </c>
    </row>
    <row r="61" spans="1:19" x14ac:dyDescent="0.3">
      <c r="A61" s="21" t="s">
        <v>217</v>
      </c>
      <c r="B61" s="28">
        <v>49</v>
      </c>
      <c r="C61" s="28">
        <f>SUM(Q8:Q56)</f>
        <v>102</v>
      </c>
      <c r="D61" s="28">
        <f>SUM(R8:R56)</f>
        <v>79</v>
      </c>
      <c r="E61" s="28">
        <f>SUM(S8:S56)</f>
        <v>113</v>
      </c>
      <c r="F61" s="29">
        <f>12/(49*3*4)*(C61^2+D61^2+E61^2)-3*49*4</f>
        <v>12.285714285714221</v>
      </c>
      <c r="G61" s="28">
        <v>2</v>
      </c>
      <c r="H61" s="30">
        <f>CHIDIST(F61,G61)</f>
        <v>2.1487754809097937E-3</v>
      </c>
    </row>
    <row r="63" spans="1:19" ht="25.5" customHeight="1" x14ac:dyDescent="0.3">
      <c r="A63" s="20" t="s">
        <v>218</v>
      </c>
      <c r="B63" s="20" t="s">
        <v>219</v>
      </c>
      <c r="C63" s="20" t="s">
        <v>220</v>
      </c>
      <c r="D63" s="20" t="s">
        <v>221</v>
      </c>
      <c r="E63" s="20" t="s">
        <v>222</v>
      </c>
      <c r="F63" s="20" t="s">
        <v>223</v>
      </c>
      <c r="G63" s="20" t="s">
        <v>213</v>
      </c>
      <c r="H63" s="20" t="s">
        <v>214</v>
      </c>
    </row>
    <row r="64" spans="1:19" x14ac:dyDescent="0.3">
      <c r="A64" s="21" t="s">
        <v>224</v>
      </c>
      <c r="B64" s="28">
        <v>49</v>
      </c>
      <c r="C64" s="28">
        <v>50</v>
      </c>
      <c r="D64" s="28">
        <v>50</v>
      </c>
      <c r="E64" s="28">
        <v>50</v>
      </c>
      <c r="F64" s="29">
        <f>2*(3*(B64^2+C64^2+D64^2)-149^2)/(3*149-445)</f>
        <v>2</v>
      </c>
      <c r="G64" s="28">
        <v>2</v>
      </c>
      <c r="H64" s="30">
        <f>CHIDIST(F64,G64)</f>
        <v>0.36787944117144233</v>
      </c>
    </row>
    <row r="67" spans="1:19" x14ac:dyDescent="0.3">
      <c r="A67" s="19" t="s">
        <v>225</v>
      </c>
    </row>
    <row r="68" spans="1:19" x14ac:dyDescent="0.3">
      <c r="A68" s="18" t="s">
        <v>226</v>
      </c>
    </row>
    <row r="70" spans="1:19" ht="51" customHeight="1" x14ac:dyDescent="0.3">
      <c r="A70" s="20" t="s">
        <v>145</v>
      </c>
      <c r="B70" s="20" t="s">
        <v>146</v>
      </c>
      <c r="C70" s="20" t="s">
        <v>147</v>
      </c>
      <c r="D70" s="20" t="s">
        <v>148</v>
      </c>
      <c r="E70" s="20" t="s">
        <v>149</v>
      </c>
      <c r="F70" s="20" t="s">
        <v>150</v>
      </c>
      <c r="G70" s="20" t="s">
        <v>151</v>
      </c>
      <c r="H70" s="20" t="s">
        <v>152</v>
      </c>
      <c r="I70" s="20" t="s">
        <v>153</v>
      </c>
      <c r="J70" s="20" t="s">
        <v>154</v>
      </c>
      <c r="K70" s="20" t="s">
        <v>149</v>
      </c>
      <c r="L70" s="20" t="s">
        <v>150</v>
      </c>
      <c r="M70" s="20" t="s">
        <v>151</v>
      </c>
      <c r="N70" s="20" t="s">
        <v>155</v>
      </c>
      <c r="O70" s="20" t="s">
        <v>156</v>
      </c>
      <c r="P70" s="20" t="s">
        <v>157</v>
      </c>
      <c r="Q70" s="20" t="s">
        <v>149</v>
      </c>
      <c r="R70" s="20" t="s">
        <v>150</v>
      </c>
      <c r="S70" s="20" t="s">
        <v>151</v>
      </c>
    </row>
    <row r="71" spans="1:19" x14ac:dyDescent="0.3">
      <c r="A71" s="25" t="s">
        <v>227</v>
      </c>
      <c r="B71" s="26">
        <v>4.611154</v>
      </c>
      <c r="C71" s="26">
        <v>3.779868</v>
      </c>
      <c r="D71" s="26">
        <v>3.8128099999999998</v>
      </c>
      <c r="E71" s="27">
        <f t="shared" ref="E71:E102" si="18">RANK(B71,$B71:$D71,1)</f>
        <v>3</v>
      </c>
      <c r="F71" s="27">
        <f t="shared" ref="F71:F102" si="19">RANK(C71,$B71:$D71,1)</f>
        <v>1</v>
      </c>
      <c r="G71" s="27">
        <f t="shared" ref="G71:G102" si="20">RANK(D71,$B71:$D71,1)</f>
        <v>2</v>
      </c>
      <c r="H71" s="26">
        <v>2.831715</v>
      </c>
      <c r="I71" s="26">
        <v>2.2553179999999999</v>
      </c>
      <c r="J71" s="26">
        <v>2.2558180000000001</v>
      </c>
      <c r="K71" s="27">
        <f t="shared" ref="K71:K102" si="21">RANK(H71,$H71:$J71,1)</f>
        <v>3</v>
      </c>
      <c r="L71" s="27">
        <f t="shared" ref="L71:L102" si="22">RANK(I71,$H71:$J71,1)</f>
        <v>1</v>
      </c>
      <c r="M71" s="27">
        <f t="shared" ref="M71:M102" si="23">RANK(J71,$H71:$J71,1)</f>
        <v>2</v>
      </c>
      <c r="N71" s="26">
        <v>0.11663999999999999</v>
      </c>
      <c r="O71" s="26">
        <v>9.3885999999999997E-2</v>
      </c>
      <c r="P71" s="26">
        <v>7.4256000000000003E-2</v>
      </c>
      <c r="Q71" s="27">
        <f t="shared" ref="Q71:Q102" si="24">RANK(N71,$N71:$P71,1)</f>
        <v>3</v>
      </c>
      <c r="R71" s="27">
        <f t="shared" ref="R71:R102" si="25">RANK(O71,$N71:$P71,1)</f>
        <v>2</v>
      </c>
      <c r="S71" s="27">
        <f t="shared" ref="S71:S102" si="26">RANK(P71,$N71:$P71,1)</f>
        <v>1</v>
      </c>
    </row>
    <row r="72" spans="1:19" x14ac:dyDescent="0.3">
      <c r="A72" s="25" t="s">
        <v>228</v>
      </c>
      <c r="B72" s="26">
        <v>3.8226040000000001</v>
      </c>
      <c r="C72" s="26">
        <v>3.7874660000000002</v>
      </c>
      <c r="D72" s="26">
        <v>3.8306179999999999</v>
      </c>
      <c r="E72" s="27">
        <f t="shared" si="18"/>
        <v>2</v>
      </c>
      <c r="F72" s="27">
        <f t="shared" si="19"/>
        <v>1</v>
      </c>
      <c r="G72" s="27">
        <f t="shared" si="20"/>
        <v>3</v>
      </c>
      <c r="H72" s="26">
        <v>2.25386</v>
      </c>
      <c r="I72" s="26">
        <v>2.254267</v>
      </c>
      <c r="J72" s="26">
        <v>2.2539310000000001</v>
      </c>
      <c r="K72" s="27">
        <f t="shared" si="21"/>
        <v>1</v>
      </c>
      <c r="L72" s="27">
        <f t="shared" si="22"/>
        <v>3</v>
      </c>
      <c r="M72" s="27">
        <f t="shared" si="23"/>
        <v>2</v>
      </c>
      <c r="N72" s="26">
        <v>8.2686999999999997E-2</v>
      </c>
      <c r="O72" s="26">
        <v>8.838E-2</v>
      </c>
      <c r="P72" s="26">
        <v>8.3432999999999993E-2</v>
      </c>
      <c r="Q72" s="27">
        <f t="shared" si="24"/>
        <v>1</v>
      </c>
      <c r="R72" s="27">
        <f t="shared" si="25"/>
        <v>3</v>
      </c>
      <c r="S72" s="27">
        <f t="shared" si="26"/>
        <v>2</v>
      </c>
    </row>
    <row r="73" spans="1:19" x14ac:dyDescent="0.3">
      <c r="A73" s="25" t="s">
        <v>229</v>
      </c>
      <c r="B73" s="26">
        <v>3.8381699999999999</v>
      </c>
      <c r="C73" s="26">
        <v>3.834708</v>
      </c>
      <c r="D73" s="26">
        <v>3.8691599999999999</v>
      </c>
      <c r="E73" s="27">
        <f t="shared" si="18"/>
        <v>2</v>
      </c>
      <c r="F73" s="27">
        <f t="shared" si="19"/>
        <v>1</v>
      </c>
      <c r="G73" s="27">
        <f t="shared" si="20"/>
        <v>3</v>
      </c>
      <c r="H73" s="26">
        <v>2.2557040000000002</v>
      </c>
      <c r="I73" s="26">
        <v>2.2546430000000002</v>
      </c>
      <c r="J73" s="26">
        <v>2.375162</v>
      </c>
      <c r="K73" s="27">
        <f t="shared" si="21"/>
        <v>2</v>
      </c>
      <c r="L73" s="27">
        <f t="shared" si="22"/>
        <v>1</v>
      </c>
      <c r="M73" s="27">
        <f t="shared" si="23"/>
        <v>3</v>
      </c>
      <c r="N73" s="26">
        <v>9.0151999999999996E-2</v>
      </c>
      <c r="O73" s="26">
        <v>9.2524999999999996E-2</v>
      </c>
      <c r="P73" s="26">
        <v>0.122015</v>
      </c>
      <c r="Q73" s="27">
        <f t="shared" si="24"/>
        <v>1</v>
      </c>
      <c r="R73" s="27">
        <f t="shared" si="25"/>
        <v>2</v>
      </c>
      <c r="S73" s="27">
        <f t="shared" si="26"/>
        <v>3</v>
      </c>
    </row>
    <row r="74" spans="1:19" x14ac:dyDescent="0.3">
      <c r="A74" s="25" t="s">
        <v>230</v>
      </c>
      <c r="B74" s="26">
        <v>4.5713039999999996</v>
      </c>
      <c r="C74" s="26">
        <v>3.8149860000000002</v>
      </c>
      <c r="D74" s="26">
        <v>3.8306179999999999</v>
      </c>
      <c r="E74" s="27">
        <f t="shared" si="18"/>
        <v>3</v>
      </c>
      <c r="F74" s="27">
        <f t="shared" si="19"/>
        <v>1</v>
      </c>
      <c r="G74" s="27">
        <f t="shared" si="20"/>
        <v>2</v>
      </c>
      <c r="H74" s="26">
        <v>2.8319549999999998</v>
      </c>
      <c r="I74" s="26">
        <v>2.2539440000000002</v>
      </c>
      <c r="J74" s="26">
        <v>2.2539310000000001</v>
      </c>
      <c r="K74" s="27">
        <f t="shared" si="21"/>
        <v>3</v>
      </c>
      <c r="L74" s="27">
        <f t="shared" si="22"/>
        <v>2</v>
      </c>
      <c r="M74" s="27">
        <f t="shared" si="23"/>
        <v>1</v>
      </c>
      <c r="N74" s="26">
        <v>8.5305000000000006E-2</v>
      </c>
      <c r="O74" s="26">
        <v>6.8698999999999996E-2</v>
      </c>
      <c r="P74" s="26">
        <v>8.3432999999999993E-2</v>
      </c>
      <c r="Q74" s="27">
        <f t="shared" si="24"/>
        <v>3</v>
      </c>
      <c r="R74" s="27">
        <f t="shared" si="25"/>
        <v>1</v>
      </c>
      <c r="S74" s="27">
        <f t="shared" si="26"/>
        <v>2</v>
      </c>
    </row>
    <row r="75" spans="1:19" x14ac:dyDescent="0.3">
      <c r="A75" s="25" t="s">
        <v>231</v>
      </c>
      <c r="B75" s="26">
        <v>4.3266730000000004</v>
      </c>
      <c r="C75" s="26">
        <v>3.7788919999999999</v>
      </c>
      <c r="D75" s="26">
        <v>3.8128099999999998</v>
      </c>
      <c r="E75" s="27">
        <f t="shared" si="18"/>
        <v>3</v>
      </c>
      <c r="F75" s="27">
        <f t="shared" si="19"/>
        <v>1</v>
      </c>
      <c r="G75" s="27">
        <f t="shared" si="20"/>
        <v>2</v>
      </c>
      <c r="H75" s="26">
        <v>2.4609369999999999</v>
      </c>
      <c r="I75" s="26">
        <v>2.2547069999999998</v>
      </c>
      <c r="J75" s="26">
        <v>2.2558180000000001</v>
      </c>
      <c r="K75" s="27">
        <f t="shared" si="21"/>
        <v>3</v>
      </c>
      <c r="L75" s="27">
        <f t="shared" si="22"/>
        <v>1</v>
      </c>
      <c r="M75" s="27">
        <f t="shared" si="23"/>
        <v>2</v>
      </c>
      <c r="N75" s="26">
        <v>8.9686000000000002E-2</v>
      </c>
      <c r="O75" s="26">
        <v>8.2460000000000006E-2</v>
      </c>
      <c r="P75" s="26">
        <v>7.4256000000000003E-2</v>
      </c>
      <c r="Q75" s="27">
        <f t="shared" si="24"/>
        <v>3</v>
      </c>
      <c r="R75" s="27">
        <f t="shared" si="25"/>
        <v>2</v>
      </c>
      <c r="S75" s="27">
        <f t="shared" si="26"/>
        <v>1</v>
      </c>
    </row>
    <row r="76" spans="1:19" x14ac:dyDescent="0.3">
      <c r="A76" s="25" t="s">
        <v>232</v>
      </c>
      <c r="B76" s="26">
        <v>5.4167360000000002</v>
      </c>
      <c r="C76" s="26">
        <v>3.5484059999999999</v>
      </c>
      <c r="D76" s="26">
        <v>3.515584</v>
      </c>
      <c r="E76" s="27">
        <f t="shared" si="18"/>
        <v>3</v>
      </c>
      <c r="F76" s="27">
        <f t="shared" si="19"/>
        <v>2</v>
      </c>
      <c r="G76" s="27">
        <f t="shared" si="20"/>
        <v>1</v>
      </c>
      <c r="H76" s="26">
        <v>4.3049879999999998</v>
      </c>
      <c r="I76" s="26">
        <v>1.41831</v>
      </c>
      <c r="J76" s="26">
        <v>1.4174610000000001</v>
      </c>
      <c r="K76" s="27">
        <f t="shared" si="21"/>
        <v>3</v>
      </c>
      <c r="L76" s="27">
        <f t="shared" si="22"/>
        <v>2</v>
      </c>
      <c r="M76" s="27">
        <f t="shared" si="23"/>
        <v>1</v>
      </c>
      <c r="N76" s="26">
        <v>0.12300700000000001</v>
      </c>
      <c r="O76" s="26">
        <v>0.10512000000000001</v>
      </c>
      <c r="P76" s="26">
        <v>6.8455000000000002E-2</v>
      </c>
      <c r="Q76" s="27">
        <f t="shared" si="24"/>
        <v>3</v>
      </c>
      <c r="R76" s="27">
        <f t="shared" si="25"/>
        <v>2</v>
      </c>
      <c r="S76" s="27">
        <f t="shared" si="26"/>
        <v>1</v>
      </c>
    </row>
    <row r="77" spans="1:19" x14ac:dyDescent="0.3">
      <c r="A77" s="25" t="s">
        <v>233</v>
      </c>
      <c r="B77" s="26">
        <v>3.5275379999999998</v>
      </c>
      <c r="C77" s="26">
        <v>3.5584039999999999</v>
      </c>
      <c r="D77" s="26">
        <v>3.5336970000000001</v>
      </c>
      <c r="E77" s="27">
        <f t="shared" si="18"/>
        <v>1</v>
      </c>
      <c r="F77" s="27">
        <f t="shared" si="19"/>
        <v>3</v>
      </c>
      <c r="G77" s="27">
        <f t="shared" si="20"/>
        <v>2</v>
      </c>
      <c r="H77" s="26">
        <v>1.413859</v>
      </c>
      <c r="I77" s="26">
        <v>1.414253</v>
      </c>
      <c r="J77" s="26">
        <v>1.418623</v>
      </c>
      <c r="K77" s="27">
        <f t="shared" si="21"/>
        <v>1</v>
      </c>
      <c r="L77" s="27">
        <f t="shared" si="22"/>
        <v>2</v>
      </c>
      <c r="M77" s="27">
        <f t="shared" si="23"/>
        <v>3</v>
      </c>
      <c r="N77" s="26">
        <v>7.7683000000000002E-2</v>
      </c>
      <c r="O77" s="26">
        <v>0.106917</v>
      </c>
      <c r="P77" s="26">
        <v>7.8603999999999993E-2</v>
      </c>
      <c r="Q77" s="27">
        <f t="shared" si="24"/>
        <v>1</v>
      </c>
      <c r="R77" s="27">
        <f t="shared" si="25"/>
        <v>3</v>
      </c>
      <c r="S77" s="27">
        <f t="shared" si="26"/>
        <v>2</v>
      </c>
    </row>
    <row r="78" spans="1:19" x14ac:dyDescent="0.3">
      <c r="A78" s="25" t="s">
        <v>234</v>
      </c>
      <c r="B78" s="26">
        <v>4.9513069999999999</v>
      </c>
      <c r="C78" s="26">
        <v>3.4756640000000001</v>
      </c>
      <c r="D78" s="26">
        <v>3.5336970000000001</v>
      </c>
      <c r="E78" s="27">
        <f t="shared" si="18"/>
        <v>3</v>
      </c>
      <c r="F78" s="27">
        <f t="shared" si="19"/>
        <v>1</v>
      </c>
      <c r="G78" s="27">
        <f t="shared" si="20"/>
        <v>2</v>
      </c>
      <c r="H78" s="26">
        <v>3.4717669999999998</v>
      </c>
      <c r="I78" s="26">
        <v>1.414523</v>
      </c>
      <c r="J78" s="26">
        <v>1.418623</v>
      </c>
      <c r="K78" s="27">
        <f t="shared" si="21"/>
        <v>3</v>
      </c>
      <c r="L78" s="27">
        <f t="shared" si="22"/>
        <v>1</v>
      </c>
      <c r="M78" s="27">
        <f t="shared" si="23"/>
        <v>2</v>
      </c>
      <c r="N78" s="26">
        <v>0.10453</v>
      </c>
      <c r="O78" s="26">
        <v>7.4032000000000001E-2</v>
      </c>
      <c r="P78" s="26">
        <v>7.8603999999999993E-2</v>
      </c>
      <c r="Q78" s="27">
        <f t="shared" si="24"/>
        <v>3</v>
      </c>
      <c r="R78" s="27">
        <f t="shared" si="25"/>
        <v>1</v>
      </c>
      <c r="S78" s="27">
        <f t="shared" si="26"/>
        <v>2</v>
      </c>
    </row>
    <row r="79" spans="1:19" x14ac:dyDescent="0.3">
      <c r="A79" s="25" t="s">
        <v>235</v>
      </c>
      <c r="B79" s="26">
        <v>3.5833870000000001</v>
      </c>
      <c r="C79" s="26">
        <v>3.5460769999999999</v>
      </c>
      <c r="D79" s="26">
        <v>3.8691599999999999</v>
      </c>
      <c r="E79" s="27">
        <f t="shared" si="18"/>
        <v>2</v>
      </c>
      <c r="F79" s="27">
        <f t="shared" si="19"/>
        <v>1</v>
      </c>
      <c r="G79" s="27">
        <f t="shared" si="20"/>
        <v>3</v>
      </c>
      <c r="H79" s="26">
        <v>1.2155739999999999</v>
      </c>
      <c r="I79" s="26">
        <v>1.420021</v>
      </c>
      <c r="J79" s="26">
        <v>2.375162</v>
      </c>
      <c r="K79" s="27">
        <f t="shared" si="21"/>
        <v>1</v>
      </c>
      <c r="L79" s="27">
        <f t="shared" si="22"/>
        <v>2</v>
      </c>
      <c r="M79" s="27">
        <f t="shared" si="23"/>
        <v>3</v>
      </c>
      <c r="N79" s="26">
        <v>7.5212000000000001E-2</v>
      </c>
      <c r="O79" s="26">
        <v>8.7818999999999994E-2</v>
      </c>
      <c r="P79" s="26">
        <v>0.122015</v>
      </c>
      <c r="Q79" s="27">
        <f t="shared" si="24"/>
        <v>1</v>
      </c>
      <c r="R79" s="27">
        <f t="shared" si="25"/>
        <v>2</v>
      </c>
      <c r="S79" s="27">
        <f t="shared" si="26"/>
        <v>3</v>
      </c>
    </row>
    <row r="80" spans="1:19" x14ac:dyDescent="0.3">
      <c r="A80" s="25" t="s">
        <v>236</v>
      </c>
      <c r="B80" s="26">
        <v>4.5501120000000004</v>
      </c>
      <c r="C80" s="26">
        <v>3.8160069999999999</v>
      </c>
      <c r="D80" s="26">
        <v>8.4379690000000007</v>
      </c>
      <c r="E80" s="27">
        <f t="shared" si="18"/>
        <v>2</v>
      </c>
      <c r="F80" s="27">
        <f t="shared" si="19"/>
        <v>1</v>
      </c>
      <c r="G80" s="27">
        <f t="shared" si="20"/>
        <v>3</v>
      </c>
      <c r="H80" s="26">
        <v>3.6618219999999999</v>
      </c>
      <c r="I80" s="26">
        <v>2.3762569999999998</v>
      </c>
      <c r="J80" s="26">
        <v>4.4250949999999998</v>
      </c>
      <c r="K80" s="27">
        <f t="shared" si="21"/>
        <v>2</v>
      </c>
      <c r="L80" s="27">
        <f t="shared" si="22"/>
        <v>1</v>
      </c>
      <c r="M80" s="27">
        <f t="shared" si="23"/>
        <v>3</v>
      </c>
      <c r="N80" s="26">
        <v>0.10820100000000001</v>
      </c>
      <c r="O80" s="26">
        <v>8.6583999999999994E-2</v>
      </c>
      <c r="P80" s="26">
        <v>0.19061400000000001</v>
      </c>
      <c r="Q80" s="27">
        <f t="shared" si="24"/>
        <v>2</v>
      </c>
      <c r="R80" s="27">
        <f t="shared" si="25"/>
        <v>1</v>
      </c>
      <c r="S80" s="27">
        <f t="shared" si="26"/>
        <v>3</v>
      </c>
    </row>
    <row r="81" spans="1:19" x14ac:dyDescent="0.3">
      <c r="A81" s="25" t="s">
        <v>237</v>
      </c>
      <c r="B81" s="26">
        <v>7.0390579999999998</v>
      </c>
      <c r="C81" s="26">
        <v>4.5302420000000003</v>
      </c>
      <c r="D81" s="26">
        <v>4.5286419999999996</v>
      </c>
      <c r="E81" s="27">
        <f t="shared" si="18"/>
        <v>3</v>
      </c>
      <c r="F81" s="27">
        <f t="shared" si="19"/>
        <v>2</v>
      </c>
      <c r="G81" s="27">
        <f t="shared" si="20"/>
        <v>1</v>
      </c>
      <c r="H81" s="26">
        <v>2.4985040000000001</v>
      </c>
      <c r="I81" s="26">
        <v>3.0315759999999998</v>
      </c>
      <c r="J81" s="26">
        <v>3.6531509999999998</v>
      </c>
      <c r="K81" s="27">
        <f t="shared" si="21"/>
        <v>1</v>
      </c>
      <c r="L81" s="27">
        <f t="shared" si="22"/>
        <v>2</v>
      </c>
      <c r="M81" s="27">
        <f t="shared" si="23"/>
        <v>3</v>
      </c>
      <c r="N81" s="26">
        <v>0.18784699999999999</v>
      </c>
      <c r="O81" s="26">
        <v>0.105006</v>
      </c>
      <c r="P81" s="26">
        <v>8.5344000000000003E-2</v>
      </c>
      <c r="Q81" s="27">
        <f t="shared" si="24"/>
        <v>3</v>
      </c>
      <c r="R81" s="27">
        <f t="shared" si="25"/>
        <v>2</v>
      </c>
      <c r="S81" s="27">
        <f t="shared" si="26"/>
        <v>1</v>
      </c>
    </row>
    <row r="82" spans="1:19" x14ac:dyDescent="0.3">
      <c r="A82" s="25" t="s">
        <v>238</v>
      </c>
      <c r="B82" s="26">
        <v>3.7796370000000001</v>
      </c>
      <c r="C82" s="26">
        <v>4.5578919999999998</v>
      </c>
      <c r="D82" s="26">
        <v>4.5874649999999999</v>
      </c>
      <c r="E82" s="27">
        <f t="shared" si="18"/>
        <v>1</v>
      </c>
      <c r="F82" s="27">
        <f t="shared" si="19"/>
        <v>2</v>
      </c>
      <c r="G82" s="27">
        <f t="shared" si="20"/>
        <v>3</v>
      </c>
      <c r="H82" s="26">
        <v>2.3774280000000001</v>
      </c>
      <c r="I82" s="26">
        <v>3.2418209999999998</v>
      </c>
      <c r="J82" s="26">
        <v>3.9168539999999998</v>
      </c>
      <c r="K82" s="27">
        <f t="shared" si="21"/>
        <v>1</v>
      </c>
      <c r="L82" s="27">
        <f t="shared" si="22"/>
        <v>2</v>
      </c>
      <c r="M82" s="27">
        <f t="shared" si="23"/>
        <v>3</v>
      </c>
      <c r="N82" s="26">
        <v>8.3335999999999993E-2</v>
      </c>
      <c r="O82" s="26">
        <v>0.108406</v>
      </c>
      <c r="P82" s="26">
        <v>8.3905999999999994E-2</v>
      </c>
      <c r="Q82" s="27">
        <f t="shared" si="24"/>
        <v>1</v>
      </c>
      <c r="R82" s="27">
        <f t="shared" si="25"/>
        <v>3</v>
      </c>
      <c r="S82" s="27">
        <f t="shared" si="26"/>
        <v>2</v>
      </c>
    </row>
    <row r="83" spans="1:19" x14ac:dyDescent="0.3">
      <c r="A83" s="25" t="s">
        <v>239</v>
      </c>
      <c r="B83" s="26">
        <v>3.8141259999999999</v>
      </c>
      <c r="C83" s="26">
        <v>8.9262549999999994</v>
      </c>
      <c r="D83" s="26">
        <v>4.7407450000000004</v>
      </c>
      <c r="E83" s="27">
        <f t="shared" si="18"/>
        <v>1</v>
      </c>
      <c r="F83" s="27">
        <f t="shared" si="19"/>
        <v>3</v>
      </c>
      <c r="G83" s="27">
        <f t="shared" si="20"/>
        <v>2</v>
      </c>
      <c r="H83" s="26">
        <v>2.3779759999999999</v>
      </c>
      <c r="I83" s="26">
        <v>4.8962760000000003</v>
      </c>
      <c r="J83" s="26">
        <v>5.5638170000000002</v>
      </c>
      <c r="K83" s="27">
        <f t="shared" si="21"/>
        <v>1</v>
      </c>
      <c r="L83" s="27">
        <f t="shared" si="22"/>
        <v>2</v>
      </c>
      <c r="M83" s="27">
        <f t="shared" si="23"/>
        <v>3</v>
      </c>
      <c r="N83" s="26">
        <v>7.2813000000000003E-2</v>
      </c>
      <c r="O83" s="26">
        <v>0.17691699999999999</v>
      </c>
      <c r="P83" s="26">
        <v>0.104474</v>
      </c>
      <c r="Q83" s="27">
        <f t="shared" si="24"/>
        <v>1</v>
      </c>
      <c r="R83" s="27">
        <f t="shared" si="25"/>
        <v>3</v>
      </c>
      <c r="S83" s="27">
        <f t="shared" si="26"/>
        <v>2</v>
      </c>
    </row>
    <row r="84" spans="1:19" x14ac:dyDescent="0.3">
      <c r="A84" s="25" t="s">
        <v>240</v>
      </c>
      <c r="B84" s="26">
        <v>3.7877200000000002</v>
      </c>
      <c r="C84" s="26">
        <v>4.5285780000000004</v>
      </c>
      <c r="D84" s="26">
        <v>4.5874649999999999</v>
      </c>
      <c r="E84" s="27">
        <f t="shared" si="18"/>
        <v>1</v>
      </c>
      <c r="F84" s="27">
        <f t="shared" si="19"/>
        <v>2</v>
      </c>
      <c r="G84" s="27">
        <f t="shared" si="20"/>
        <v>3</v>
      </c>
      <c r="H84" s="26">
        <v>2.2556020000000001</v>
      </c>
      <c r="I84" s="26">
        <v>3.652101</v>
      </c>
      <c r="J84" s="26">
        <v>3.9168539999999998</v>
      </c>
      <c r="K84" s="27">
        <f t="shared" si="21"/>
        <v>1</v>
      </c>
      <c r="L84" s="27">
        <f t="shared" si="22"/>
        <v>2</v>
      </c>
      <c r="M84" s="27">
        <f t="shared" si="23"/>
        <v>3</v>
      </c>
      <c r="N84" s="26">
        <v>8.4127999999999994E-2</v>
      </c>
      <c r="O84" s="26">
        <v>9.6407999999999994E-2</v>
      </c>
      <c r="P84" s="26">
        <v>8.3905999999999994E-2</v>
      </c>
      <c r="Q84" s="27">
        <f t="shared" si="24"/>
        <v>2</v>
      </c>
      <c r="R84" s="27">
        <f t="shared" si="25"/>
        <v>3</v>
      </c>
      <c r="S84" s="27">
        <f t="shared" si="26"/>
        <v>1</v>
      </c>
    </row>
    <row r="85" spans="1:19" x14ac:dyDescent="0.3">
      <c r="A85" s="25" t="s">
        <v>241</v>
      </c>
      <c r="B85" s="26">
        <v>3.1814499999999999</v>
      </c>
      <c r="C85" s="26">
        <v>3.2471030000000001</v>
      </c>
      <c r="D85" s="26">
        <v>3.1227119999999999</v>
      </c>
      <c r="E85" s="27">
        <f t="shared" si="18"/>
        <v>2</v>
      </c>
      <c r="F85" s="27">
        <f t="shared" si="19"/>
        <v>3</v>
      </c>
      <c r="G85" s="27">
        <f t="shared" si="20"/>
        <v>1</v>
      </c>
      <c r="H85" s="26">
        <v>1.5126409999999999</v>
      </c>
      <c r="I85" s="26">
        <v>1.5165900000000001</v>
      </c>
      <c r="J85" s="26">
        <v>1.5129539999999999</v>
      </c>
      <c r="K85" s="27">
        <f t="shared" si="21"/>
        <v>1</v>
      </c>
      <c r="L85" s="27">
        <f t="shared" si="22"/>
        <v>3</v>
      </c>
      <c r="M85" s="27">
        <f t="shared" si="23"/>
        <v>2</v>
      </c>
      <c r="N85" s="26">
        <v>8.0012E-2</v>
      </c>
      <c r="O85" s="26">
        <v>9.2743999999999993E-2</v>
      </c>
      <c r="P85" s="26">
        <v>7.0765999999999996E-2</v>
      </c>
      <c r="Q85" s="27">
        <f t="shared" si="24"/>
        <v>2</v>
      </c>
      <c r="R85" s="27">
        <f t="shared" si="25"/>
        <v>3</v>
      </c>
      <c r="S85" s="27">
        <f t="shared" si="26"/>
        <v>1</v>
      </c>
    </row>
    <row r="86" spans="1:19" x14ac:dyDescent="0.3">
      <c r="A86" s="25" t="s">
        <v>242</v>
      </c>
      <c r="B86" s="26">
        <v>3.1865260000000002</v>
      </c>
      <c r="C86" s="26">
        <v>3.260532</v>
      </c>
      <c r="D86" s="26">
        <v>3.5681539999999998</v>
      </c>
      <c r="E86" s="27">
        <f t="shared" si="18"/>
        <v>1</v>
      </c>
      <c r="F86" s="27">
        <f t="shared" si="19"/>
        <v>2</v>
      </c>
      <c r="G86" s="27">
        <f t="shared" si="20"/>
        <v>3</v>
      </c>
      <c r="H86" s="26">
        <v>1.51135</v>
      </c>
      <c r="I86" s="26">
        <v>1.5168060000000001</v>
      </c>
      <c r="J86" s="26">
        <v>2.6007280000000002</v>
      </c>
      <c r="K86" s="27">
        <f t="shared" si="21"/>
        <v>1</v>
      </c>
      <c r="L86" s="27">
        <f t="shared" si="22"/>
        <v>2</v>
      </c>
      <c r="M86" s="27">
        <f t="shared" si="23"/>
        <v>3</v>
      </c>
      <c r="N86" s="26">
        <v>8.5145999999999999E-2</v>
      </c>
      <c r="O86" s="26">
        <v>0.10886899999999999</v>
      </c>
      <c r="P86" s="26">
        <v>7.7582999999999999E-2</v>
      </c>
      <c r="Q86" s="27">
        <f t="shared" si="24"/>
        <v>2</v>
      </c>
      <c r="R86" s="27">
        <f t="shared" si="25"/>
        <v>3</v>
      </c>
      <c r="S86" s="27">
        <f t="shared" si="26"/>
        <v>1</v>
      </c>
    </row>
    <row r="87" spans="1:19" x14ac:dyDescent="0.3">
      <c r="A87" s="25" t="s">
        <v>243</v>
      </c>
      <c r="B87" s="26">
        <v>3.5197910000000001</v>
      </c>
      <c r="C87" s="26">
        <v>3.1247069999999999</v>
      </c>
      <c r="D87" s="26">
        <v>2.9767860000000002</v>
      </c>
      <c r="E87" s="27">
        <f t="shared" si="18"/>
        <v>3</v>
      </c>
      <c r="F87" s="27">
        <f t="shared" si="19"/>
        <v>2</v>
      </c>
      <c r="G87" s="27">
        <f t="shared" si="20"/>
        <v>1</v>
      </c>
      <c r="H87" s="26">
        <v>1.4188810000000001</v>
      </c>
      <c r="I87" s="26">
        <v>1.511101</v>
      </c>
      <c r="J87" s="26">
        <v>1.282419</v>
      </c>
      <c r="K87" s="27">
        <f t="shared" si="21"/>
        <v>2</v>
      </c>
      <c r="L87" s="27">
        <f t="shared" si="22"/>
        <v>3</v>
      </c>
      <c r="M87" s="27">
        <f t="shared" si="23"/>
        <v>1</v>
      </c>
      <c r="N87" s="26">
        <v>7.5544E-2</v>
      </c>
      <c r="O87" s="26">
        <v>7.9685000000000006E-2</v>
      </c>
      <c r="P87" s="26">
        <v>8.4392999999999996E-2</v>
      </c>
      <c r="Q87" s="27">
        <f t="shared" si="24"/>
        <v>1</v>
      </c>
      <c r="R87" s="27">
        <f t="shared" si="25"/>
        <v>2</v>
      </c>
      <c r="S87" s="27">
        <f t="shared" si="26"/>
        <v>3</v>
      </c>
    </row>
    <row r="88" spans="1:19" x14ac:dyDescent="0.3">
      <c r="A88" s="25" t="s">
        <v>244</v>
      </c>
      <c r="B88" s="26">
        <v>3.781962</v>
      </c>
      <c r="C88" s="26">
        <v>4.6598240000000004</v>
      </c>
      <c r="D88" s="26">
        <v>4.630973</v>
      </c>
      <c r="E88" s="27">
        <f t="shared" si="18"/>
        <v>1</v>
      </c>
      <c r="F88" s="27">
        <f t="shared" si="19"/>
        <v>3</v>
      </c>
      <c r="G88" s="27">
        <f t="shared" si="20"/>
        <v>2</v>
      </c>
      <c r="H88" s="26">
        <v>2.2684000000000002</v>
      </c>
      <c r="I88" s="26">
        <v>2.9843320000000002</v>
      </c>
      <c r="J88" s="26">
        <v>2.9840810000000002</v>
      </c>
      <c r="K88" s="27">
        <f t="shared" si="21"/>
        <v>1</v>
      </c>
      <c r="L88" s="27">
        <f t="shared" si="22"/>
        <v>3</v>
      </c>
      <c r="M88" s="27">
        <f t="shared" si="23"/>
        <v>2</v>
      </c>
      <c r="N88" s="26">
        <v>8.8376999999999997E-2</v>
      </c>
      <c r="O88" s="26">
        <v>7.3994000000000004E-2</v>
      </c>
      <c r="P88" s="26">
        <v>8.6699999999999999E-2</v>
      </c>
      <c r="Q88" s="27">
        <f t="shared" si="24"/>
        <v>3</v>
      </c>
      <c r="R88" s="27">
        <f t="shared" si="25"/>
        <v>1</v>
      </c>
      <c r="S88" s="27">
        <f t="shared" si="26"/>
        <v>2</v>
      </c>
    </row>
    <row r="89" spans="1:19" x14ac:dyDescent="0.3">
      <c r="A89" s="25" t="s">
        <v>245</v>
      </c>
      <c r="B89" s="26">
        <v>4.6726520000000002</v>
      </c>
      <c r="C89" s="26">
        <v>3.7739090000000002</v>
      </c>
      <c r="D89" s="26">
        <v>3.7775240000000001</v>
      </c>
      <c r="E89" s="27">
        <f t="shared" si="18"/>
        <v>3</v>
      </c>
      <c r="F89" s="27">
        <f t="shared" si="19"/>
        <v>1</v>
      </c>
      <c r="G89" s="27">
        <f t="shared" si="20"/>
        <v>2</v>
      </c>
      <c r="H89" s="26">
        <v>2.9858910000000001</v>
      </c>
      <c r="I89" s="26">
        <v>2.2695850000000002</v>
      </c>
      <c r="J89" s="26">
        <v>2.2685420000000001</v>
      </c>
      <c r="K89" s="27">
        <f t="shared" si="21"/>
        <v>3</v>
      </c>
      <c r="L89" s="27">
        <f t="shared" si="22"/>
        <v>2</v>
      </c>
      <c r="M89" s="27">
        <f t="shared" si="23"/>
        <v>1</v>
      </c>
      <c r="N89" s="26">
        <v>8.3686999999999998E-2</v>
      </c>
      <c r="O89" s="26">
        <v>8.9514999999999997E-2</v>
      </c>
      <c r="P89" s="26">
        <v>8.6238999999999996E-2</v>
      </c>
      <c r="Q89" s="27">
        <f t="shared" si="24"/>
        <v>1</v>
      </c>
      <c r="R89" s="27">
        <f t="shared" si="25"/>
        <v>3</v>
      </c>
      <c r="S89" s="27">
        <f t="shared" si="26"/>
        <v>2</v>
      </c>
    </row>
    <row r="90" spans="1:19" x14ac:dyDescent="0.3">
      <c r="A90" s="25" t="s">
        <v>246</v>
      </c>
      <c r="B90" s="26">
        <v>4.7246790000000001</v>
      </c>
      <c r="C90" s="26">
        <v>3.7693880000000002</v>
      </c>
      <c r="D90" s="26">
        <v>5.3806010000000004</v>
      </c>
      <c r="E90" s="27">
        <f t="shared" si="18"/>
        <v>2</v>
      </c>
      <c r="F90" s="27">
        <f t="shared" si="19"/>
        <v>1</v>
      </c>
      <c r="G90" s="27">
        <f t="shared" si="20"/>
        <v>3</v>
      </c>
      <c r="H90" s="26">
        <v>2.9843820000000001</v>
      </c>
      <c r="I90" s="26">
        <v>2.2685789999999999</v>
      </c>
      <c r="J90" s="26">
        <v>5.276923</v>
      </c>
      <c r="K90" s="27">
        <f t="shared" si="21"/>
        <v>2</v>
      </c>
      <c r="L90" s="27">
        <f t="shared" si="22"/>
        <v>1</v>
      </c>
      <c r="M90" s="27">
        <f t="shared" si="23"/>
        <v>3</v>
      </c>
      <c r="N90" s="26">
        <v>0.109759</v>
      </c>
      <c r="O90" s="26">
        <v>7.1499999999999994E-2</v>
      </c>
      <c r="P90" s="26">
        <v>9.1203000000000006E-2</v>
      </c>
      <c r="Q90" s="27">
        <f t="shared" si="24"/>
        <v>3</v>
      </c>
      <c r="R90" s="27">
        <f t="shared" si="25"/>
        <v>1</v>
      </c>
      <c r="S90" s="27">
        <f t="shared" si="26"/>
        <v>2</v>
      </c>
    </row>
    <row r="91" spans="1:19" x14ac:dyDescent="0.3">
      <c r="A91" s="25" t="s">
        <v>247</v>
      </c>
      <c r="B91" s="26">
        <v>3.7554129999999999</v>
      </c>
      <c r="C91" s="26">
        <v>4.1309610000000001</v>
      </c>
      <c r="D91" s="26">
        <v>3.7588949999999999</v>
      </c>
      <c r="E91" s="27">
        <f t="shared" si="18"/>
        <v>1</v>
      </c>
      <c r="F91" s="27">
        <f t="shared" si="19"/>
        <v>3</v>
      </c>
      <c r="G91" s="27">
        <f t="shared" si="20"/>
        <v>2</v>
      </c>
      <c r="H91" s="26">
        <v>2.2692999999999999</v>
      </c>
      <c r="I91" s="26">
        <v>2.279525</v>
      </c>
      <c r="J91" s="26">
        <v>2.2549009999999998</v>
      </c>
      <c r="K91" s="27">
        <f t="shared" si="21"/>
        <v>2</v>
      </c>
      <c r="L91" s="27">
        <f t="shared" si="22"/>
        <v>3</v>
      </c>
      <c r="M91" s="27">
        <f t="shared" si="23"/>
        <v>1</v>
      </c>
      <c r="N91" s="26">
        <v>7.4122999999999994E-2</v>
      </c>
      <c r="O91" s="26">
        <v>0.117187</v>
      </c>
      <c r="P91" s="26">
        <v>7.7854000000000007E-2</v>
      </c>
      <c r="Q91" s="27">
        <f t="shared" si="24"/>
        <v>1</v>
      </c>
      <c r="R91" s="27">
        <f t="shared" si="25"/>
        <v>3</v>
      </c>
      <c r="S91" s="27">
        <f t="shared" si="26"/>
        <v>2</v>
      </c>
    </row>
    <row r="92" spans="1:19" x14ac:dyDescent="0.3">
      <c r="A92" s="25" t="s">
        <v>248</v>
      </c>
      <c r="B92" s="26">
        <v>3.8372389999999998</v>
      </c>
      <c r="C92" s="26">
        <v>4.0359870000000004</v>
      </c>
      <c r="D92" s="26">
        <v>3.7588949999999999</v>
      </c>
      <c r="E92" s="27">
        <f t="shared" si="18"/>
        <v>2</v>
      </c>
      <c r="F92" s="27">
        <f t="shared" si="19"/>
        <v>3</v>
      </c>
      <c r="G92" s="27">
        <f t="shared" si="20"/>
        <v>1</v>
      </c>
      <c r="H92" s="26">
        <v>2.3773460000000002</v>
      </c>
      <c r="I92" s="26">
        <v>2.2802699999999998</v>
      </c>
      <c r="J92" s="26">
        <v>2.2549009999999998</v>
      </c>
      <c r="K92" s="27">
        <f t="shared" si="21"/>
        <v>3</v>
      </c>
      <c r="L92" s="27">
        <f t="shared" si="22"/>
        <v>2</v>
      </c>
      <c r="M92" s="27">
        <f t="shared" si="23"/>
        <v>1</v>
      </c>
      <c r="N92" s="26">
        <v>7.9338000000000006E-2</v>
      </c>
      <c r="O92" s="26">
        <v>8.8372000000000006E-2</v>
      </c>
      <c r="P92" s="26">
        <v>7.7854000000000007E-2</v>
      </c>
      <c r="Q92" s="27">
        <f t="shared" si="24"/>
        <v>2</v>
      </c>
      <c r="R92" s="27">
        <f t="shared" si="25"/>
        <v>3</v>
      </c>
      <c r="S92" s="27">
        <f t="shared" si="26"/>
        <v>1</v>
      </c>
    </row>
    <row r="93" spans="1:19" x14ac:dyDescent="0.3">
      <c r="A93" s="25" t="s">
        <v>249</v>
      </c>
      <c r="B93" s="26">
        <v>2.9752610000000002</v>
      </c>
      <c r="C93" s="26">
        <v>4.5925900000000004</v>
      </c>
      <c r="D93" s="26">
        <v>4.6525930000000004</v>
      </c>
      <c r="E93" s="27">
        <f t="shared" si="18"/>
        <v>1</v>
      </c>
      <c r="F93" s="27">
        <f t="shared" si="19"/>
        <v>2</v>
      </c>
      <c r="G93" s="27">
        <f t="shared" si="20"/>
        <v>3</v>
      </c>
      <c r="H93" s="26">
        <v>1.184259</v>
      </c>
      <c r="I93" s="26">
        <v>3.9169420000000001</v>
      </c>
      <c r="J93" s="26">
        <v>3.9133399999999998</v>
      </c>
      <c r="K93" s="27">
        <f t="shared" si="21"/>
        <v>1</v>
      </c>
      <c r="L93" s="27">
        <f t="shared" si="22"/>
        <v>3</v>
      </c>
      <c r="M93" s="27">
        <f t="shared" si="23"/>
        <v>2</v>
      </c>
      <c r="N93" s="26">
        <v>8.7822999999999998E-2</v>
      </c>
      <c r="O93" s="26">
        <v>9.6216999999999997E-2</v>
      </c>
      <c r="P93" s="26">
        <v>0.105846</v>
      </c>
      <c r="Q93" s="27">
        <f t="shared" si="24"/>
        <v>1</v>
      </c>
      <c r="R93" s="27">
        <f t="shared" si="25"/>
        <v>2</v>
      </c>
      <c r="S93" s="27">
        <f t="shared" si="26"/>
        <v>3</v>
      </c>
    </row>
    <row r="94" spans="1:19" x14ac:dyDescent="0.3">
      <c r="A94" s="25" t="s">
        <v>250</v>
      </c>
      <c r="B94" s="26">
        <v>3.194048</v>
      </c>
      <c r="C94" s="26">
        <v>2.9836130000000001</v>
      </c>
      <c r="D94" s="26">
        <v>2.9696699999999998</v>
      </c>
      <c r="E94" s="27">
        <f t="shared" si="18"/>
        <v>3</v>
      </c>
      <c r="F94" s="27">
        <f t="shared" si="19"/>
        <v>2</v>
      </c>
      <c r="G94" s="27">
        <f t="shared" si="20"/>
        <v>1</v>
      </c>
      <c r="H94" s="26">
        <v>1.6754</v>
      </c>
      <c r="I94" s="26">
        <v>1.1831670000000001</v>
      </c>
      <c r="J94" s="26">
        <v>1.1842550000000001</v>
      </c>
      <c r="K94" s="27">
        <f t="shared" si="21"/>
        <v>3</v>
      </c>
      <c r="L94" s="27">
        <f t="shared" si="22"/>
        <v>1</v>
      </c>
      <c r="M94" s="27">
        <f t="shared" si="23"/>
        <v>2</v>
      </c>
      <c r="N94" s="26">
        <v>8.9548000000000003E-2</v>
      </c>
      <c r="O94" s="26">
        <v>8.4791000000000005E-2</v>
      </c>
      <c r="P94" s="26">
        <v>7.6033000000000003E-2</v>
      </c>
      <c r="Q94" s="27">
        <f t="shared" si="24"/>
        <v>3</v>
      </c>
      <c r="R94" s="27">
        <f t="shared" si="25"/>
        <v>2</v>
      </c>
      <c r="S94" s="27">
        <f t="shared" si="26"/>
        <v>1</v>
      </c>
    </row>
    <row r="95" spans="1:19" x14ac:dyDescent="0.3">
      <c r="A95" s="25" t="s">
        <v>251</v>
      </c>
      <c r="B95" s="26">
        <v>4.6426699999999999</v>
      </c>
      <c r="C95" s="26">
        <v>2.9825750000000002</v>
      </c>
      <c r="D95" s="26">
        <v>4.5874649999999999</v>
      </c>
      <c r="E95" s="27">
        <f t="shared" si="18"/>
        <v>3</v>
      </c>
      <c r="F95" s="27">
        <f t="shared" si="19"/>
        <v>1</v>
      </c>
      <c r="G95" s="27">
        <f t="shared" si="20"/>
        <v>2</v>
      </c>
      <c r="H95" s="26">
        <v>4.2629450000000002</v>
      </c>
      <c r="I95" s="26">
        <v>1.1841250000000001</v>
      </c>
      <c r="J95" s="26">
        <v>3.9168539999999998</v>
      </c>
      <c r="K95" s="27">
        <f t="shared" si="21"/>
        <v>3</v>
      </c>
      <c r="L95" s="27">
        <f t="shared" si="22"/>
        <v>1</v>
      </c>
      <c r="M95" s="27">
        <f t="shared" si="23"/>
        <v>2</v>
      </c>
      <c r="N95" s="26">
        <v>8.3110000000000003E-2</v>
      </c>
      <c r="O95" s="26">
        <v>9.0657000000000001E-2</v>
      </c>
      <c r="P95" s="26">
        <v>8.3905999999999994E-2</v>
      </c>
      <c r="Q95" s="27">
        <f t="shared" si="24"/>
        <v>1</v>
      </c>
      <c r="R95" s="27">
        <f t="shared" si="25"/>
        <v>3</v>
      </c>
      <c r="S95" s="27">
        <f t="shared" si="26"/>
        <v>2</v>
      </c>
    </row>
    <row r="96" spans="1:19" x14ac:dyDescent="0.3">
      <c r="A96" s="25" t="s">
        <v>252</v>
      </c>
      <c r="B96" s="26">
        <v>2.968296</v>
      </c>
      <c r="C96" s="26">
        <v>2.9775510000000001</v>
      </c>
      <c r="D96" s="26">
        <v>3.515895</v>
      </c>
      <c r="E96" s="27">
        <f t="shared" si="18"/>
        <v>1</v>
      </c>
      <c r="F96" s="27">
        <f t="shared" si="19"/>
        <v>2</v>
      </c>
      <c r="G96" s="27">
        <f t="shared" si="20"/>
        <v>3</v>
      </c>
      <c r="H96" s="26">
        <v>1.1849989999999999</v>
      </c>
      <c r="I96" s="26">
        <v>1.1854279999999999</v>
      </c>
      <c r="J96" s="26">
        <v>1.4190339999999999</v>
      </c>
      <c r="K96" s="27">
        <f t="shared" si="21"/>
        <v>1</v>
      </c>
      <c r="L96" s="27">
        <f t="shared" si="22"/>
        <v>2</v>
      </c>
      <c r="M96" s="27">
        <f t="shared" si="23"/>
        <v>3</v>
      </c>
      <c r="N96" s="26">
        <v>6.5113000000000004E-2</v>
      </c>
      <c r="O96" s="26">
        <v>8.7627999999999998E-2</v>
      </c>
      <c r="P96" s="26">
        <v>7.7095999999999998E-2</v>
      </c>
      <c r="Q96" s="27">
        <f t="shared" si="24"/>
        <v>1</v>
      </c>
      <c r="R96" s="27">
        <f t="shared" si="25"/>
        <v>3</v>
      </c>
      <c r="S96" s="27">
        <f t="shared" si="26"/>
        <v>2</v>
      </c>
    </row>
    <row r="97" spans="1:19" x14ac:dyDescent="0.3">
      <c r="A97" s="25" t="s">
        <v>253</v>
      </c>
      <c r="B97" s="26">
        <v>3.1803059999999999</v>
      </c>
      <c r="C97" s="26">
        <v>2.978148</v>
      </c>
      <c r="D97" s="26">
        <v>2.9696699999999998</v>
      </c>
      <c r="E97" s="27">
        <f t="shared" si="18"/>
        <v>3</v>
      </c>
      <c r="F97" s="27">
        <f t="shared" si="19"/>
        <v>2</v>
      </c>
      <c r="G97" s="27">
        <f t="shared" si="20"/>
        <v>1</v>
      </c>
      <c r="H97" s="26">
        <v>1.513317</v>
      </c>
      <c r="I97" s="26">
        <v>1.183419</v>
      </c>
      <c r="J97" s="26">
        <v>1.1842550000000001</v>
      </c>
      <c r="K97" s="27">
        <f t="shared" si="21"/>
        <v>3</v>
      </c>
      <c r="L97" s="27">
        <f t="shared" si="22"/>
        <v>1</v>
      </c>
      <c r="M97" s="27">
        <f t="shared" si="23"/>
        <v>2</v>
      </c>
      <c r="N97" s="26">
        <v>7.5532000000000002E-2</v>
      </c>
      <c r="O97" s="26">
        <v>8.0296999999999993E-2</v>
      </c>
      <c r="P97" s="26">
        <v>7.6033000000000003E-2</v>
      </c>
      <c r="Q97" s="27">
        <f t="shared" si="24"/>
        <v>1</v>
      </c>
      <c r="R97" s="27">
        <f t="shared" si="25"/>
        <v>3</v>
      </c>
      <c r="S97" s="27">
        <f t="shared" si="26"/>
        <v>2</v>
      </c>
    </row>
    <row r="98" spans="1:19" x14ac:dyDescent="0.3">
      <c r="A98" s="25" t="s">
        <v>254</v>
      </c>
      <c r="B98" s="26">
        <v>4.3486669999999998</v>
      </c>
      <c r="C98" s="26">
        <v>4.3295669999999999</v>
      </c>
      <c r="D98" s="26">
        <v>8.3581470000000007</v>
      </c>
      <c r="E98" s="27">
        <f t="shared" si="18"/>
        <v>2</v>
      </c>
      <c r="F98" s="27">
        <f t="shared" si="19"/>
        <v>1</v>
      </c>
      <c r="G98" s="27">
        <f t="shared" si="20"/>
        <v>3</v>
      </c>
      <c r="H98" s="26">
        <v>3.3886310000000002</v>
      </c>
      <c r="I98" s="26">
        <v>3.3821569999999999</v>
      </c>
      <c r="J98" s="26">
        <v>4.7955269999999999</v>
      </c>
      <c r="K98" s="27">
        <f t="shared" si="21"/>
        <v>2</v>
      </c>
      <c r="L98" s="27">
        <f t="shared" si="22"/>
        <v>1</v>
      </c>
      <c r="M98" s="27">
        <f t="shared" si="23"/>
        <v>3</v>
      </c>
      <c r="N98" s="26">
        <v>0.10485899999999999</v>
      </c>
      <c r="O98" s="26">
        <v>8.1577999999999998E-2</v>
      </c>
      <c r="P98" s="26">
        <v>0.166186</v>
      </c>
      <c r="Q98" s="27">
        <f t="shared" si="24"/>
        <v>2</v>
      </c>
      <c r="R98" s="27">
        <f t="shared" si="25"/>
        <v>1</v>
      </c>
      <c r="S98" s="27">
        <f t="shared" si="26"/>
        <v>3</v>
      </c>
    </row>
    <row r="99" spans="1:19" x14ac:dyDescent="0.3">
      <c r="A99" s="25" t="s">
        <v>255</v>
      </c>
      <c r="B99" s="26">
        <v>4.3484389999999999</v>
      </c>
      <c r="C99" s="26">
        <v>3.746435</v>
      </c>
      <c r="D99" s="26">
        <v>3.7177829999999998</v>
      </c>
      <c r="E99" s="27">
        <f t="shared" si="18"/>
        <v>3</v>
      </c>
      <c r="F99" s="27">
        <f t="shared" si="19"/>
        <v>2</v>
      </c>
      <c r="G99" s="27">
        <f t="shared" si="20"/>
        <v>1</v>
      </c>
      <c r="H99" s="26">
        <v>3.3822800000000002</v>
      </c>
      <c r="I99" s="26">
        <v>2.2759290000000001</v>
      </c>
      <c r="J99" s="26">
        <v>2.4003700000000001</v>
      </c>
      <c r="K99" s="27">
        <f t="shared" si="21"/>
        <v>3</v>
      </c>
      <c r="L99" s="27">
        <f t="shared" si="22"/>
        <v>1</v>
      </c>
      <c r="M99" s="27">
        <f t="shared" si="23"/>
        <v>2</v>
      </c>
      <c r="N99" s="26">
        <v>0.10329199999999999</v>
      </c>
      <c r="O99" s="26">
        <v>0.107875</v>
      </c>
      <c r="P99" s="26">
        <v>6.9603999999999999E-2</v>
      </c>
      <c r="Q99" s="27">
        <f t="shared" si="24"/>
        <v>2</v>
      </c>
      <c r="R99" s="27">
        <f t="shared" si="25"/>
        <v>3</v>
      </c>
      <c r="S99" s="27">
        <f t="shared" si="26"/>
        <v>1</v>
      </c>
    </row>
    <row r="100" spans="1:19" x14ac:dyDescent="0.3">
      <c r="A100" s="25" t="s">
        <v>256</v>
      </c>
      <c r="B100" s="26">
        <v>4.3364320000000003</v>
      </c>
      <c r="C100" s="26">
        <v>4.3149119999999996</v>
      </c>
      <c r="D100" s="26">
        <v>3.7849919999999999</v>
      </c>
      <c r="E100" s="27">
        <f t="shared" si="18"/>
        <v>3</v>
      </c>
      <c r="F100" s="27">
        <f t="shared" si="19"/>
        <v>2</v>
      </c>
      <c r="G100" s="27">
        <f t="shared" si="20"/>
        <v>1</v>
      </c>
      <c r="H100" s="26">
        <v>3.3812869999999999</v>
      </c>
      <c r="I100" s="26">
        <v>3.0029460000000001</v>
      </c>
      <c r="J100" s="26">
        <v>2.7699769999999999</v>
      </c>
      <c r="K100" s="27">
        <f t="shared" si="21"/>
        <v>3</v>
      </c>
      <c r="L100" s="27">
        <f t="shared" si="22"/>
        <v>2</v>
      </c>
      <c r="M100" s="27">
        <f t="shared" si="23"/>
        <v>1</v>
      </c>
      <c r="N100" s="26">
        <v>9.9597000000000005E-2</v>
      </c>
      <c r="O100" s="26">
        <v>0.112998</v>
      </c>
      <c r="P100" s="26">
        <v>0.10602300000000001</v>
      </c>
      <c r="Q100" s="27">
        <f t="shared" si="24"/>
        <v>1</v>
      </c>
      <c r="R100" s="27">
        <f t="shared" si="25"/>
        <v>3</v>
      </c>
      <c r="S100" s="27">
        <f t="shared" si="26"/>
        <v>2</v>
      </c>
    </row>
    <row r="101" spans="1:19" x14ac:dyDescent="0.3">
      <c r="A101" s="25" t="s">
        <v>257</v>
      </c>
      <c r="B101" s="26">
        <v>3.760643</v>
      </c>
      <c r="C101" s="26">
        <v>3.7622200000000001</v>
      </c>
      <c r="D101" s="26">
        <v>3.810146</v>
      </c>
      <c r="E101" s="27">
        <f t="shared" si="18"/>
        <v>1</v>
      </c>
      <c r="F101" s="27">
        <f t="shared" si="19"/>
        <v>2</v>
      </c>
      <c r="G101" s="27">
        <f t="shared" si="20"/>
        <v>3</v>
      </c>
      <c r="H101" s="26">
        <v>2.3996339999999998</v>
      </c>
      <c r="I101" s="26">
        <v>2.4001890000000001</v>
      </c>
      <c r="J101" s="26">
        <v>2.2554720000000001</v>
      </c>
      <c r="K101" s="27">
        <f t="shared" si="21"/>
        <v>2</v>
      </c>
      <c r="L101" s="27">
        <f t="shared" si="22"/>
        <v>3</v>
      </c>
      <c r="M101" s="27">
        <f t="shared" si="23"/>
        <v>1</v>
      </c>
      <c r="N101" s="26">
        <v>6.8581000000000003E-2</v>
      </c>
      <c r="O101" s="26">
        <v>8.2129999999999995E-2</v>
      </c>
      <c r="P101" s="26">
        <v>0.11781999999999999</v>
      </c>
      <c r="Q101" s="27">
        <f t="shared" si="24"/>
        <v>1</v>
      </c>
      <c r="R101" s="27">
        <f t="shared" si="25"/>
        <v>2</v>
      </c>
      <c r="S101" s="27">
        <f t="shared" si="26"/>
        <v>3</v>
      </c>
    </row>
    <row r="102" spans="1:19" x14ac:dyDescent="0.3">
      <c r="A102" s="25" t="s">
        <v>258</v>
      </c>
      <c r="B102" s="26">
        <v>4.3449739999999997</v>
      </c>
      <c r="C102" s="26">
        <v>2.978148</v>
      </c>
      <c r="D102" s="26">
        <v>3.7177829999999998</v>
      </c>
      <c r="E102" s="27">
        <f t="shared" si="18"/>
        <v>3</v>
      </c>
      <c r="F102" s="27">
        <f t="shared" si="19"/>
        <v>1</v>
      </c>
      <c r="G102" s="27">
        <f t="shared" si="20"/>
        <v>2</v>
      </c>
      <c r="H102" s="26">
        <v>3.3808660000000001</v>
      </c>
      <c r="I102" s="26">
        <v>1.183419</v>
      </c>
      <c r="J102" s="26">
        <v>2.4003700000000001</v>
      </c>
      <c r="K102" s="27">
        <f t="shared" si="21"/>
        <v>3</v>
      </c>
      <c r="L102" s="27">
        <f t="shared" si="22"/>
        <v>1</v>
      </c>
      <c r="M102" s="27">
        <f t="shared" si="23"/>
        <v>2</v>
      </c>
      <c r="N102" s="26">
        <v>0.104755</v>
      </c>
      <c r="O102" s="26">
        <v>8.0296999999999993E-2</v>
      </c>
      <c r="P102" s="26">
        <v>6.9603999999999999E-2</v>
      </c>
      <c r="Q102" s="27">
        <f t="shared" si="24"/>
        <v>3</v>
      </c>
      <c r="R102" s="27">
        <f t="shared" si="25"/>
        <v>2</v>
      </c>
      <c r="S102" s="27">
        <f t="shared" si="26"/>
        <v>1</v>
      </c>
    </row>
    <row r="103" spans="1:19" x14ac:dyDescent="0.3">
      <c r="A103" s="25" t="s">
        <v>259</v>
      </c>
      <c r="B103" s="26">
        <v>3.0182150000000001</v>
      </c>
      <c r="C103" s="26">
        <v>3.0274239999999999</v>
      </c>
      <c r="D103" s="26">
        <v>2.9767860000000002</v>
      </c>
      <c r="E103" s="27">
        <f t="shared" ref="E103:E134" si="27">RANK(B103,$B103:$D103,1)</f>
        <v>2</v>
      </c>
      <c r="F103" s="27">
        <f t="shared" ref="F103:F134" si="28">RANK(C103,$B103:$D103,1)</f>
        <v>3</v>
      </c>
      <c r="G103" s="27">
        <f t="shared" ref="G103:G134" si="29">RANK(D103,$B103:$D103,1)</f>
        <v>1</v>
      </c>
      <c r="H103" s="26">
        <v>1.2833220000000001</v>
      </c>
      <c r="I103" s="26">
        <v>1.2825660000000001</v>
      </c>
      <c r="J103" s="26">
        <v>1.282419</v>
      </c>
      <c r="K103" s="27">
        <f t="shared" ref="K103:K134" si="30">RANK(H103,$H103:$J103,1)</f>
        <v>3</v>
      </c>
      <c r="L103" s="27">
        <f t="shared" ref="L103:L134" si="31">RANK(I103,$H103:$J103,1)</f>
        <v>2</v>
      </c>
      <c r="M103" s="27">
        <f t="shared" ref="M103:M134" si="32">RANK(J103,$H103:$J103,1)</f>
        <v>1</v>
      </c>
      <c r="N103" s="26">
        <v>6.1878000000000002E-2</v>
      </c>
      <c r="O103" s="26">
        <v>7.6359999999999997E-2</v>
      </c>
      <c r="P103" s="26">
        <v>8.4392999999999996E-2</v>
      </c>
      <c r="Q103" s="27">
        <f t="shared" ref="Q103:Q134" si="33">RANK(N103,$N103:$P103,1)</f>
        <v>1</v>
      </c>
      <c r="R103" s="27">
        <f t="shared" ref="R103:R134" si="34">RANK(O103,$N103:$P103,1)</f>
        <v>2</v>
      </c>
      <c r="S103" s="27">
        <f t="shared" ref="S103:S134" si="35">RANK(P103,$N103:$P103,1)</f>
        <v>3</v>
      </c>
    </row>
    <row r="104" spans="1:19" x14ac:dyDescent="0.3">
      <c r="A104" s="25" t="s">
        <v>260</v>
      </c>
      <c r="B104" s="26">
        <v>3.0264489999999999</v>
      </c>
      <c r="C104" s="26">
        <v>3.1526860000000001</v>
      </c>
      <c r="D104" s="26">
        <v>4.3516680000000001</v>
      </c>
      <c r="E104" s="27">
        <f t="shared" si="27"/>
        <v>1</v>
      </c>
      <c r="F104" s="27">
        <f t="shared" si="28"/>
        <v>2</v>
      </c>
      <c r="G104" s="27">
        <f t="shared" si="29"/>
        <v>3</v>
      </c>
      <c r="H104" s="26">
        <v>1.281898</v>
      </c>
      <c r="I104" s="26">
        <v>1.28664</v>
      </c>
      <c r="J104" s="26">
        <v>3.3814950000000001</v>
      </c>
      <c r="K104" s="27">
        <f t="shared" si="30"/>
        <v>1</v>
      </c>
      <c r="L104" s="27">
        <f t="shared" si="31"/>
        <v>2</v>
      </c>
      <c r="M104" s="27">
        <f t="shared" si="32"/>
        <v>3</v>
      </c>
      <c r="N104" s="26">
        <v>8.8782E-2</v>
      </c>
      <c r="O104" s="26">
        <v>0.10376000000000001</v>
      </c>
      <c r="P104" s="26">
        <v>9.9751999999999993E-2</v>
      </c>
      <c r="Q104" s="27">
        <f t="shared" si="33"/>
        <v>1</v>
      </c>
      <c r="R104" s="27">
        <f t="shared" si="34"/>
        <v>3</v>
      </c>
      <c r="S104" s="27">
        <f t="shared" si="35"/>
        <v>2</v>
      </c>
    </row>
    <row r="105" spans="1:19" x14ac:dyDescent="0.3">
      <c r="A105" s="25" t="s">
        <v>261</v>
      </c>
      <c r="B105" s="26">
        <v>3.5189189999999999</v>
      </c>
      <c r="C105" s="26">
        <v>3.519571</v>
      </c>
      <c r="D105" s="26">
        <v>3.5382020000000001</v>
      </c>
      <c r="E105" s="27">
        <f t="shared" si="27"/>
        <v>1</v>
      </c>
      <c r="F105" s="27">
        <f t="shared" si="28"/>
        <v>2</v>
      </c>
      <c r="G105" s="27">
        <f t="shared" si="29"/>
        <v>3</v>
      </c>
      <c r="H105" s="26">
        <v>1.382317</v>
      </c>
      <c r="I105" s="26">
        <v>1.3371440000000001</v>
      </c>
      <c r="J105" s="26">
        <v>1.419719</v>
      </c>
      <c r="K105" s="27">
        <f t="shared" si="30"/>
        <v>2</v>
      </c>
      <c r="L105" s="27">
        <f t="shared" si="31"/>
        <v>1</v>
      </c>
      <c r="M105" s="27">
        <f t="shared" si="32"/>
        <v>3</v>
      </c>
      <c r="N105" s="26">
        <v>0.115953</v>
      </c>
      <c r="O105" s="26">
        <v>8.0576999999999996E-2</v>
      </c>
      <c r="P105" s="26">
        <v>8.4150000000000003E-2</v>
      </c>
      <c r="Q105" s="27">
        <f t="shared" si="33"/>
        <v>3</v>
      </c>
      <c r="R105" s="27">
        <f t="shared" si="34"/>
        <v>1</v>
      </c>
      <c r="S105" s="27">
        <f t="shared" si="35"/>
        <v>2</v>
      </c>
    </row>
    <row r="106" spans="1:19" x14ac:dyDescent="0.3">
      <c r="A106" s="25" t="s">
        <v>262</v>
      </c>
      <c r="B106" s="26">
        <v>2.9805510000000002</v>
      </c>
      <c r="C106" s="26">
        <v>2.978148</v>
      </c>
      <c r="D106" s="26">
        <v>2.9767860000000002</v>
      </c>
      <c r="E106" s="27">
        <f t="shared" si="27"/>
        <v>3</v>
      </c>
      <c r="F106" s="27">
        <f t="shared" si="28"/>
        <v>2</v>
      </c>
      <c r="G106" s="27">
        <f t="shared" si="29"/>
        <v>1</v>
      </c>
      <c r="H106" s="26">
        <v>1.2794479999999999</v>
      </c>
      <c r="I106" s="26">
        <v>1.183419</v>
      </c>
      <c r="J106" s="26">
        <v>1.282419</v>
      </c>
      <c r="K106" s="27">
        <f t="shared" si="30"/>
        <v>2</v>
      </c>
      <c r="L106" s="27">
        <f t="shared" si="31"/>
        <v>1</v>
      </c>
      <c r="M106" s="27">
        <f t="shared" si="32"/>
        <v>3</v>
      </c>
      <c r="N106" s="26">
        <v>9.3826999999999994E-2</v>
      </c>
      <c r="O106" s="26">
        <v>8.0296999999999993E-2</v>
      </c>
      <c r="P106" s="26">
        <v>8.4392999999999996E-2</v>
      </c>
      <c r="Q106" s="27">
        <f t="shared" si="33"/>
        <v>3</v>
      </c>
      <c r="R106" s="27">
        <f t="shared" si="34"/>
        <v>1</v>
      </c>
      <c r="S106" s="27">
        <f t="shared" si="35"/>
        <v>2</v>
      </c>
    </row>
    <row r="107" spans="1:19" x14ac:dyDescent="0.3">
      <c r="A107" s="25" t="s">
        <v>263</v>
      </c>
      <c r="B107" s="26">
        <v>4.2645169999999997</v>
      </c>
      <c r="C107" s="26">
        <v>3.5946479999999998</v>
      </c>
      <c r="D107" s="26">
        <v>3.6422349999999999</v>
      </c>
      <c r="E107" s="27">
        <f t="shared" si="27"/>
        <v>3</v>
      </c>
      <c r="F107" s="27">
        <f t="shared" si="28"/>
        <v>1</v>
      </c>
      <c r="G107" s="27">
        <f t="shared" si="29"/>
        <v>2</v>
      </c>
      <c r="H107" s="26">
        <v>3.2021099999999998</v>
      </c>
      <c r="I107" s="26">
        <v>2.8432930000000001</v>
      </c>
      <c r="J107" s="26">
        <v>2.8429540000000002</v>
      </c>
      <c r="K107" s="27">
        <f t="shared" si="30"/>
        <v>3</v>
      </c>
      <c r="L107" s="27">
        <f t="shared" si="31"/>
        <v>2</v>
      </c>
      <c r="M107" s="27">
        <f t="shared" si="32"/>
        <v>1</v>
      </c>
      <c r="N107" s="26">
        <v>0.113818</v>
      </c>
      <c r="O107" s="26">
        <v>9.9737999999999993E-2</v>
      </c>
      <c r="P107" s="26">
        <v>9.3214000000000005E-2</v>
      </c>
      <c r="Q107" s="27">
        <f t="shared" si="33"/>
        <v>3</v>
      </c>
      <c r="R107" s="27">
        <f t="shared" si="34"/>
        <v>2</v>
      </c>
      <c r="S107" s="27">
        <f t="shared" si="35"/>
        <v>1</v>
      </c>
    </row>
    <row r="108" spans="1:19" x14ac:dyDescent="0.3">
      <c r="A108" s="25" t="s">
        <v>264</v>
      </c>
      <c r="B108" s="26">
        <v>4.2430789999999998</v>
      </c>
      <c r="C108" s="26">
        <v>3.728729</v>
      </c>
      <c r="D108" s="26">
        <v>3.4202870000000001</v>
      </c>
      <c r="E108" s="27">
        <f t="shared" si="27"/>
        <v>3</v>
      </c>
      <c r="F108" s="27">
        <f t="shared" si="28"/>
        <v>2</v>
      </c>
      <c r="G108" s="27">
        <f t="shared" si="29"/>
        <v>1</v>
      </c>
      <c r="H108" s="26">
        <v>3.208593</v>
      </c>
      <c r="I108" s="26">
        <v>2.2875489999999998</v>
      </c>
      <c r="J108" s="26">
        <v>2.8413979999999999</v>
      </c>
      <c r="K108" s="27">
        <f t="shared" si="30"/>
        <v>3</v>
      </c>
      <c r="L108" s="27">
        <f t="shared" si="31"/>
        <v>1</v>
      </c>
      <c r="M108" s="27">
        <f t="shared" si="32"/>
        <v>2</v>
      </c>
      <c r="N108" s="26">
        <v>0.111239</v>
      </c>
      <c r="O108" s="26">
        <v>8.1919000000000006E-2</v>
      </c>
      <c r="P108" s="26">
        <v>7.5128E-2</v>
      </c>
      <c r="Q108" s="27">
        <f t="shared" si="33"/>
        <v>3</v>
      </c>
      <c r="R108" s="27">
        <f t="shared" si="34"/>
        <v>2</v>
      </c>
      <c r="S108" s="27">
        <f t="shared" si="35"/>
        <v>1</v>
      </c>
    </row>
    <row r="109" spans="1:19" x14ac:dyDescent="0.3">
      <c r="A109" s="25" t="s">
        <v>265</v>
      </c>
      <c r="B109" s="26">
        <v>3.6020750000000001</v>
      </c>
      <c r="C109" s="26">
        <v>4.2635310000000004</v>
      </c>
      <c r="D109" s="26">
        <v>2.9882960000000001</v>
      </c>
      <c r="E109" s="27">
        <f t="shared" si="27"/>
        <v>2</v>
      </c>
      <c r="F109" s="27">
        <f t="shared" si="28"/>
        <v>3</v>
      </c>
      <c r="G109" s="27">
        <f t="shared" si="29"/>
        <v>1</v>
      </c>
      <c r="H109" s="26">
        <v>2.8413520000000001</v>
      </c>
      <c r="I109" s="26">
        <v>3.2054619999999998</v>
      </c>
      <c r="J109" s="26">
        <v>1.2822039999999999</v>
      </c>
      <c r="K109" s="27">
        <f t="shared" si="30"/>
        <v>2</v>
      </c>
      <c r="L109" s="27">
        <f t="shared" si="31"/>
        <v>3</v>
      </c>
      <c r="M109" s="27">
        <f t="shared" si="32"/>
        <v>1</v>
      </c>
      <c r="N109" s="26">
        <v>0.111985</v>
      </c>
      <c r="O109" s="26">
        <v>0.11283</v>
      </c>
      <c r="P109" s="26">
        <v>9.9713999999999997E-2</v>
      </c>
      <c r="Q109" s="27">
        <f t="shared" si="33"/>
        <v>2</v>
      </c>
      <c r="R109" s="27">
        <f t="shared" si="34"/>
        <v>3</v>
      </c>
      <c r="S109" s="27">
        <f t="shared" si="35"/>
        <v>1</v>
      </c>
    </row>
    <row r="110" spans="1:19" x14ac:dyDescent="0.3">
      <c r="A110" s="25" t="s">
        <v>266</v>
      </c>
      <c r="B110" s="26">
        <v>4.2428530000000002</v>
      </c>
      <c r="C110" s="26">
        <v>3.6062020000000001</v>
      </c>
      <c r="D110" s="26">
        <v>4.5310990000000002</v>
      </c>
      <c r="E110" s="27">
        <f t="shared" si="27"/>
        <v>2</v>
      </c>
      <c r="F110" s="27">
        <f t="shared" si="28"/>
        <v>1</v>
      </c>
      <c r="G110" s="27">
        <f t="shared" si="29"/>
        <v>3</v>
      </c>
      <c r="H110" s="26">
        <v>3.2025999999999999</v>
      </c>
      <c r="I110" s="26">
        <v>2.841507</v>
      </c>
      <c r="J110" s="26">
        <v>3.6550120000000001</v>
      </c>
      <c r="K110" s="27">
        <f t="shared" si="30"/>
        <v>2</v>
      </c>
      <c r="L110" s="27">
        <f t="shared" si="31"/>
        <v>1</v>
      </c>
      <c r="M110" s="27">
        <f t="shared" si="32"/>
        <v>3</v>
      </c>
      <c r="N110" s="26">
        <v>0.10459499999999999</v>
      </c>
      <c r="O110" s="26">
        <v>0.10364900000000001</v>
      </c>
      <c r="P110" s="26">
        <v>8.301E-2</v>
      </c>
      <c r="Q110" s="27">
        <f t="shared" si="33"/>
        <v>3</v>
      </c>
      <c r="R110" s="27">
        <f t="shared" si="34"/>
        <v>2</v>
      </c>
      <c r="S110" s="27">
        <f t="shared" si="35"/>
        <v>1</v>
      </c>
    </row>
    <row r="111" spans="1:19" x14ac:dyDescent="0.3">
      <c r="A111" s="25" t="s">
        <v>267</v>
      </c>
      <c r="B111" s="26">
        <v>3.612085</v>
      </c>
      <c r="C111" s="26">
        <v>3.6812680000000002</v>
      </c>
      <c r="D111" s="26">
        <v>4.5310990000000002</v>
      </c>
      <c r="E111" s="27">
        <f t="shared" si="27"/>
        <v>1</v>
      </c>
      <c r="F111" s="27">
        <f t="shared" si="28"/>
        <v>2</v>
      </c>
      <c r="G111" s="27">
        <f t="shared" si="29"/>
        <v>3</v>
      </c>
      <c r="H111" s="26">
        <v>2.8418909999999999</v>
      </c>
      <c r="I111" s="26">
        <v>1.436226</v>
      </c>
      <c r="J111" s="26">
        <v>3.6550120000000001</v>
      </c>
      <c r="K111" s="27">
        <f t="shared" si="30"/>
        <v>2</v>
      </c>
      <c r="L111" s="27">
        <f t="shared" si="31"/>
        <v>1</v>
      </c>
      <c r="M111" s="27">
        <f t="shared" si="32"/>
        <v>3</v>
      </c>
      <c r="N111" s="26">
        <v>0.104641</v>
      </c>
      <c r="O111" s="26">
        <v>9.6286999999999998E-2</v>
      </c>
      <c r="P111" s="26">
        <v>8.301E-2</v>
      </c>
      <c r="Q111" s="27">
        <f t="shared" si="33"/>
        <v>3</v>
      </c>
      <c r="R111" s="27">
        <f t="shared" si="34"/>
        <v>2</v>
      </c>
      <c r="S111" s="27">
        <f t="shared" si="35"/>
        <v>1</v>
      </c>
    </row>
    <row r="112" spans="1:19" x14ac:dyDescent="0.3">
      <c r="A112" s="25" t="s">
        <v>268</v>
      </c>
      <c r="B112" s="26">
        <v>5.1489929999999999</v>
      </c>
      <c r="C112" s="26">
        <v>3.5022099999999998</v>
      </c>
      <c r="D112" s="26">
        <v>3.6007359999999999</v>
      </c>
      <c r="E112" s="27">
        <f t="shared" si="27"/>
        <v>3</v>
      </c>
      <c r="F112" s="27">
        <f t="shared" si="28"/>
        <v>1</v>
      </c>
      <c r="G112" s="27">
        <f t="shared" si="29"/>
        <v>2</v>
      </c>
      <c r="H112" s="26">
        <v>3.038456</v>
      </c>
      <c r="I112" s="26">
        <v>1.3874740000000001</v>
      </c>
      <c r="J112" s="26">
        <v>1.3878410000000001</v>
      </c>
      <c r="K112" s="27">
        <f t="shared" si="30"/>
        <v>3</v>
      </c>
      <c r="L112" s="27">
        <f t="shared" si="31"/>
        <v>1</v>
      </c>
      <c r="M112" s="27">
        <f t="shared" si="32"/>
        <v>2</v>
      </c>
      <c r="N112" s="26">
        <v>0.139846</v>
      </c>
      <c r="O112" s="26">
        <v>6.3220999999999999E-2</v>
      </c>
      <c r="P112" s="26">
        <v>0.11085</v>
      </c>
      <c r="Q112" s="27">
        <f t="shared" si="33"/>
        <v>3</v>
      </c>
      <c r="R112" s="27">
        <f t="shared" si="34"/>
        <v>1</v>
      </c>
      <c r="S112" s="27">
        <f t="shared" si="35"/>
        <v>2</v>
      </c>
    </row>
    <row r="113" spans="1:19" x14ac:dyDescent="0.3">
      <c r="A113" s="25" t="s">
        <v>269</v>
      </c>
      <c r="B113" s="26">
        <v>5.2299360000000004</v>
      </c>
      <c r="C113" s="26">
        <v>3.5281799999999999</v>
      </c>
      <c r="D113" s="26">
        <v>3.5797189999999999</v>
      </c>
      <c r="E113" s="27">
        <f t="shared" si="27"/>
        <v>3</v>
      </c>
      <c r="F113" s="27">
        <f t="shared" si="28"/>
        <v>1</v>
      </c>
      <c r="G113" s="27">
        <f t="shared" si="29"/>
        <v>2</v>
      </c>
      <c r="H113" s="26">
        <v>1.736696</v>
      </c>
      <c r="I113" s="26">
        <v>1.387032</v>
      </c>
      <c r="J113" s="26">
        <v>1.3859429999999999</v>
      </c>
      <c r="K113" s="27">
        <f t="shared" si="30"/>
        <v>3</v>
      </c>
      <c r="L113" s="27">
        <f t="shared" si="31"/>
        <v>2</v>
      </c>
      <c r="M113" s="27">
        <f t="shared" si="32"/>
        <v>1</v>
      </c>
      <c r="N113" s="26">
        <v>8.4166000000000005E-2</v>
      </c>
      <c r="O113" s="26">
        <v>7.9677999999999999E-2</v>
      </c>
      <c r="P113" s="26">
        <v>8.3302000000000001E-2</v>
      </c>
      <c r="Q113" s="27">
        <f t="shared" si="33"/>
        <v>3</v>
      </c>
      <c r="R113" s="27">
        <f t="shared" si="34"/>
        <v>1</v>
      </c>
      <c r="S113" s="27">
        <f t="shared" si="35"/>
        <v>2</v>
      </c>
    </row>
    <row r="114" spans="1:19" x14ac:dyDescent="0.3">
      <c r="A114" s="25" t="s">
        <v>270</v>
      </c>
      <c r="B114" s="26">
        <v>3.572635</v>
      </c>
      <c r="C114" s="26">
        <v>4.8351519999999999</v>
      </c>
      <c r="D114" s="26">
        <v>4.2838700000000003</v>
      </c>
      <c r="E114" s="27">
        <f t="shared" si="27"/>
        <v>1</v>
      </c>
      <c r="F114" s="27">
        <f t="shared" si="28"/>
        <v>3</v>
      </c>
      <c r="G114" s="27">
        <f t="shared" si="29"/>
        <v>2</v>
      </c>
      <c r="H114" s="26">
        <v>1.3877649999999999</v>
      </c>
      <c r="I114" s="26">
        <v>1.568484</v>
      </c>
      <c r="J114" s="26">
        <v>3.2026729999999999</v>
      </c>
      <c r="K114" s="27">
        <f t="shared" si="30"/>
        <v>1</v>
      </c>
      <c r="L114" s="27">
        <f t="shared" si="31"/>
        <v>2</v>
      </c>
      <c r="M114" s="27">
        <f t="shared" si="32"/>
        <v>3</v>
      </c>
      <c r="N114" s="26">
        <v>7.6813000000000006E-2</v>
      </c>
      <c r="O114" s="26">
        <v>8.8619000000000003E-2</v>
      </c>
      <c r="P114" s="26">
        <v>0.13490099999999999</v>
      </c>
      <c r="Q114" s="27">
        <f t="shared" si="33"/>
        <v>1</v>
      </c>
      <c r="R114" s="27">
        <f t="shared" si="34"/>
        <v>2</v>
      </c>
      <c r="S114" s="27">
        <f t="shared" si="35"/>
        <v>3</v>
      </c>
    </row>
    <row r="115" spans="1:19" x14ac:dyDescent="0.3">
      <c r="A115" s="25" t="s">
        <v>271</v>
      </c>
      <c r="B115" s="26">
        <v>4.1246840000000002</v>
      </c>
      <c r="C115" s="26">
        <v>3.5514540000000001</v>
      </c>
      <c r="D115" s="26">
        <v>3.1661630000000001</v>
      </c>
      <c r="E115" s="27">
        <f t="shared" si="27"/>
        <v>3</v>
      </c>
      <c r="F115" s="27">
        <f t="shared" si="28"/>
        <v>2</v>
      </c>
      <c r="G115" s="27">
        <f t="shared" si="29"/>
        <v>1</v>
      </c>
      <c r="H115" s="26">
        <v>1.5723149999999999</v>
      </c>
      <c r="I115" s="26">
        <v>1.3869279999999999</v>
      </c>
      <c r="J115" s="26">
        <v>1.5148619999999999</v>
      </c>
      <c r="K115" s="27">
        <f t="shared" si="30"/>
        <v>3</v>
      </c>
      <c r="L115" s="27">
        <f t="shared" si="31"/>
        <v>1</v>
      </c>
      <c r="M115" s="27">
        <f t="shared" si="32"/>
        <v>2</v>
      </c>
      <c r="N115" s="26">
        <v>8.0633999999999997E-2</v>
      </c>
      <c r="O115" s="26">
        <v>9.6739000000000006E-2</v>
      </c>
      <c r="P115" s="26">
        <v>0.108586</v>
      </c>
      <c r="Q115" s="27">
        <f t="shared" si="33"/>
        <v>1</v>
      </c>
      <c r="R115" s="27">
        <f t="shared" si="34"/>
        <v>2</v>
      </c>
      <c r="S115" s="27">
        <f t="shared" si="35"/>
        <v>3</v>
      </c>
    </row>
    <row r="116" spans="1:19" x14ac:dyDescent="0.3">
      <c r="A116" s="25" t="s">
        <v>272</v>
      </c>
      <c r="B116" s="26">
        <v>4.8575799999999996</v>
      </c>
      <c r="C116" s="26">
        <v>3.8243390000000002</v>
      </c>
      <c r="D116" s="26">
        <v>4.1365629999999998</v>
      </c>
      <c r="E116" s="27">
        <f t="shared" si="27"/>
        <v>3</v>
      </c>
      <c r="F116" s="27">
        <f t="shared" si="28"/>
        <v>1</v>
      </c>
      <c r="G116" s="27">
        <f t="shared" si="29"/>
        <v>2</v>
      </c>
      <c r="H116" s="26">
        <v>5.2704599999999999</v>
      </c>
      <c r="I116" s="26">
        <v>1.290953</v>
      </c>
      <c r="J116" s="26">
        <v>1.385651</v>
      </c>
      <c r="K116" s="27">
        <f t="shared" si="30"/>
        <v>3</v>
      </c>
      <c r="L116" s="27">
        <f t="shared" si="31"/>
        <v>1</v>
      </c>
      <c r="M116" s="27">
        <f t="shared" si="32"/>
        <v>2</v>
      </c>
      <c r="N116" s="26">
        <v>0.16047600000000001</v>
      </c>
      <c r="O116" s="26">
        <v>7.4505000000000002E-2</v>
      </c>
      <c r="P116" s="26">
        <v>8.4739999999999996E-2</v>
      </c>
      <c r="Q116" s="27">
        <f t="shared" si="33"/>
        <v>3</v>
      </c>
      <c r="R116" s="27">
        <f t="shared" si="34"/>
        <v>1</v>
      </c>
      <c r="S116" s="27">
        <f t="shared" si="35"/>
        <v>2</v>
      </c>
    </row>
    <row r="117" spans="1:19" x14ac:dyDescent="0.3">
      <c r="A117" s="25" t="s">
        <v>273</v>
      </c>
      <c r="B117" s="26">
        <v>5.5599480000000003</v>
      </c>
      <c r="C117" s="26">
        <v>4.2312219999999998</v>
      </c>
      <c r="D117" s="26">
        <v>5.3836839999999997</v>
      </c>
      <c r="E117" s="27">
        <f t="shared" si="27"/>
        <v>3</v>
      </c>
      <c r="F117" s="27">
        <f t="shared" si="28"/>
        <v>1</v>
      </c>
      <c r="G117" s="27">
        <f t="shared" si="29"/>
        <v>2</v>
      </c>
      <c r="H117" s="26">
        <v>1.7896000000000001</v>
      </c>
      <c r="I117" s="26">
        <v>1.3827860000000001</v>
      </c>
      <c r="J117" s="26">
        <v>2.1455160000000002</v>
      </c>
      <c r="K117" s="27">
        <f t="shared" si="30"/>
        <v>2</v>
      </c>
      <c r="L117" s="27">
        <f t="shared" si="31"/>
        <v>1</v>
      </c>
      <c r="M117" s="27">
        <f t="shared" si="32"/>
        <v>3</v>
      </c>
      <c r="N117" s="26">
        <v>0.100665</v>
      </c>
      <c r="O117" s="26">
        <v>8.9813000000000004E-2</v>
      </c>
      <c r="P117" s="26">
        <v>7.8810000000000005E-2</v>
      </c>
      <c r="Q117" s="27">
        <f t="shared" si="33"/>
        <v>3</v>
      </c>
      <c r="R117" s="27">
        <f t="shared" si="34"/>
        <v>2</v>
      </c>
      <c r="S117" s="27">
        <f t="shared" si="35"/>
        <v>1</v>
      </c>
    </row>
    <row r="118" spans="1:19" x14ac:dyDescent="0.3">
      <c r="A118" s="25" t="s">
        <v>274</v>
      </c>
      <c r="B118" s="26">
        <v>4.0931069999999998</v>
      </c>
      <c r="C118" s="26">
        <v>6.9057740000000001</v>
      </c>
      <c r="D118" s="26">
        <v>4.8739109999999997</v>
      </c>
      <c r="E118" s="27">
        <f t="shared" si="27"/>
        <v>1</v>
      </c>
      <c r="F118" s="27">
        <f t="shared" si="28"/>
        <v>3</v>
      </c>
      <c r="G118" s="27">
        <f t="shared" si="29"/>
        <v>2</v>
      </c>
      <c r="H118" s="26">
        <v>1.4142239999999999</v>
      </c>
      <c r="I118" s="26">
        <v>1.176075</v>
      </c>
      <c r="J118" s="26">
        <v>2.8205870000000002</v>
      </c>
      <c r="K118" s="27">
        <f t="shared" si="30"/>
        <v>2</v>
      </c>
      <c r="L118" s="27">
        <f t="shared" si="31"/>
        <v>1</v>
      </c>
      <c r="M118" s="27">
        <f t="shared" si="32"/>
        <v>3</v>
      </c>
      <c r="N118" s="26">
        <v>9.2055999999999999E-2</v>
      </c>
      <c r="O118" s="26">
        <v>0.108099</v>
      </c>
      <c r="P118" s="26">
        <v>0.126947</v>
      </c>
      <c r="Q118" s="27">
        <f t="shared" si="33"/>
        <v>1</v>
      </c>
      <c r="R118" s="27">
        <f t="shared" si="34"/>
        <v>2</v>
      </c>
      <c r="S118" s="27">
        <f t="shared" si="35"/>
        <v>3</v>
      </c>
    </row>
    <row r="119" spans="1:19" x14ac:dyDescent="0.3">
      <c r="A119" s="25" t="s">
        <v>275</v>
      </c>
      <c r="B119" s="26">
        <v>3.7607940000000002</v>
      </c>
      <c r="C119" s="26">
        <v>3.7535219999999998</v>
      </c>
      <c r="D119" s="26">
        <v>3.73021</v>
      </c>
      <c r="E119" s="27">
        <f t="shared" si="27"/>
        <v>3</v>
      </c>
      <c r="F119" s="27">
        <f t="shared" si="28"/>
        <v>2</v>
      </c>
      <c r="G119" s="27">
        <f t="shared" si="29"/>
        <v>1</v>
      </c>
      <c r="H119" s="26">
        <v>2.7290939999999999</v>
      </c>
      <c r="I119" s="26">
        <v>2.7271200000000002</v>
      </c>
      <c r="J119" s="26">
        <v>2.7284130000000002</v>
      </c>
      <c r="K119" s="27">
        <f t="shared" si="30"/>
        <v>3</v>
      </c>
      <c r="L119" s="27">
        <f t="shared" si="31"/>
        <v>1</v>
      </c>
      <c r="M119" s="27">
        <f t="shared" si="32"/>
        <v>2</v>
      </c>
      <c r="N119" s="26">
        <v>9.3743000000000007E-2</v>
      </c>
      <c r="O119" s="26">
        <v>0.102947</v>
      </c>
      <c r="P119" s="26">
        <v>8.4037000000000001E-2</v>
      </c>
      <c r="Q119" s="27">
        <f t="shared" si="33"/>
        <v>2</v>
      </c>
      <c r="R119" s="27">
        <f t="shared" si="34"/>
        <v>3</v>
      </c>
      <c r="S119" s="27">
        <f t="shared" si="35"/>
        <v>1</v>
      </c>
    </row>
    <row r="120" spans="1:19" x14ac:dyDescent="0.3">
      <c r="A120" s="25" t="s">
        <v>276</v>
      </c>
      <c r="B120" s="26">
        <v>3.7313200000000002</v>
      </c>
      <c r="C120" s="26">
        <v>3.7232500000000002</v>
      </c>
      <c r="D120" s="26">
        <v>3.6971259999999999</v>
      </c>
      <c r="E120" s="27">
        <f t="shared" si="27"/>
        <v>3</v>
      </c>
      <c r="F120" s="27">
        <f t="shared" si="28"/>
        <v>2</v>
      </c>
      <c r="G120" s="27">
        <f t="shared" si="29"/>
        <v>1</v>
      </c>
      <c r="H120" s="26">
        <v>2.7294870000000002</v>
      </c>
      <c r="I120" s="26">
        <v>2.7267540000000001</v>
      </c>
      <c r="J120" s="26">
        <v>2.7287940000000002</v>
      </c>
      <c r="K120" s="27">
        <f t="shared" si="30"/>
        <v>3</v>
      </c>
      <c r="L120" s="27">
        <f t="shared" si="31"/>
        <v>1</v>
      </c>
      <c r="M120" s="27">
        <f t="shared" si="32"/>
        <v>2</v>
      </c>
      <c r="N120" s="26">
        <v>7.9824999999999993E-2</v>
      </c>
      <c r="O120" s="26">
        <v>8.0619999999999997E-2</v>
      </c>
      <c r="P120" s="26">
        <v>8.3501000000000006E-2</v>
      </c>
      <c r="Q120" s="27">
        <f t="shared" si="33"/>
        <v>1</v>
      </c>
      <c r="R120" s="27">
        <f t="shared" si="34"/>
        <v>2</v>
      </c>
      <c r="S120" s="27">
        <f t="shared" si="35"/>
        <v>3</v>
      </c>
    </row>
    <row r="121" spans="1:19" x14ac:dyDescent="0.3">
      <c r="A121" s="25" t="s">
        <v>277</v>
      </c>
      <c r="B121" s="26">
        <v>3.731887</v>
      </c>
      <c r="C121" s="26">
        <v>4.033722</v>
      </c>
      <c r="D121" s="26">
        <v>4.7297609999999999</v>
      </c>
      <c r="E121" s="27">
        <f t="shared" si="27"/>
        <v>1</v>
      </c>
      <c r="F121" s="27">
        <f t="shared" si="28"/>
        <v>2</v>
      </c>
      <c r="G121" s="27">
        <f t="shared" si="29"/>
        <v>3</v>
      </c>
      <c r="H121" s="26">
        <v>2.7288000000000001</v>
      </c>
      <c r="I121" s="26">
        <v>3.1452740000000001</v>
      </c>
      <c r="J121" s="26">
        <v>5.149025</v>
      </c>
      <c r="K121" s="27">
        <f t="shared" si="30"/>
        <v>1</v>
      </c>
      <c r="L121" s="27">
        <f t="shared" si="31"/>
        <v>2</v>
      </c>
      <c r="M121" s="27">
        <f t="shared" si="32"/>
        <v>3</v>
      </c>
      <c r="N121" s="26">
        <v>7.8836000000000003E-2</v>
      </c>
      <c r="O121" s="26">
        <v>9.0588000000000002E-2</v>
      </c>
      <c r="P121" s="26">
        <v>9.0878E-2</v>
      </c>
      <c r="Q121" s="27">
        <f t="shared" si="33"/>
        <v>1</v>
      </c>
      <c r="R121" s="27">
        <f t="shared" si="34"/>
        <v>2</v>
      </c>
      <c r="S121" s="27">
        <f t="shared" si="35"/>
        <v>3</v>
      </c>
    </row>
    <row r="122" spans="1:19" x14ac:dyDescent="0.3">
      <c r="A122" s="25" t="s">
        <v>278</v>
      </c>
      <c r="B122" s="26">
        <v>4.0384500000000001</v>
      </c>
      <c r="C122" s="26">
        <v>4.0488910000000002</v>
      </c>
      <c r="D122" s="26">
        <v>3.7958349999999998</v>
      </c>
      <c r="E122" s="27">
        <f t="shared" si="27"/>
        <v>2</v>
      </c>
      <c r="F122" s="27">
        <f t="shared" si="28"/>
        <v>3</v>
      </c>
      <c r="G122" s="27">
        <f t="shared" si="29"/>
        <v>1</v>
      </c>
      <c r="H122" s="26">
        <v>3.1484920000000001</v>
      </c>
      <c r="I122" s="26">
        <v>3.1453350000000002</v>
      </c>
      <c r="J122" s="26">
        <v>3.2692260000000002</v>
      </c>
      <c r="K122" s="27">
        <f t="shared" si="30"/>
        <v>2</v>
      </c>
      <c r="L122" s="27">
        <f t="shared" si="31"/>
        <v>1</v>
      </c>
      <c r="M122" s="27">
        <f t="shared" si="32"/>
        <v>3</v>
      </c>
      <c r="N122" s="26">
        <v>9.3727000000000005E-2</v>
      </c>
      <c r="O122" s="26">
        <v>9.8094000000000001E-2</v>
      </c>
      <c r="P122" s="26">
        <v>0.10387299999999999</v>
      </c>
      <c r="Q122" s="27">
        <f t="shared" si="33"/>
        <v>1</v>
      </c>
      <c r="R122" s="27">
        <f t="shared" si="34"/>
        <v>2</v>
      </c>
      <c r="S122" s="27">
        <f t="shared" si="35"/>
        <v>3</v>
      </c>
    </row>
    <row r="123" spans="1:19" x14ac:dyDescent="0.3">
      <c r="A123" s="25" t="s">
        <v>279</v>
      </c>
      <c r="B123" s="26">
        <v>3.7513019999999999</v>
      </c>
      <c r="C123" s="26">
        <v>3.0563530000000001</v>
      </c>
      <c r="D123" s="26">
        <v>4.7297609999999999</v>
      </c>
      <c r="E123" s="27">
        <f t="shared" si="27"/>
        <v>2</v>
      </c>
      <c r="F123" s="27">
        <f t="shared" si="28"/>
        <v>1</v>
      </c>
      <c r="G123" s="27">
        <f t="shared" si="29"/>
        <v>3</v>
      </c>
      <c r="H123" s="26">
        <v>2.7283140000000001</v>
      </c>
      <c r="I123" s="26">
        <v>2.3035000000000001</v>
      </c>
      <c r="J123" s="26">
        <v>5.149025</v>
      </c>
      <c r="K123" s="27">
        <f t="shared" si="30"/>
        <v>2</v>
      </c>
      <c r="L123" s="27">
        <f t="shared" si="31"/>
        <v>1</v>
      </c>
      <c r="M123" s="27">
        <f t="shared" si="32"/>
        <v>3</v>
      </c>
      <c r="N123" s="26">
        <v>0.102853</v>
      </c>
      <c r="O123" s="26">
        <v>0.103174</v>
      </c>
      <c r="P123" s="26">
        <v>9.0878E-2</v>
      </c>
      <c r="Q123" s="27">
        <f t="shared" si="33"/>
        <v>2</v>
      </c>
      <c r="R123" s="27">
        <f t="shared" si="34"/>
        <v>3</v>
      </c>
      <c r="S123" s="27">
        <f t="shared" si="35"/>
        <v>1</v>
      </c>
    </row>
    <row r="124" spans="1:19" x14ac:dyDescent="0.3">
      <c r="A124" s="25" t="s">
        <v>280</v>
      </c>
      <c r="B124" s="26">
        <v>2.9761090000000001</v>
      </c>
      <c r="C124" s="26">
        <v>2.968594</v>
      </c>
      <c r="D124" s="26">
        <v>2.9822000000000002</v>
      </c>
      <c r="E124" s="27">
        <f t="shared" si="27"/>
        <v>2</v>
      </c>
      <c r="F124" s="27">
        <f t="shared" si="28"/>
        <v>1</v>
      </c>
      <c r="G124" s="27">
        <f t="shared" si="29"/>
        <v>3</v>
      </c>
      <c r="H124" s="26">
        <v>1.3266210000000001</v>
      </c>
      <c r="I124" s="26">
        <v>1.3285769999999999</v>
      </c>
      <c r="J124" s="26">
        <v>1.3295509999999999</v>
      </c>
      <c r="K124" s="27">
        <f t="shared" si="30"/>
        <v>1</v>
      </c>
      <c r="L124" s="27">
        <f t="shared" si="31"/>
        <v>2</v>
      </c>
      <c r="M124" s="27">
        <f t="shared" si="32"/>
        <v>3</v>
      </c>
      <c r="N124" s="26">
        <v>7.8313999999999995E-2</v>
      </c>
      <c r="O124" s="26">
        <v>8.3117999999999997E-2</v>
      </c>
      <c r="P124" s="26">
        <v>8.3984000000000003E-2</v>
      </c>
      <c r="Q124" s="27">
        <f t="shared" si="33"/>
        <v>1</v>
      </c>
      <c r="R124" s="27">
        <f t="shared" si="34"/>
        <v>2</v>
      </c>
      <c r="S124" s="27">
        <f t="shared" si="35"/>
        <v>3</v>
      </c>
    </row>
    <row r="125" spans="1:19" x14ac:dyDescent="0.3">
      <c r="A125" s="25" t="s">
        <v>281</v>
      </c>
      <c r="B125" s="26">
        <v>2.965894</v>
      </c>
      <c r="C125" s="26">
        <v>2.990926</v>
      </c>
      <c r="D125" s="26">
        <v>3.0699149999999999</v>
      </c>
      <c r="E125" s="27">
        <f t="shared" si="27"/>
        <v>1</v>
      </c>
      <c r="F125" s="27">
        <f t="shared" si="28"/>
        <v>2</v>
      </c>
      <c r="G125" s="27">
        <f t="shared" si="29"/>
        <v>3</v>
      </c>
      <c r="H125" s="26">
        <v>1.329051</v>
      </c>
      <c r="I125" s="26">
        <v>1.3306439999999999</v>
      </c>
      <c r="J125" s="26">
        <v>1.3258049999999999</v>
      </c>
      <c r="K125" s="27">
        <f t="shared" si="30"/>
        <v>2</v>
      </c>
      <c r="L125" s="27">
        <f t="shared" si="31"/>
        <v>3</v>
      </c>
      <c r="M125" s="27">
        <f t="shared" si="32"/>
        <v>1</v>
      </c>
      <c r="N125" s="26">
        <v>5.6326000000000001E-2</v>
      </c>
      <c r="O125" s="26">
        <v>8.4459999999999993E-2</v>
      </c>
      <c r="P125" s="26">
        <v>7.3629E-2</v>
      </c>
      <c r="Q125" s="27">
        <f t="shared" si="33"/>
        <v>1</v>
      </c>
      <c r="R125" s="27">
        <f t="shared" si="34"/>
        <v>3</v>
      </c>
      <c r="S125" s="27">
        <f t="shared" si="35"/>
        <v>2</v>
      </c>
    </row>
    <row r="126" spans="1:19" x14ac:dyDescent="0.3">
      <c r="A126" s="25" t="s">
        <v>282</v>
      </c>
      <c r="B126" s="26">
        <v>3.1040100000000002</v>
      </c>
      <c r="C126" s="26">
        <v>2.9769969999999999</v>
      </c>
      <c r="D126" s="26">
        <v>4.0398350000000001</v>
      </c>
      <c r="E126" s="27">
        <f t="shared" si="27"/>
        <v>2</v>
      </c>
      <c r="F126" s="27">
        <f t="shared" si="28"/>
        <v>1</v>
      </c>
      <c r="G126" s="27">
        <f t="shared" si="29"/>
        <v>3</v>
      </c>
      <c r="H126" s="26">
        <v>1.3300019999999999</v>
      </c>
      <c r="I126" s="26">
        <v>1.326889</v>
      </c>
      <c r="J126" s="26">
        <v>3.1483629999999998</v>
      </c>
      <c r="K126" s="27">
        <f t="shared" si="30"/>
        <v>2</v>
      </c>
      <c r="L126" s="27">
        <f t="shared" si="31"/>
        <v>1</v>
      </c>
      <c r="M126" s="27">
        <f t="shared" si="32"/>
        <v>3</v>
      </c>
      <c r="N126" s="26">
        <v>0.104033</v>
      </c>
      <c r="O126" s="26">
        <v>7.8516000000000002E-2</v>
      </c>
      <c r="P126" s="26">
        <v>9.2440999999999995E-2</v>
      </c>
      <c r="Q126" s="27">
        <f t="shared" si="33"/>
        <v>3</v>
      </c>
      <c r="R126" s="27">
        <f t="shared" si="34"/>
        <v>1</v>
      </c>
      <c r="S126" s="27">
        <f t="shared" si="35"/>
        <v>2</v>
      </c>
    </row>
    <row r="127" spans="1:19" x14ac:dyDescent="0.3">
      <c r="A127" s="25" t="s">
        <v>283</v>
      </c>
      <c r="B127" s="26">
        <v>2.961957</v>
      </c>
      <c r="C127" s="26">
        <v>2.968737</v>
      </c>
      <c r="D127" s="26">
        <v>2.9871050000000001</v>
      </c>
      <c r="E127" s="27">
        <f t="shared" si="27"/>
        <v>1</v>
      </c>
      <c r="F127" s="27">
        <f t="shared" si="28"/>
        <v>2</v>
      </c>
      <c r="G127" s="27">
        <f t="shared" si="29"/>
        <v>3</v>
      </c>
      <c r="H127" s="26">
        <v>1.3278540000000001</v>
      </c>
      <c r="I127" s="26">
        <v>1.327172</v>
      </c>
      <c r="J127" s="26">
        <v>1.1859059999999999</v>
      </c>
      <c r="K127" s="27">
        <f t="shared" si="30"/>
        <v>3</v>
      </c>
      <c r="L127" s="27">
        <f t="shared" si="31"/>
        <v>2</v>
      </c>
      <c r="M127" s="27">
        <f t="shared" si="32"/>
        <v>1</v>
      </c>
      <c r="N127" s="26">
        <v>6.0090999999999999E-2</v>
      </c>
      <c r="O127" s="26">
        <v>7.9673999999999995E-2</v>
      </c>
      <c r="P127" s="26">
        <v>7.6479000000000005E-2</v>
      </c>
      <c r="Q127" s="27">
        <f t="shared" si="33"/>
        <v>1</v>
      </c>
      <c r="R127" s="27">
        <f t="shared" si="34"/>
        <v>3</v>
      </c>
      <c r="S127" s="27">
        <f t="shared" si="35"/>
        <v>2</v>
      </c>
    </row>
    <row r="128" spans="1:19" x14ac:dyDescent="0.3">
      <c r="A128" s="25" t="s">
        <v>284</v>
      </c>
      <c r="B128" s="26">
        <v>2.954526</v>
      </c>
      <c r="C128" s="26">
        <v>4.085178</v>
      </c>
      <c r="D128" s="26">
        <v>2.9871050000000001</v>
      </c>
      <c r="E128" s="27">
        <f t="shared" si="27"/>
        <v>1</v>
      </c>
      <c r="F128" s="27">
        <f t="shared" si="28"/>
        <v>3</v>
      </c>
      <c r="G128" s="27">
        <f t="shared" si="29"/>
        <v>2</v>
      </c>
      <c r="H128" s="26">
        <v>1.3281590000000001</v>
      </c>
      <c r="I128" s="26">
        <v>3.1491910000000001</v>
      </c>
      <c r="J128" s="26">
        <v>1.1859059999999999</v>
      </c>
      <c r="K128" s="27">
        <f t="shared" si="30"/>
        <v>2</v>
      </c>
      <c r="L128" s="27">
        <f t="shared" si="31"/>
        <v>3</v>
      </c>
      <c r="M128" s="27">
        <f t="shared" si="32"/>
        <v>1</v>
      </c>
      <c r="N128" s="26">
        <v>7.1138999999999994E-2</v>
      </c>
      <c r="O128" s="26">
        <v>9.1817999999999997E-2</v>
      </c>
      <c r="P128" s="26">
        <v>7.6479000000000005E-2</v>
      </c>
      <c r="Q128" s="27">
        <f t="shared" si="33"/>
        <v>1</v>
      </c>
      <c r="R128" s="27">
        <f t="shared" si="34"/>
        <v>3</v>
      </c>
      <c r="S128" s="27">
        <f t="shared" si="35"/>
        <v>2</v>
      </c>
    </row>
    <row r="129" spans="1:19" x14ac:dyDescent="0.3">
      <c r="A129" s="25" t="s">
        <v>285</v>
      </c>
      <c r="B129" s="26">
        <v>3.2822290000000001</v>
      </c>
      <c r="C129" s="26">
        <v>3.2374049999999999</v>
      </c>
      <c r="D129" s="26">
        <v>3.195614</v>
      </c>
      <c r="E129" s="27">
        <f t="shared" si="27"/>
        <v>3</v>
      </c>
      <c r="F129" s="27">
        <f t="shared" si="28"/>
        <v>2</v>
      </c>
      <c r="G129" s="27">
        <f t="shared" si="29"/>
        <v>1</v>
      </c>
      <c r="H129" s="26">
        <v>1.4893559999999999</v>
      </c>
      <c r="I129" s="26">
        <v>1.484246</v>
      </c>
      <c r="J129" s="26">
        <v>1.4882409999999999</v>
      </c>
      <c r="K129" s="27">
        <f t="shared" si="30"/>
        <v>3</v>
      </c>
      <c r="L129" s="27">
        <f t="shared" si="31"/>
        <v>1</v>
      </c>
      <c r="M129" s="27">
        <f t="shared" si="32"/>
        <v>2</v>
      </c>
      <c r="N129" s="26">
        <v>8.3858000000000002E-2</v>
      </c>
      <c r="O129" s="26">
        <v>9.2036000000000007E-2</v>
      </c>
      <c r="P129" s="26">
        <v>7.1969000000000005E-2</v>
      </c>
      <c r="Q129" s="27">
        <f t="shared" si="33"/>
        <v>2</v>
      </c>
      <c r="R129" s="27">
        <f t="shared" si="34"/>
        <v>3</v>
      </c>
      <c r="S129" s="27">
        <f t="shared" si="35"/>
        <v>1</v>
      </c>
    </row>
    <row r="130" spans="1:19" x14ac:dyDescent="0.3">
      <c r="A130" s="25" t="s">
        <v>286</v>
      </c>
      <c r="B130" s="26">
        <v>3.196148</v>
      </c>
      <c r="C130" s="26">
        <v>3.189727</v>
      </c>
      <c r="D130" s="26">
        <v>3.2718590000000001</v>
      </c>
      <c r="E130" s="27">
        <f t="shared" si="27"/>
        <v>2</v>
      </c>
      <c r="F130" s="27">
        <f t="shared" si="28"/>
        <v>1</v>
      </c>
      <c r="G130" s="27">
        <f t="shared" si="29"/>
        <v>3</v>
      </c>
      <c r="H130" s="26">
        <v>1.488516</v>
      </c>
      <c r="I130" s="26">
        <v>1.4871989999999999</v>
      </c>
      <c r="J130" s="26">
        <v>1.4891529999999999</v>
      </c>
      <c r="K130" s="27">
        <f t="shared" si="30"/>
        <v>2</v>
      </c>
      <c r="L130" s="27">
        <f t="shared" si="31"/>
        <v>1</v>
      </c>
      <c r="M130" s="27">
        <f t="shared" si="32"/>
        <v>3</v>
      </c>
      <c r="N130" s="26">
        <v>6.7879999999999996E-2</v>
      </c>
      <c r="O130" s="26">
        <v>5.5441999999999998E-2</v>
      </c>
      <c r="P130" s="26">
        <v>7.8543000000000002E-2</v>
      </c>
      <c r="Q130" s="27">
        <f t="shared" si="33"/>
        <v>2</v>
      </c>
      <c r="R130" s="27">
        <f t="shared" si="34"/>
        <v>1</v>
      </c>
      <c r="S130" s="27">
        <f t="shared" si="35"/>
        <v>3</v>
      </c>
    </row>
    <row r="131" spans="1:19" x14ac:dyDescent="0.3">
      <c r="A131" s="25" t="s">
        <v>287</v>
      </c>
      <c r="B131" s="26">
        <v>3.260602</v>
      </c>
      <c r="C131" s="26">
        <v>4.7490550000000002</v>
      </c>
      <c r="D131" s="26">
        <v>3.019571</v>
      </c>
      <c r="E131" s="27">
        <f t="shared" si="27"/>
        <v>2</v>
      </c>
      <c r="F131" s="27">
        <f t="shared" si="28"/>
        <v>3</v>
      </c>
      <c r="G131" s="27">
        <f t="shared" si="29"/>
        <v>1</v>
      </c>
      <c r="H131" s="26">
        <v>1.4883090000000001</v>
      </c>
      <c r="I131" s="26">
        <v>5.5551250000000003</v>
      </c>
      <c r="J131" s="26">
        <v>1.3288629999999999</v>
      </c>
      <c r="K131" s="27">
        <f t="shared" si="30"/>
        <v>2</v>
      </c>
      <c r="L131" s="27">
        <f t="shared" si="31"/>
        <v>3</v>
      </c>
      <c r="M131" s="27">
        <f t="shared" si="32"/>
        <v>1</v>
      </c>
      <c r="N131" s="26">
        <v>6.2141000000000002E-2</v>
      </c>
      <c r="O131" s="26">
        <v>0.10868999999999999</v>
      </c>
      <c r="P131" s="26">
        <v>7.9561000000000007E-2</v>
      </c>
      <c r="Q131" s="27">
        <f t="shared" si="33"/>
        <v>1</v>
      </c>
      <c r="R131" s="27">
        <f t="shared" si="34"/>
        <v>3</v>
      </c>
      <c r="S131" s="27">
        <f t="shared" si="35"/>
        <v>2</v>
      </c>
    </row>
    <row r="132" spans="1:19" x14ac:dyDescent="0.3">
      <c r="A132" s="25" t="s">
        <v>288</v>
      </c>
      <c r="B132" s="26">
        <v>4.7348359999999996</v>
      </c>
      <c r="C132" s="26">
        <v>4.7789489999999999</v>
      </c>
      <c r="D132" s="26">
        <v>4.31271</v>
      </c>
      <c r="E132" s="27">
        <f t="shared" si="27"/>
        <v>2</v>
      </c>
      <c r="F132" s="27">
        <f t="shared" si="28"/>
        <v>3</v>
      </c>
      <c r="G132" s="27">
        <f t="shared" si="29"/>
        <v>1</v>
      </c>
      <c r="H132" s="26">
        <v>5.5643779999999996</v>
      </c>
      <c r="I132" s="26">
        <v>5.5559969999999996</v>
      </c>
      <c r="J132" s="26">
        <v>3.003552</v>
      </c>
      <c r="K132" s="27">
        <f t="shared" si="30"/>
        <v>3</v>
      </c>
      <c r="L132" s="27">
        <f t="shared" si="31"/>
        <v>2</v>
      </c>
      <c r="M132" s="27">
        <f t="shared" si="32"/>
        <v>1</v>
      </c>
      <c r="N132" s="26">
        <v>9.7425999999999999E-2</v>
      </c>
      <c r="O132" s="26">
        <v>8.4308999999999995E-2</v>
      </c>
      <c r="P132" s="26">
        <v>0.113443</v>
      </c>
      <c r="Q132" s="27">
        <f t="shared" si="33"/>
        <v>2</v>
      </c>
      <c r="R132" s="27">
        <f t="shared" si="34"/>
        <v>1</v>
      </c>
      <c r="S132" s="27">
        <f t="shared" si="35"/>
        <v>3</v>
      </c>
    </row>
    <row r="133" spans="1:19" x14ac:dyDescent="0.3">
      <c r="A133" s="25" t="s">
        <v>289</v>
      </c>
      <c r="B133" s="26">
        <v>3.218499</v>
      </c>
      <c r="C133" s="26">
        <v>3.0434709999999998</v>
      </c>
      <c r="D133" s="26">
        <v>3.195614</v>
      </c>
      <c r="E133" s="27">
        <f t="shared" si="27"/>
        <v>3</v>
      </c>
      <c r="F133" s="27">
        <f t="shared" si="28"/>
        <v>1</v>
      </c>
      <c r="G133" s="27">
        <f t="shared" si="29"/>
        <v>2</v>
      </c>
      <c r="H133" s="26">
        <v>1.4851369999999999</v>
      </c>
      <c r="I133" s="26">
        <v>1.3289139999999999</v>
      </c>
      <c r="J133" s="26">
        <v>1.4882409999999999</v>
      </c>
      <c r="K133" s="27">
        <f t="shared" si="30"/>
        <v>2</v>
      </c>
      <c r="L133" s="27">
        <f t="shared" si="31"/>
        <v>1</v>
      </c>
      <c r="M133" s="27">
        <f t="shared" si="32"/>
        <v>3</v>
      </c>
      <c r="N133" s="26">
        <v>8.4750000000000006E-2</v>
      </c>
      <c r="O133" s="26">
        <v>6.9193000000000005E-2</v>
      </c>
      <c r="P133" s="26">
        <v>7.1969000000000005E-2</v>
      </c>
      <c r="Q133" s="27">
        <f t="shared" si="33"/>
        <v>3</v>
      </c>
      <c r="R133" s="27">
        <f t="shared" si="34"/>
        <v>1</v>
      </c>
      <c r="S133" s="27">
        <f t="shared" si="35"/>
        <v>2</v>
      </c>
    </row>
    <row r="134" spans="1:19" x14ac:dyDescent="0.3">
      <c r="A134" s="25" t="s">
        <v>290</v>
      </c>
      <c r="B134" s="26">
        <v>3.5271520000000001</v>
      </c>
      <c r="C134" s="26">
        <v>4.4016510000000002</v>
      </c>
      <c r="D134" s="26">
        <v>3.5814849999999998</v>
      </c>
      <c r="E134" s="27">
        <f t="shared" si="27"/>
        <v>1</v>
      </c>
      <c r="F134" s="27">
        <f t="shared" si="28"/>
        <v>3</v>
      </c>
      <c r="G134" s="27">
        <f t="shared" si="29"/>
        <v>2</v>
      </c>
      <c r="H134" s="26">
        <v>2.6006100000000001</v>
      </c>
      <c r="I134" s="26">
        <v>2.6376689999999998</v>
      </c>
      <c r="J134" s="26">
        <v>2.5996579999999998</v>
      </c>
      <c r="K134" s="27">
        <f t="shared" si="30"/>
        <v>2</v>
      </c>
      <c r="L134" s="27">
        <f t="shared" si="31"/>
        <v>3</v>
      </c>
      <c r="M134" s="27">
        <f t="shared" si="32"/>
        <v>1</v>
      </c>
      <c r="N134" s="26">
        <v>8.4749000000000005E-2</v>
      </c>
      <c r="O134" s="26">
        <v>8.6239999999999997E-2</v>
      </c>
      <c r="P134" s="26">
        <v>8.3122000000000001E-2</v>
      </c>
      <c r="Q134" s="27">
        <f t="shared" si="33"/>
        <v>2</v>
      </c>
      <c r="R134" s="27">
        <f t="shared" si="34"/>
        <v>3</v>
      </c>
      <c r="S134" s="27">
        <f t="shared" si="35"/>
        <v>1</v>
      </c>
    </row>
    <row r="135" spans="1:19" x14ac:dyDescent="0.3">
      <c r="A135" s="25" t="s">
        <v>291</v>
      </c>
      <c r="B135" s="26">
        <v>4.0965660000000002</v>
      </c>
      <c r="C135" s="26">
        <v>3.5251000000000001</v>
      </c>
      <c r="D135" s="26">
        <v>3.5290339999999998</v>
      </c>
      <c r="E135" s="27">
        <f t="shared" ref="E135:E148" si="36">RANK(B135,$B135:$D135,1)</f>
        <v>3</v>
      </c>
      <c r="F135" s="27">
        <f t="shared" ref="F135:F148" si="37">RANK(C135,$B135:$D135,1)</f>
        <v>1</v>
      </c>
      <c r="G135" s="27">
        <f t="shared" ref="G135:G148" si="38">RANK(D135,$B135:$D135,1)</f>
        <v>2</v>
      </c>
      <c r="H135" s="26">
        <v>2.4637410000000002</v>
      </c>
      <c r="I135" s="26">
        <v>2.6001660000000002</v>
      </c>
      <c r="J135" s="26">
        <v>2.6005219999999998</v>
      </c>
      <c r="K135" s="27">
        <f t="shared" ref="K135:K148" si="39">RANK(H135,$H135:$J135,1)</f>
        <v>1</v>
      </c>
      <c r="L135" s="27">
        <f t="shared" ref="L135:L148" si="40">RANK(I135,$H135:$J135,1)</f>
        <v>2</v>
      </c>
      <c r="M135" s="27">
        <f t="shared" ref="M135:M148" si="41">RANK(J135,$H135:$J135,1)</f>
        <v>3</v>
      </c>
      <c r="N135" s="26">
        <v>9.8915000000000003E-2</v>
      </c>
      <c r="O135" s="26">
        <v>7.1287000000000003E-2</v>
      </c>
      <c r="P135" s="26">
        <v>7.8658000000000006E-2</v>
      </c>
      <c r="Q135" s="27">
        <f t="shared" ref="Q135:Q148" si="42">RANK(N135,$N135:$P135,1)</f>
        <v>3</v>
      </c>
      <c r="R135" s="27">
        <f t="shared" ref="R135:R148" si="43">RANK(O135,$N135:$P135,1)</f>
        <v>1</v>
      </c>
      <c r="S135" s="27">
        <f t="shared" ref="S135:S148" si="44">RANK(P135,$N135:$P135,1)</f>
        <v>2</v>
      </c>
    </row>
    <row r="136" spans="1:19" x14ac:dyDescent="0.3">
      <c r="A136" s="25" t="s">
        <v>292</v>
      </c>
      <c r="B136" s="26">
        <v>4.9422930000000003</v>
      </c>
      <c r="C136" s="26">
        <v>6.0291449999999998</v>
      </c>
      <c r="D136" s="26">
        <v>4.7407450000000004</v>
      </c>
      <c r="E136" s="27">
        <f t="shared" si="36"/>
        <v>2</v>
      </c>
      <c r="F136" s="27">
        <f t="shared" si="37"/>
        <v>3</v>
      </c>
      <c r="G136" s="27">
        <f t="shared" si="38"/>
        <v>1</v>
      </c>
      <c r="H136" s="26">
        <v>3.5575230000000002</v>
      </c>
      <c r="I136" s="26">
        <v>7.7588270000000001</v>
      </c>
      <c r="J136" s="26">
        <v>5.5638170000000002</v>
      </c>
      <c r="K136" s="27">
        <f t="shared" si="39"/>
        <v>1</v>
      </c>
      <c r="L136" s="27">
        <f t="shared" si="40"/>
        <v>3</v>
      </c>
      <c r="M136" s="27">
        <f t="shared" si="41"/>
        <v>2</v>
      </c>
      <c r="N136" s="26">
        <v>9.2563999999999994E-2</v>
      </c>
      <c r="O136" s="26">
        <v>9.5992999999999995E-2</v>
      </c>
      <c r="P136" s="26">
        <v>0.104474</v>
      </c>
      <c r="Q136" s="27">
        <f t="shared" si="42"/>
        <v>1</v>
      </c>
      <c r="R136" s="27">
        <f t="shared" si="43"/>
        <v>2</v>
      </c>
      <c r="S136" s="27">
        <f t="shared" si="44"/>
        <v>3</v>
      </c>
    </row>
    <row r="137" spans="1:19" x14ac:dyDescent="0.3">
      <c r="A137" s="25" t="s">
        <v>293</v>
      </c>
      <c r="B137" s="26">
        <v>4.4722280000000003</v>
      </c>
      <c r="C137" s="26">
        <v>3.8128099999999998</v>
      </c>
      <c r="D137" s="26">
        <v>4.3248540000000002</v>
      </c>
      <c r="E137" s="27">
        <f t="shared" si="36"/>
        <v>3</v>
      </c>
      <c r="F137" s="27">
        <f t="shared" si="37"/>
        <v>1</v>
      </c>
      <c r="G137" s="27">
        <f t="shared" si="38"/>
        <v>2</v>
      </c>
      <c r="H137" s="26">
        <v>2.6367370000000001</v>
      </c>
      <c r="I137" s="26">
        <v>2.8558180000000002</v>
      </c>
      <c r="J137" s="26">
        <v>3.2055370000000001</v>
      </c>
      <c r="K137" s="27">
        <f t="shared" si="39"/>
        <v>1</v>
      </c>
      <c r="L137" s="27">
        <f t="shared" si="40"/>
        <v>2</v>
      </c>
      <c r="M137" s="27">
        <f t="shared" si="41"/>
        <v>3</v>
      </c>
      <c r="N137" s="26">
        <v>0.108043</v>
      </c>
      <c r="O137" s="26">
        <v>7.4256000000000003E-2</v>
      </c>
      <c r="P137" s="26">
        <v>0.125499</v>
      </c>
      <c r="Q137" s="27">
        <f t="shared" si="42"/>
        <v>2</v>
      </c>
      <c r="R137" s="27">
        <f t="shared" si="43"/>
        <v>1</v>
      </c>
      <c r="S137" s="27">
        <f t="shared" si="44"/>
        <v>3</v>
      </c>
    </row>
    <row r="138" spans="1:19" x14ac:dyDescent="0.3">
      <c r="A138" s="25" t="s">
        <v>294</v>
      </c>
      <c r="B138" s="26">
        <v>4.0659460000000003</v>
      </c>
      <c r="C138" s="26">
        <v>4.0697679999999998</v>
      </c>
      <c r="D138" s="26">
        <v>4.3248540000000002</v>
      </c>
      <c r="E138" s="27">
        <f t="shared" si="36"/>
        <v>1</v>
      </c>
      <c r="F138" s="27">
        <f t="shared" si="37"/>
        <v>2</v>
      </c>
      <c r="G138" s="27">
        <f t="shared" si="38"/>
        <v>3</v>
      </c>
      <c r="H138" s="26">
        <v>3.5206110000000002</v>
      </c>
      <c r="I138" s="26">
        <v>3.5221089999999999</v>
      </c>
      <c r="J138" s="26">
        <v>3.2055370000000001</v>
      </c>
      <c r="K138" s="27">
        <f t="shared" si="39"/>
        <v>2</v>
      </c>
      <c r="L138" s="27">
        <f t="shared" si="40"/>
        <v>3</v>
      </c>
      <c r="M138" s="27">
        <f t="shared" si="41"/>
        <v>1</v>
      </c>
      <c r="N138" s="26">
        <v>7.3832999999999996E-2</v>
      </c>
      <c r="O138" s="26">
        <v>7.7922000000000005E-2</v>
      </c>
      <c r="P138" s="26">
        <v>0.125499</v>
      </c>
      <c r="Q138" s="27">
        <f t="shared" si="42"/>
        <v>1</v>
      </c>
      <c r="R138" s="27">
        <f t="shared" si="43"/>
        <v>2</v>
      </c>
      <c r="S138" s="27">
        <f t="shared" si="44"/>
        <v>3</v>
      </c>
    </row>
    <row r="139" spans="1:19" x14ac:dyDescent="0.3">
      <c r="A139" s="25" t="s">
        <v>295</v>
      </c>
      <c r="B139" s="26">
        <v>3.8100999999999998</v>
      </c>
      <c r="C139" s="26">
        <v>3.8128099999999998</v>
      </c>
      <c r="D139" s="26">
        <v>4.6463390000000002</v>
      </c>
      <c r="E139" s="27">
        <f t="shared" si="36"/>
        <v>1</v>
      </c>
      <c r="F139" s="27">
        <f t="shared" si="37"/>
        <v>2</v>
      </c>
      <c r="G139" s="27">
        <f t="shared" si="38"/>
        <v>3</v>
      </c>
      <c r="H139" s="26">
        <v>2.2543899999999999</v>
      </c>
      <c r="I139" s="26">
        <v>2.2558180000000001</v>
      </c>
      <c r="J139" s="26">
        <v>2.8390420000000001</v>
      </c>
      <c r="K139" s="27">
        <f t="shared" si="39"/>
        <v>1</v>
      </c>
      <c r="L139" s="27">
        <f t="shared" si="40"/>
        <v>2</v>
      </c>
      <c r="M139" s="27">
        <f t="shared" si="41"/>
        <v>3</v>
      </c>
      <c r="N139" s="26">
        <v>0.12565499999999999</v>
      </c>
      <c r="O139" s="26">
        <v>7.4256000000000003E-2</v>
      </c>
      <c r="P139" s="26">
        <v>0.108098</v>
      </c>
      <c r="Q139" s="27">
        <f t="shared" si="42"/>
        <v>3</v>
      </c>
      <c r="R139" s="27">
        <f t="shared" si="43"/>
        <v>1</v>
      </c>
      <c r="S139" s="27">
        <f t="shared" si="44"/>
        <v>2</v>
      </c>
    </row>
    <row r="140" spans="1:19" x14ac:dyDescent="0.3">
      <c r="A140" s="25" t="s">
        <v>296</v>
      </c>
      <c r="B140" s="26">
        <v>3.8226040000000001</v>
      </c>
      <c r="C140" s="26">
        <v>3.7874660000000002</v>
      </c>
      <c r="D140" s="26">
        <v>3.8306179999999999</v>
      </c>
      <c r="E140" s="27">
        <f t="shared" si="36"/>
        <v>2</v>
      </c>
      <c r="F140" s="27">
        <f t="shared" si="37"/>
        <v>1</v>
      </c>
      <c r="G140" s="27">
        <f t="shared" si="38"/>
        <v>3</v>
      </c>
      <c r="H140" s="26">
        <v>2.25386</v>
      </c>
      <c r="I140" s="26">
        <v>2.254267</v>
      </c>
      <c r="J140" s="26">
        <v>2.2539310000000001</v>
      </c>
      <c r="K140" s="27">
        <f t="shared" si="39"/>
        <v>1</v>
      </c>
      <c r="L140" s="27">
        <f t="shared" si="40"/>
        <v>3</v>
      </c>
      <c r="M140" s="27">
        <f t="shared" si="41"/>
        <v>2</v>
      </c>
      <c r="N140" s="26">
        <v>8.2686999999999997E-2</v>
      </c>
      <c r="O140" s="26">
        <v>8.838E-2</v>
      </c>
      <c r="P140" s="26">
        <v>8.3432999999999993E-2</v>
      </c>
      <c r="Q140" s="27">
        <f t="shared" si="42"/>
        <v>1</v>
      </c>
      <c r="R140" s="27">
        <f t="shared" si="43"/>
        <v>3</v>
      </c>
      <c r="S140" s="27">
        <f t="shared" si="44"/>
        <v>2</v>
      </c>
    </row>
    <row r="141" spans="1:19" x14ac:dyDescent="0.3">
      <c r="A141" s="25" t="s">
        <v>297</v>
      </c>
      <c r="B141" s="26">
        <v>3.7743440000000001</v>
      </c>
      <c r="C141" s="26">
        <v>3.8381699999999999</v>
      </c>
      <c r="D141" s="26">
        <v>3.7588949999999999</v>
      </c>
      <c r="E141" s="27">
        <f t="shared" si="36"/>
        <v>2</v>
      </c>
      <c r="F141" s="27">
        <f t="shared" si="37"/>
        <v>3</v>
      </c>
      <c r="G141" s="27">
        <f t="shared" si="38"/>
        <v>1</v>
      </c>
      <c r="H141" s="26">
        <v>1.753949</v>
      </c>
      <c r="I141" s="26">
        <v>2.2557040000000002</v>
      </c>
      <c r="J141" s="26">
        <v>2.2549009999999998</v>
      </c>
      <c r="K141" s="27">
        <f t="shared" si="39"/>
        <v>1</v>
      </c>
      <c r="L141" s="27">
        <f t="shared" si="40"/>
        <v>3</v>
      </c>
      <c r="M141" s="27">
        <f t="shared" si="41"/>
        <v>2</v>
      </c>
      <c r="N141" s="26">
        <v>7.5858999999999996E-2</v>
      </c>
      <c r="O141" s="26">
        <v>9.0151999999999996E-2</v>
      </c>
      <c r="P141" s="26">
        <v>7.7854000000000007E-2</v>
      </c>
      <c r="Q141" s="27">
        <f t="shared" si="42"/>
        <v>1</v>
      </c>
      <c r="R141" s="27">
        <f t="shared" si="43"/>
        <v>3</v>
      </c>
      <c r="S141" s="27">
        <f t="shared" si="44"/>
        <v>2</v>
      </c>
    </row>
    <row r="142" spans="1:19" x14ac:dyDescent="0.3">
      <c r="A142" s="25" t="s">
        <v>298</v>
      </c>
      <c r="B142" s="26">
        <v>3.784278</v>
      </c>
      <c r="C142" s="26">
        <v>3.7784900000000001</v>
      </c>
      <c r="D142" s="26">
        <v>3.0757780000000001</v>
      </c>
      <c r="E142" s="27">
        <f t="shared" si="36"/>
        <v>3</v>
      </c>
      <c r="F142" s="27">
        <f t="shared" si="37"/>
        <v>2</v>
      </c>
      <c r="G142" s="27">
        <f t="shared" si="38"/>
        <v>1</v>
      </c>
      <c r="H142" s="26">
        <v>2.254788</v>
      </c>
      <c r="I142" s="26">
        <v>2.2540819999999999</v>
      </c>
      <c r="J142" s="26">
        <v>2.2110820000000002</v>
      </c>
      <c r="K142" s="27">
        <f t="shared" si="39"/>
        <v>3</v>
      </c>
      <c r="L142" s="27">
        <f t="shared" si="40"/>
        <v>2</v>
      </c>
      <c r="M142" s="27">
        <f t="shared" si="41"/>
        <v>1</v>
      </c>
      <c r="N142" s="26">
        <v>8.5417999999999994E-2</v>
      </c>
      <c r="O142" s="26">
        <v>7.7323000000000003E-2</v>
      </c>
      <c r="P142" s="26">
        <v>0.11122700000000001</v>
      </c>
      <c r="Q142" s="27">
        <f t="shared" si="42"/>
        <v>2</v>
      </c>
      <c r="R142" s="27">
        <f t="shared" si="43"/>
        <v>1</v>
      </c>
      <c r="S142" s="27">
        <f t="shared" si="44"/>
        <v>3</v>
      </c>
    </row>
    <row r="143" spans="1:19" x14ac:dyDescent="0.3">
      <c r="A143" s="25" t="s">
        <v>299</v>
      </c>
      <c r="B143" s="26">
        <v>3.8396910000000002</v>
      </c>
      <c r="C143" s="26">
        <v>3.7738550000000002</v>
      </c>
      <c r="D143" s="26">
        <v>3.8128099999999998</v>
      </c>
      <c r="E143" s="27">
        <f t="shared" si="36"/>
        <v>3</v>
      </c>
      <c r="F143" s="27">
        <f t="shared" si="37"/>
        <v>1</v>
      </c>
      <c r="G143" s="27">
        <f t="shared" si="38"/>
        <v>2</v>
      </c>
      <c r="H143" s="26">
        <v>1.755374</v>
      </c>
      <c r="I143" s="26">
        <v>2.255484</v>
      </c>
      <c r="J143" s="26">
        <v>2.2558180000000001</v>
      </c>
      <c r="K143" s="27">
        <f t="shared" si="39"/>
        <v>1</v>
      </c>
      <c r="L143" s="27">
        <f t="shared" si="40"/>
        <v>2</v>
      </c>
      <c r="M143" s="27">
        <f t="shared" si="41"/>
        <v>3</v>
      </c>
      <c r="N143" s="26">
        <v>7.9170000000000004E-2</v>
      </c>
      <c r="O143" s="26">
        <v>7.3071999999999998E-2</v>
      </c>
      <c r="P143" s="26">
        <v>7.4256000000000003E-2</v>
      </c>
      <c r="Q143" s="27">
        <f t="shared" si="42"/>
        <v>3</v>
      </c>
      <c r="R143" s="27">
        <f t="shared" si="43"/>
        <v>1</v>
      </c>
      <c r="S143" s="27">
        <f t="shared" si="44"/>
        <v>2</v>
      </c>
    </row>
    <row r="144" spans="1:19" x14ac:dyDescent="0.3">
      <c r="A144" s="25" t="s">
        <v>300</v>
      </c>
      <c r="B144" s="26">
        <v>3.5791680000000001</v>
      </c>
      <c r="C144" s="26">
        <v>2.9449160000000001</v>
      </c>
      <c r="D144" s="26">
        <v>3.6146470000000002</v>
      </c>
      <c r="E144" s="27">
        <f t="shared" si="36"/>
        <v>2</v>
      </c>
      <c r="F144" s="27">
        <f t="shared" si="37"/>
        <v>1</v>
      </c>
      <c r="G144" s="27">
        <f t="shared" si="38"/>
        <v>3</v>
      </c>
      <c r="H144" s="26">
        <v>1.418002</v>
      </c>
      <c r="I144" s="26">
        <v>1.3223510000000001</v>
      </c>
      <c r="J144" s="26">
        <v>2.0218590000000001</v>
      </c>
      <c r="K144" s="27">
        <f t="shared" si="39"/>
        <v>2</v>
      </c>
      <c r="L144" s="27">
        <f t="shared" si="40"/>
        <v>1</v>
      </c>
      <c r="M144" s="27">
        <f t="shared" si="41"/>
        <v>3</v>
      </c>
      <c r="N144" s="26">
        <v>0.123364</v>
      </c>
      <c r="O144" s="26">
        <v>9.9387000000000003E-2</v>
      </c>
      <c r="P144" s="26">
        <v>6.4723000000000003E-2</v>
      </c>
      <c r="Q144" s="27">
        <f t="shared" si="42"/>
        <v>3</v>
      </c>
      <c r="R144" s="27">
        <f t="shared" si="43"/>
        <v>2</v>
      </c>
      <c r="S144" s="27">
        <f t="shared" si="44"/>
        <v>1</v>
      </c>
    </row>
    <row r="145" spans="1:19" x14ac:dyDescent="0.3">
      <c r="A145" s="25" t="s">
        <v>301</v>
      </c>
      <c r="B145" s="26">
        <v>3.3239999999999998</v>
      </c>
      <c r="C145" s="26">
        <v>3.3247420000000001</v>
      </c>
      <c r="D145" s="26">
        <v>3.5112640000000002</v>
      </c>
      <c r="E145" s="27">
        <f t="shared" si="36"/>
        <v>1</v>
      </c>
      <c r="F145" s="27">
        <f t="shared" si="37"/>
        <v>2</v>
      </c>
      <c r="G145" s="27">
        <f t="shared" si="38"/>
        <v>3</v>
      </c>
      <c r="H145" s="26">
        <v>0.76910000000000001</v>
      </c>
      <c r="I145" s="26">
        <v>0.91285700000000003</v>
      </c>
      <c r="J145" s="26">
        <v>1.3149040000000001</v>
      </c>
      <c r="K145" s="27">
        <f t="shared" si="39"/>
        <v>1</v>
      </c>
      <c r="L145" s="27">
        <f t="shared" si="40"/>
        <v>2</v>
      </c>
      <c r="M145" s="27">
        <f t="shared" si="41"/>
        <v>3</v>
      </c>
      <c r="N145" s="26">
        <v>6.7599999999999993E-2</v>
      </c>
      <c r="O145" s="26">
        <v>6.9813E-2</v>
      </c>
      <c r="P145" s="26">
        <v>5.9810000000000002E-2</v>
      </c>
      <c r="Q145" s="27">
        <f t="shared" si="42"/>
        <v>2</v>
      </c>
      <c r="R145" s="27">
        <f t="shared" si="43"/>
        <v>3</v>
      </c>
      <c r="S145" s="27">
        <f t="shared" si="44"/>
        <v>1</v>
      </c>
    </row>
    <row r="146" spans="1:19" x14ac:dyDescent="0.3">
      <c r="A146" s="25" t="s">
        <v>302</v>
      </c>
      <c r="B146" s="26">
        <v>3.5611570000000001</v>
      </c>
      <c r="C146" s="26">
        <v>3.5329220000000001</v>
      </c>
      <c r="D146" s="26">
        <v>3.515895</v>
      </c>
      <c r="E146" s="27">
        <f t="shared" si="36"/>
        <v>3</v>
      </c>
      <c r="F146" s="27">
        <f t="shared" si="37"/>
        <v>2</v>
      </c>
      <c r="G146" s="27">
        <f t="shared" si="38"/>
        <v>1</v>
      </c>
      <c r="H146" s="26">
        <v>1.418887</v>
      </c>
      <c r="I146" s="26">
        <v>1.416938</v>
      </c>
      <c r="J146" s="26">
        <v>1.4190339999999999</v>
      </c>
      <c r="K146" s="27">
        <f t="shared" si="39"/>
        <v>2</v>
      </c>
      <c r="L146" s="27">
        <f t="shared" si="40"/>
        <v>1</v>
      </c>
      <c r="M146" s="27">
        <f t="shared" si="41"/>
        <v>3</v>
      </c>
      <c r="N146" s="26">
        <v>0.110427</v>
      </c>
      <c r="O146" s="26">
        <v>8.0433000000000004E-2</v>
      </c>
      <c r="P146" s="26">
        <v>7.7095999999999998E-2</v>
      </c>
      <c r="Q146" s="27">
        <f t="shared" si="42"/>
        <v>3</v>
      </c>
      <c r="R146" s="27">
        <f t="shared" si="43"/>
        <v>2</v>
      </c>
      <c r="S146" s="27">
        <f t="shared" si="44"/>
        <v>1</v>
      </c>
    </row>
    <row r="147" spans="1:19" x14ac:dyDescent="0.3">
      <c r="A147" s="25" t="s">
        <v>303</v>
      </c>
      <c r="B147" s="26">
        <v>3.5283850000000001</v>
      </c>
      <c r="C147" s="26">
        <v>3.527047</v>
      </c>
      <c r="D147" s="26">
        <v>3.159332</v>
      </c>
      <c r="E147" s="27">
        <f t="shared" si="36"/>
        <v>3</v>
      </c>
      <c r="F147" s="27">
        <f t="shared" si="37"/>
        <v>2</v>
      </c>
      <c r="G147" s="27">
        <f t="shared" si="38"/>
        <v>1</v>
      </c>
      <c r="H147" s="26">
        <v>1.418558</v>
      </c>
      <c r="I147" s="26">
        <v>1.419168</v>
      </c>
      <c r="J147" s="26">
        <v>1.3890039999999999</v>
      </c>
      <c r="K147" s="27">
        <f t="shared" si="39"/>
        <v>2</v>
      </c>
      <c r="L147" s="27">
        <f t="shared" si="40"/>
        <v>3</v>
      </c>
      <c r="M147" s="27">
        <f t="shared" si="41"/>
        <v>1</v>
      </c>
      <c r="N147" s="26">
        <v>8.3032999999999996E-2</v>
      </c>
      <c r="O147" s="26">
        <v>7.7036999999999994E-2</v>
      </c>
      <c r="P147" s="26">
        <v>0.12146999999999999</v>
      </c>
      <c r="Q147" s="27">
        <f t="shared" si="42"/>
        <v>2</v>
      </c>
      <c r="R147" s="27">
        <f t="shared" si="43"/>
        <v>1</v>
      </c>
      <c r="S147" s="27">
        <f t="shared" si="44"/>
        <v>3</v>
      </c>
    </row>
    <row r="148" spans="1:19" x14ac:dyDescent="0.3">
      <c r="A148" s="25" t="s">
        <v>304</v>
      </c>
      <c r="B148" s="26">
        <v>3.466704</v>
      </c>
      <c r="C148" s="26">
        <v>3.5206900000000001</v>
      </c>
      <c r="D148" s="26">
        <v>3.8691599999999999</v>
      </c>
      <c r="E148" s="27">
        <f t="shared" si="36"/>
        <v>1</v>
      </c>
      <c r="F148" s="27">
        <f t="shared" si="37"/>
        <v>2</v>
      </c>
      <c r="G148" s="27">
        <f t="shared" si="38"/>
        <v>3</v>
      </c>
      <c r="H148" s="26">
        <v>1.1633100000000001</v>
      </c>
      <c r="I148" s="26">
        <v>1.417354</v>
      </c>
      <c r="J148" s="26">
        <v>1.675162</v>
      </c>
      <c r="K148" s="27">
        <f t="shared" si="39"/>
        <v>1</v>
      </c>
      <c r="L148" s="27">
        <f t="shared" si="40"/>
        <v>2</v>
      </c>
      <c r="M148" s="27">
        <f t="shared" si="41"/>
        <v>3</v>
      </c>
      <c r="N148" s="26">
        <v>5.5747999999999999E-2</v>
      </c>
      <c r="O148" s="26">
        <v>7.2485999999999995E-2</v>
      </c>
      <c r="P148" s="26">
        <v>0.122015</v>
      </c>
      <c r="Q148" s="27">
        <f t="shared" si="42"/>
        <v>1</v>
      </c>
      <c r="R148" s="27">
        <f t="shared" si="43"/>
        <v>2</v>
      </c>
      <c r="S148" s="27">
        <f t="shared" si="44"/>
        <v>3</v>
      </c>
    </row>
    <row r="150" spans="1:19" x14ac:dyDescent="0.3">
      <c r="A150" s="20" t="s">
        <v>207</v>
      </c>
      <c r="B150" s="20" t="s">
        <v>208</v>
      </c>
      <c r="C150" s="20" t="s">
        <v>209</v>
      </c>
      <c r="D150" s="20" t="s">
        <v>210</v>
      </c>
      <c r="E150" s="20" t="s">
        <v>211</v>
      </c>
      <c r="F150" s="20" t="s">
        <v>212</v>
      </c>
      <c r="G150" s="20" t="s">
        <v>213</v>
      </c>
      <c r="H150" s="20" t="s">
        <v>214</v>
      </c>
    </row>
    <row r="151" spans="1:19" x14ac:dyDescent="0.3">
      <c r="A151" s="21" t="s">
        <v>215</v>
      </c>
      <c r="B151" s="28">
        <v>78</v>
      </c>
      <c r="C151" s="28">
        <f>SUM(E71:E148)</f>
        <v>164</v>
      </c>
      <c r="D151" s="28">
        <f>SUM(F71:F148)</f>
        <v>144</v>
      </c>
      <c r="E151" s="28">
        <f>SUM(G71:G148)</f>
        <v>160</v>
      </c>
      <c r="F151" s="29">
        <f>12/(78*3*4)*(C151^2+D151^2+E151^2)-3*78*4</f>
        <v>2.8717948717948047</v>
      </c>
      <c r="G151" s="28">
        <v>2</v>
      </c>
      <c r="H151" s="30">
        <f>CHIDIST(F151,G151)</f>
        <v>0.23790176659862738</v>
      </c>
    </row>
    <row r="152" spans="1:19" x14ac:dyDescent="0.3">
      <c r="A152" s="21" t="s">
        <v>216</v>
      </c>
      <c r="B152" s="28">
        <v>78</v>
      </c>
      <c r="C152" s="28">
        <f>SUM(K71:K148)</f>
        <v>157</v>
      </c>
      <c r="D152" s="28">
        <f>SUM(L71:L148)</f>
        <v>141</v>
      </c>
      <c r="E152" s="28">
        <f>SUM(M71:M148)</f>
        <v>170</v>
      </c>
      <c r="F152" s="29">
        <f>12/(78*3*4)*(C152^2+D152^2+E152^2)-3*78*4</f>
        <v>5.410256410256352</v>
      </c>
      <c r="G152" s="28">
        <v>2</v>
      </c>
      <c r="H152" s="30">
        <f>CHIDIST(F152,G152)</f>
        <v>6.6861751277689271E-2</v>
      </c>
    </row>
    <row r="153" spans="1:19" x14ac:dyDescent="0.3">
      <c r="A153" s="21" t="s">
        <v>217</v>
      </c>
      <c r="B153" s="28">
        <v>78</v>
      </c>
      <c r="C153" s="28">
        <f>SUM(Q71:Q148)</f>
        <v>150</v>
      </c>
      <c r="D153" s="28">
        <f>SUM(R71:R148)</f>
        <v>163</v>
      </c>
      <c r="E153" s="28">
        <f>SUM(S71:S148)</f>
        <v>155</v>
      </c>
      <c r="F153" s="29">
        <f>12/(78*3*4)*(C153^2+D153^2+E153^2)-3*78*4</f>
        <v>1.102564102564088</v>
      </c>
      <c r="G153" s="28">
        <v>2</v>
      </c>
      <c r="H153" s="30">
        <f>CHIDIST(F153,G153)</f>
        <v>0.57621060508721023</v>
      </c>
    </row>
    <row r="155" spans="1:19" ht="25.5" customHeight="1" x14ac:dyDescent="0.3">
      <c r="A155" s="20" t="s">
        <v>218</v>
      </c>
      <c r="B155" s="20" t="s">
        <v>219</v>
      </c>
      <c r="C155" s="20" t="s">
        <v>220</v>
      </c>
      <c r="D155" s="20" t="s">
        <v>221</v>
      </c>
      <c r="E155" s="20" t="s">
        <v>222</v>
      </c>
      <c r="F155" s="20" t="s">
        <v>223</v>
      </c>
      <c r="G155" s="20" t="s">
        <v>213</v>
      </c>
      <c r="H155" s="20" t="s">
        <v>214</v>
      </c>
    </row>
    <row r="156" spans="1:19" x14ac:dyDescent="0.3">
      <c r="A156" s="21" t="s">
        <v>224</v>
      </c>
      <c r="B156" s="28">
        <v>85</v>
      </c>
      <c r="C156" s="28">
        <v>82</v>
      </c>
      <c r="D156" s="28">
        <v>79</v>
      </c>
      <c r="E156" s="28">
        <v>85</v>
      </c>
      <c r="F156" s="29">
        <f>2*(3*(B156^2+C156^2+D156^2)-246^2)/(3*246-724)</f>
        <v>7.7142857142857144</v>
      </c>
      <c r="G156" s="28">
        <v>2</v>
      </c>
      <c r="H156" s="30">
        <f>CHIDIST(F156,G156)</f>
        <v>2.1128279881183279E-2</v>
      </c>
    </row>
    <row r="159" spans="1:19" x14ac:dyDescent="0.3">
      <c r="A159" s="19" t="s">
        <v>305</v>
      </c>
    </row>
    <row r="160" spans="1:19" x14ac:dyDescent="0.3">
      <c r="A160" s="18" t="s">
        <v>306</v>
      </c>
    </row>
    <row r="162" spans="1:6" x14ac:dyDescent="0.3">
      <c r="A162" s="20" t="s">
        <v>61</v>
      </c>
      <c r="B162" s="20" t="s">
        <v>207</v>
      </c>
      <c r="C162" s="20" t="s">
        <v>307</v>
      </c>
      <c r="D162" s="20" t="s">
        <v>138</v>
      </c>
      <c r="E162" s="20" t="s">
        <v>308</v>
      </c>
      <c r="F162" s="20" t="s">
        <v>309</v>
      </c>
    </row>
    <row r="163" spans="1:6" x14ac:dyDescent="0.3">
      <c r="A163" s="31" t="s">
        <v>310</v>
      </c>
      <c r="B163" s="31" t="s">
        <v>311</v>
      </c>
      <c r="C163" s="31" t="s">
        <v>312</v>
      </c>
      <c r="D163" s="32">
        <v>1.1969999999999999E-3</v>
      </c>
      <c r="E163" s="32">
        <v>3.5920000000000001E-3</v>
      </c>
      <c r="F163" s="31" t="s">
        <v>313</v>
      </c>
    </row>
    <row r="164" spans="1:6" x14ac:dyDescent="0.3">
      <c r="A164" s="31"/>
      <c r="B164" s="31"/>
      <c r="C164" s="31" t="s">
        <v>314</v>
      </c>
      <c r="D164" s="32">
        <v>1.0630000000000001E-2</v>
      </c>
      <c r="E164" s="32">
        <v>2.1260000000000001E-2</v>
      </c>
      <c r="F164" s="31" t="s">
        <v>313</v>
      </c>
    </row>
    <row r="165" spans="1:6" x14ac:dyDescent="0.3">
      <c r="A165" s="31"/>
      <c r="B165" s="31"/>
      <c r="C165" s="31" t="s">
        <v>315</v>
      </c>
      <c r="D165" s="32">
        <v>0.44119999999999998</v>
      </c>
      <c r="E165" s="32">
        <v>0.44119999999999998</v>
      </c>
      <c r="F165" s="31" t="s">
        <v>316</v>
      </c>
    </row>
    <row r="166" spans="1:6" x14ac:dyDescent="0.3">
      <c r="A166" s="31"/>
      <c r="B166" s="31" t="s">
        <v>317</v>
      </c>
      <c r="C166" s="31" t="s">
        <v>312</v>
      </c>
      <c r="D166" s="32">
        <v>3.2539999999999999E-4</v>
      </c>
      <c r="E166" s="32">
        <v>6.5079999999999999E-4</v>
      </c>
      <c r="F166" s="31" t="s">
        <v>313</v>
      </c>
    </row>
    <row r="167" spans="1:6" x14ac:dyDescent="0.3">
      <c r="A167" s="31"/>
      <c r="B167" s="31"/>
      <c r="C167" s="31" t="s">
        <v>314</v>
      </c>
      <c r="D167" s="32">
        <v>2.7339999999999999E-5</v>
      </c>
      <c r="E167" s="32">
        <v>8.2020000000000004E-5</v>
      </c>
      <c r="F167" s="31" t="s">
        <v>313</v>
      </c>
    </row>
    <row r="168" spans="1:6" x14ac:dyDescent="0.3">
      <c r="A168" s="31"/>
      <c r="B168" s="31"/>
      <c r="C168" s="31" t="s">
        <v>315</v>
      </c>
      <c r="D168" s="32">
        <v>3.6819999999999999E-2</v>
      </c>
      <c r="E168" s="32">
        <v>3.6819999999999999E-2</v>
      </c>
      <c r="F168" s="31" t="s">
        <v>313</v>
      </c>
    </row>
    <row r="169" spans="1:6" x14ac:dyDescent="0.3">
      <c r="A169" s="31"/>
      <c r="B169" s="31" t="s">
        <v>318</v>
      </c>
      <c r="C169" s="31" t="s">
        <v>312</v>
      </c>
      <c r="D169" s="32">
        <v>2.8890000000000001E-3</v>
      </c>
      <c r="E169" s="32">
        <v>5.7790000000000003E-3</v>
      </c>
      <c r="F169" s="31" t="s">
        <v>313</v>
      </c>
    </row>
    <row r="170" spans="1:6" x14ac:dyDescent="0.3">
      <c r="A170" s="31"/>
      <c r="B170" s="31"/>
      <c r="C170" s="31" t="s">
        <v>314</v>
      </c>
      <c r="D170" s="32">
        <v>0.37919999999999998</v>
      </c>
      <c r="E170" s="32">
        <v>0.37919999999999998</v>
      </c>
      <c r="F170" s="31" t="s">
        <v>316</v>
      </c>
    </row>
    <row r="171" spans="1:6" x14ac:dyDescent="0.3">
      <c r="A171" s="31"/>
      <c r="B171" s="31"/>
      <c r="C171" s="31" t="s">
        <v>315</v>
      </c>
      <c r="D171" s="32">
        <v>2.5040000000000001E-4</v>
      </c>
      <c r="E171" s="32">
        <v>7.5129999999999999E-4</v>
      </c>
      <c r="F171" s="31" t="s">
        <v>313</v>
      </c>
    </row>
    <row r="172" spans="1:6" x14ac:dyDescent="0.3">
      <c r="A172" s="31" t="s">
        <v>319</v>
      </c>
      <c r="B172" s="31" t="s">
        <v>320</v>
      </c>
      <c r="C172" s="31" t="s">
        <v>321</v>
      </c>
      <c r="D172" s="31"/>
      <c r="E172" s="31"/>
      <c r="F172" s="31"/>
    </row>
    <row r="175" spans="1:6" x14ac:dyDescent="0.3">
      <c r="A175" s="19" t="s">
        <v>322</v>
      </c>
    </row>
    <row r="176" spans="1:6" x14ac:dyDescent="0.3">
      <c r="A176" s="18" t="s">
        <v>323</v>
      </c>
    </row>
    <row r="178" spans="1:4" x14ac:dyDescent="0.3">
      <c r="A178" s="20"/>
      <c r="B178" s="20" t="s">
        <v>324</v>
      </c>
      <c r="C178" s="20" t="s">
        <v>325</v>
      </c>
      <c r="D178" s="20" t="s">
        <v>4</v>
      </c>
    </row>
    <row r="179" spans="1:4" x14ac:dyDescent="0.3">
      <c r="A179" s="21" t="s">
        <v>326</v>
      </c>
      <c r="B179" s="28">
        <v>138</v>
      </c>
      <c r="C179" s="28">
        <v>5</v>
      </c>
      <c r="D179" s="28">
        <f>B179+C179</f>
        <v>143</v>
      </c>
    </row>
    <row r="180" spans="1:4" x14ac:dyDescent="0.3">
      <c r="A180" s="21" t="s">
        <v>327</v>
      </c>
      <c r="B180" s="28">
        <v>4</v>
      </c>
      <c r="C180" s="28">
        <v>0</v>
      </c>
      <c r="D180" s="28">
        <f>B180+C180</f>
        <v>4</v>
      </c>
    </row>
    <row r="181" spans="1:4" x14ac:dyDescent="0.3">
      <c r="A181" s="21" t="s">
        <v>4</v>
      </c>
      <c r="B181" s="28">
        <f>B179+B180</f>
        <v>142</v>
      </c>
      <c r="C181" s="28">
        <f>C179+C180</f>
        <v>5</v>
      </c>
      <c r="D181" s="28">
        <f>D179+D180</f>
        <v>147</v>
      </c>
    </row>
    <row r="183" spans="1:4" x14ac:dyDescent="0.3">
      <c r="A183" s="21" t="s">
        <v>328</v>
      </c>
      <c r="B183" s="28">
        <f>C179+B180</f>
        <v>9</v>
      </c>
    </row>
    <row r="184" spans="1:4" x14ac:dyDescent="0.3">
      <c r="A184" s="21" t="s">
        <v>329</v>
      </c>
      <c r="B184" s="28">
        <f>MIN(C179,B180)</f>
        <v>4</v>
      </c>
    </row>
    <row r="185" spans="1:4" x14ac:dyDescent="0.3">
      <c r="A185" s="21" t="s">
        <v>330</v>
      </c>
      <c r="B185" s="30">
        <f>MIN(1,2*BINOMDIST(B184,B183,0.5,TRUE()))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U340"/>
  <sheetViews>
    <sheetView showGridLines="0" tabSelected="1" topLeftCell="A104" zoomScale="47" zoomScaleNormal="100" workbookViewId="0">
      <selection activeCell="E96" sqref="E96"/>
    </sheetView>
  </sheetViews>
  <sheetFormatPr defaultColWidth="8.6640625" defaultRowHeight="14.4" x14ac:dyDescent="0.3"/>
  <cols>
    <col min="1" max="1" width="14" customWidth="1"/>
    <col min="2" max="8" width="15" customWidth="1"/>
  </cols>
  <sheetData>
    <row r="1" spans="1:7" ht="15" customHeight="1" x14ac:dyDescent="0.3">
      <c r="A1" s="1" t="s">
        <v>331</v>
      </c>
    </row>
    <row r="2" spans="1:7" ht="87.75" customHeight="1" x14ac:dyDescent="0.3">
      <c r="A2" s="33" t="s">
        <v>332</v>
      </c>
    </row>
    <row r="3" spans="1:7" ht="33.75" customHeight="1" x14ac:dyDescent="0.3">
      <c r="A3" s="33" t="s">
        <v>333</v>
      </c>
    </row>
    <row r="5" spans="1:7" x14ac:dyDescent="0.3">
      <c r="A5" s="20" t="s">
        <v>18</v>
      </c>
      <c r="B5" s="20" t="s">
        <v>62</v>
      </c>
      <c r="C5" s="20" t="s">
        <v>334</v>
      </c>
      <c r="D5" s="20" t="s">
        <v>133</v>
      </c>
      <c r="E5" s="20" t="s">
        <v>106</v>
      </c>
      <c r="F5" s="20" t="s">
        <v>107</v>
      </c>
      <c r="G5" s="20" t="s">
        <v>335</v>
      </c>
    </row>
    <row r="6" spans="1:7" x14ac:dyDescent="0.3">
      <c r="A6" s="42" t="s">
        <v>26</v>
      </c>
      <c r="B6" s="28">
        <v>18</v>
      </c>
      <c r="C6" s="28">
        <f t="shared" ref="C6:C14" si="0">ROUND(B6*(B6+1)/4-1.959964*SQRT(B6*(B6+1)*(2*B6+1)/24),0)+1</f>
        <v>41</v>
      </c>
      <c r="D6" s="29">
        <f>MEDIAN($B$17:$S$34)</f>
        <v>-2.1441214999999971</v>
      </c>
      <c r="E6" s="29">
        <f>SMALL($B$17:$S$34,C6)</f>
        <v>-4.8792474999999982</v>
      </c>
      <c r="F6" s="29">
        <f>LARGE($B$17:$S$34,C6)</f>
        <v>0.3010604999999984</v>
      </c>
      <c r="G6" s="34" t="str">
        <f t="shared" ref="G6:G14" si="1">IF(OR(AND(E6&lt;0,F6&lt;0),AND(E6&gt;0,F6&gt;0)),"sim","não")</f>
        <v>não</v>
      </c>
    </row>
    <row r="7" spans="1:7" x14ac:dyDescent="0.3">
      <c r="A7" s="42" t="s">
        <v>42</v>
      </c>
      <c r="B7" s="28">
        <v>20</v>
      </c>
      <c r="C7" s="28">
        <f t="shared" si="0"/>
        <v>54</v>
      </c>
      <c r="D7" s="29">
        <f>MEDIAN($B$38:$U$57)</f>
        <v>-2.5122327500000008</v>
      </c>
      <c r="E7" s="29">
        <f>SMALL($B$38:$U$57,C7)</f>
        <v>-3.2316044999999995</v>
      </c>
      <c r="F7" s="29">
        <f>LARGE($B$38:$U$57,C7)</f>
        <v>-2.0614165</v>
      </c>
      <c r="G7" s="34" t="str">
        <f t="shared" si="1"/>
        <v>sim</v>
      </c>
    </row>
    <row r="8" spans="1:7" x14ac:dyDescent="0.3">
      <c r="A8" s="42" t="s">
        <v>56</v>
      </c>
      <c r="B8" s="28">
        <v>17</v>
      </c>
      <c r="C8" s="28">
        <f t="shared" si="0"/>
        <v>36</v>
      </c>
      <c r="D8" s="29">
        <f>MEDIAN($B$61:$R$77)</f>
        <v>-1.0453839999999985</v>
      </c>
      <c r="E8" s="29">
        <f>SMALL($B$61:$R$77,C8)</f>
        <v>-3.0020074999999977</v>
      </c>
      <c r="F8" s="29">
        <f>LARGE($B$61:$R$77,C8)</f>
        <v>0.62424999999999997</v>
      </c>
      <c r="G8" s="34" t="str">
        <f t="shared" si="1"/>
        <v>não</v>
      </c>
    </row>
    <row r="9" spans="1:7" x14ac:dyDescent="0.3">
      <c r="A9" s="42" t="s">
        <v>78</v>
      </c>
      <c r="B9" s="28">
        <v>15</v>
      </c>
      <c r="C9" s="28">
        <f t="shared" si="0"/>
        <v>26</v>
      </c>
      <c r="D9" s="29">
        <f>MEDIAN($B$81:$P$95)</f>
        <v>-0.98015250000000087</v>
      </c>
      <c r="E9" s="29">
        <f>SMALL($B$81:$P$95,C9)</f>
        <v>-3.6329325000000026</v>
      </c>
      <c r="F9" s="29">
        <f>LARGE($B$81:$P$95,C9)</f>
        <v>1.1910749999999979</v>
      </c>
      <c r="G9" s="34" t="str">
        <f t="shared" si="1"/>
        <v>não</v>
      </c>
    </row>
    <row r="10" spans="1:7" x14ac:dyDescent="0.3">
      <c r="A10" s="42" t="s">
        <v>87</v>
      </c>
      <c r="B10" s="28">
        <v>20</v>
      </c>
      <c r="C10" s="28">
        <f t="shared" si="0"/>
        <v>54</v>
      </c>
      <c r="D10" s="29">
        <f>MEDIAN($B$99:$U$118)</f>
        <v>-3.3705912500000004</v>
      </c>
      <c r="E10" s="29">
        <f>SMALL($B$99:$U$118,C10)</f>
        <v>-4.6128404999999972</v>
      </c>
      <c r="F10" s="29">
        <f>LARGE($B$99:$U$118,C10)</f>
        <v>-2.2374290000000023</v>
      </c>
      <c r="G10" s="34" t="str">
        <f t="shared" si="1"/>
        <v>sim</v>
      </c>
    </row>
    <row r="11" spans="1:7" x14ac:dyDescent="0.3">
      <c r="A11" s="42" t="s">
        <v>88</v>
      </c>
      <c r="B11" s="28">
        <v>15</v>
      </c>
      <c r="C11" s="28">
        <f t="shared" si="0"/>
        <v>26</v>
      </c>
      <c r="D11" s="29">
        <f>MEDIAN($B$122:$P$136)</f>
        <v>-3.7304032499999984</v>
      </c>
      <c r="E11" s="29">
        <f>SMALL($B$122:$P$136,C11)</f>
        <v>-4.0369975000000018</v>
      </c>
      <c r="F11" s="29">
        <f>LARGE($B$122:$P$136,C11)</f>
        <v>-3.3281279999999995</v>
      </c>
      <c r="G11" s="34" t="str">
        <f t="shared" si="1"/>
        <v>sim</v>
      </c>
    </row>
    <row r="12" spans="1:7" x14ac:dyDescent="0.3">
      <c r="A12" s="42" t="s">
        <v>89</v>
      </c>
      <c r="B12" s="28">
        <v>16</v>
      </c>
      <c r="C12" s="28">
        <f t="shared" si="0"/>
        <v>31</v>
      </c>
      <c r="D12" s="29">
        <f>MEDIAN($B$140:$Q$155)</f>
        <v>-2.0547032499999993</v>
      </c>
      <c r="E12" s="29">
        <f>SMALL($B$140:$Q$155,C12)</f>
        <v>-2.1874899999999968</v>
      </c>
      <c r="F12" s="29">
        <f>LARGE($B$140:$Q$155,C12)</f>
        <v>1.1782199999999996</v>
      </c>
      <c r="G12" s="34" t="str">
        <f t="shared" si="1"/>
        <v>não</v>
      </c>
    </row>
    <row r="13" spans="1:7" x14ac:dyDescent="0.3">
      <c r="A13" s="42" t="s">
        <v>90</v>
      </c>
      <c r="B13" s="28">
        <v>17</v>
      </c>
      <c r="C13" s="28">
        <f t="shared" si="0"/>
        <v>36</v>
      </c>
      <c r="D13" s="29">
        <f>MEDIAN($B$159:$R$175)</f>
        <v>-3.7519925000000001</v>
      </c>
      <c r="E13" s="29">
        <f>SMALL($B$159:$R$175,C13)</f>
        <v>-5.8310054999999998</v>
      </c>
      <c r="F13" s="29">
        <f>LARGE($B$159:$R$175,C13)</f>
        <v>-1.7988725000000017</v>
      </c>
      <c r="G13" s="34" t="str">
        <f t="shared" si="1"/>
        <v>sim</v>
      </c>
    </row>
    <row r="14" spans="1:7" x14ac:dyDescent="0.3">
      <c r="A14" s="43" t="s">
        <v>139</v>
      </c>
      <c r="B14" s="28">
        <v>138</v>
      </c>
      <c r="C14" s="28">
        <f t="shared" si="0"/>
        <v>3874</v>
      </c>
      <c r="D14" s="29">
        <f>MEDIAN($B$179:$EI$316)</f>
        <v>-2.5084850000000003</v>
      </c>
      <c r="E14" s="29">
        <f>SMALL($B$179:$EI$316,C14)</f>
        <v>-3.0005990000000011</v>
      </c>
      <c r="F14" s="29">
        <f>LARGE($B$179:$EI$316,C14)</f>
        <v>-1.941315000000003</v>
      </c>
      <c r="G14" s="34" t="str">
        <f t="shared" si="1"/>
        <v>sim</v>
      </c>
    </row>
    <row r="15" spans="1:7" ht="84" customHeight="1" x14ac:dyDescent="0.3">
      <c r="A15" s="44" t="s">
        <v>336</v>
      </c>
    </row>
    <row r="16" spans="1:7" x14ac:dyDescent="0.3">
      <c r="A16" s="35" t="s">
        <v>337</v>
      </c>
    </row>
    <row r="17" spans="2:19" x14ac:dyDescent="0.3">
      <c r="B17" s="7">
        <f>IF(1&gt;=1,('Testes estatísticos'!$D$6+'Testes estatísticos'!$D$6)/2,"")</f>
        <v>-1.6478249999999974</v>
      </c>
      <c r="C17" s="7">
        <f>IF(2&gt;=1,('Testes estatísticos'!$D$6+'Testes estatísticos'!$D$7)/2,"")</f>
        <v>-3.7160319999999984</v>
      </c>
      <c r="D17" s="7">
        <f>IF(3&gt;=1,('Testes estatísticos'!$D$6+'Testes estatísticos'!$D$8)/2,"")</f>
        <v>0.74833250000000362</v>
      </c>
      <c r="E17" s="7">
        <f>IF(4&gt;=1,('Testes estatísticos'!$D$6+'Testes estatísticos'!$D$9)/2,"")</f>
        <v>-3.9049329999999998</v>
      </c>
      <c r="F17" s="7">
        <f>IF(5&gt;=1,('Testes estatísticos'!$D$6+'Testes estatísticos'!$D$10)/2,"")</f>
        <v>-1.5550704999999994</v>
      </c>
      <c r="G17" s="7">
        <f>IF(6&gt;=1,('Testes estatísticos'!$D$6+'Testes estatísticos'!$D$11)/2,"")</f>
        <v>1.5326315000000008</v>
      </c>
      <c r="H17" s="7">
        <f>IF(7&gt;=1,('Testes estatísticos'!$D$6+'Testes estatísticos'!$D$12)/2,"")</f>
        <v>-5.3245779999999954</v>
      </c>
      <c r="I17" s="7">
        <f>IF(8&gt;=1,('Testes estatísticos'!$D$6+'Testes estatísticos'!$D$13)/2,"")</f>
        <v>-1.4543520000000001</v>
      </c>
      <c r="J17" s="7">
        <f>IF(9&gt;=1,('Testes estatísticos'!$D$6+'Testes estatísticos'!$D$14)/2,"")</f>
        <v>-0.80129300000000114</v>
      </c>
      <c r="K17" s="7">
        <f>IF(10&gt;=1,('Testes estatísticos'!$D$6+'Testes estatísticos'!$D$15)/2,"")</f>
        <v>-1.1091079999999991</v>
      </c>
      <c r="L17" s="7">
        <f>IF(11&gt;=1,('Testes estatísticos'!$D$6+'Testes estatísticos'!$D$16)/2,"")</f>
        <v>-1.7027289999999979</v>
      </c>
      <c r="M17" s="7">
        <f>IF(12&gt;=1,('Testes estatísticos'!$D$6+'Testes estatísticos'!$D$17)/2,"")</f>
        <v>-4.9720019999999963</v>
      </c>
      <c r="N17" s="7">
        <f>IF(13&gt;=1,('Testes estatísticos'!$D$6+'Testes estatísticos'!$D$18)/2,"")</f>
        <v>0.88168399999999991</v>
      </c>
      <c r="O17" s="7">
        <f>IF(14&gt;=1,('Testes estatísticos'!$D$6+'Testes estatísticos'!$D$19)/2,"")</f>
        <v>-0.46060899999999805</v>
      </c>
      <c r="P17" s="7">
        <f>IF(15&gt;=1,('Testes estatísticos'!$D$6+'Testes estatísticos'!$D$20)/2,"")</f>
        <v>0.95909450000000263</v>
      </c>
      <c r="Q17" s="7">
        <f>IF(16&gt;=1,('Testes estatísticos'!$D$6+'Testes estatísticos'!$D$21)/2,"")</f>
        <v>-6.3407400000000003</v>
      </c>
      <c r="R17" s="7">
        <f>IF(17&gt;=1,('Testes estatísticos'!$D$6+'Testes estatísticos'!$D$22)/2,"")</f>
        <v>-2.8793959999999998</v>
      </c>
      <c r="S17" s="7">
        <f>IF(18&gt;=1,('Testes estatísticos'!$D$6+'Testes estatísticos'!$D$23)/2,"")</f>
        <v>-3.9535094999999991</v>
      </c>
    </row>
    <row r="18" spans="2:19" x14ac:dyDescent="0.3">
      <c r="B18" s="7" t="str">
        <f>IF(1&gt;=2,('Testes estatísticos'!$D$7+'Testes estatísticos'!$D$6)/2,"")</f>
        <v/>
      </c>
      <c r="C18" s="7">
        <f>IF(2&gt;=2,('Testes estatísticos'!$D$7+'Testes estatísticos'!$D$7)/2,"")</f>
        <v>-5.7842389999999995</v>
      </c>
      <c r="D18" s="7">
        <f>IF(3&gt;=2,('Testes estatísticos'!$D$7+'Testes estatísticos'!$D$8)/2,"")</f>
        <v>-1.3198744999999974</v>
      </c>
      <c r="E18" s="7">
        <f>IF(4&gt;=2,('Testes estatísticos'!$D$7+'Testes estatísticos'!$D$9)/2,"")</f>
        <v>-5.9731400000000008</v>
      </c>
      <c r="F18" s="7">
        <f>IF(5&gt;=2,('Testes estatísticos'!$D$7+'Testes estatísticos'!$D$10)/2,"")</f>
        <v>-3.6232775000000004</v>
      </c>
      <c r="G18" s="7">
        <f>IF(6&gt;=2,('Testes estatísticos'!$D$7+'Testes estatísticos'!$D$11)/2,"")</f>
        <v>-0.5355755000000002</v>
      </c>
      <c r="H18" s="7">
        <f>IF(7&gt;=2,('Testes estatísticos'!$D$7+'Testes estatísticos'!$D$12)/2,"")</f>
        <v>-7.3927849999999964</v>
      </c>
      <c r="I18" s="7">
        <f>IF(8&gt;=2,('Testes estatísticos'!$D$7+'Testes estatísticos'!$D$13)/2,"")</f>
        <v>-3.5225590000000011</v>
      </c>
      <c r="J18" s="7">
        <f>IF(9&gt;=2,('Testes estatísticos'!$D$7+'Testes estatísticos'!$D$14)/2,"")</f>
        <v>-2.8695000000000022</v>
      </c>
      <c r="K18" s="7">
        <f>IF(10&gt;=2,('Testes estatísticos'!$D$7+'Testes estatísticos'!$D$15)/2,"")</f>
        <v>-3.1773150000000001</v>
      </c>
      <c r="L18" s="7">
        <f>IF(11&gt;=2,('Testes estatísticos'!$D$7+'Testes estatísticos'!$D$16)/2,"")</f>
        <v>-3.770935999999999</v>
      </c>
      <c r="M18" s="7">
        <f>IF(12&gt;=2,('Testes estatísticos'!$D$7+'Testes estatísticos'!$D$17)/2,"")</f>
        <v>-7.0402089999999973</v>
      </c>
      <c r="N18" s="7">
        <f>IF(13&gt;=2,('Testes estatísticos'!$D$7+'Testes estatísticos'!$D$18)/2,"")</f>
        <v>-1.1865230000000011</v>
      </c>
      <c r="O18" s="7">
        <f>IF(14&gt;=2,('Testes estatísticos'!$D$7+'Testes estatísticos'!$D$19)/2,"")</f>
        <v>-2.5288159999999991</v>
      </c>
      <c r="P18" s="7">
        <f>IF(15&gt;=2,('Testes estatísticos'!$D$7+'Testes estatísticos'!$D$20)/2,"")</f>
        <v>-1.1091124999999984</v>
      </c>
      <c r="Q18" s="7">
        <f>IF(16&gt;=2,('Testes estatísticos'!$D$7+'Testes estatísticos'!$D$21)/2,"")</f>
        <v>-8.4089470000000013</v>
      </c>
      <c r="R18" s="7">
        <f>IF(17&gt;=2,('Testes estatísticos'!$D$7+'Testes estatísticos'!$D$22)/2,"")</f>
        <v>-4.9476030000000009</v>
      </c>
      <c r="S18" s="7">
        <f>IF(18&gt;=2,('Testes estatísticos'!$D$7+'Testes estatísticos'!$D$23)/2,"")</f>
        <v>-6.0217165000000001</v>
      </c>
    </row>
    <row r="19" spans="2:19" x14ac:dyDescent="0.3">
      <c r="B19" s="7" t="str">
        <f>IF(1&gt;=3,('Testes estatísticos'!$D$8+'Testes estatísticos'!$D$6)/2,"")</f>
        <v/>
      </c>
      <c r="C19" s="7" t="str">
        <f>IF(2&gt;=3,('Testes estatísticos'!$D$8+'Testes estatísticos'!$D$7)/2,"")</f>
        <v/>
      </c>
      <c r="D19" s="7">
        <f>IF(3&gt;=3,('Testes estatísticos'!$D$8+'Testes estatísticos'!$D$8)/2,"")</f>
        <v>3.1444900000000047</v>
      </c>
      <c r="E19" s="7">
        <f>IF(4&gt;=3,('Testes estatísticos'!$D$8+'Testes estatísticos'!$D$9)/2,"")</f>
        <v>-1.5087754999999987</v>
      </c>
      <c r="F19" s="7">
        <f>IF(5&gt;=3,('Testes estatísticos'!$D$8+'Testes estatísticos'!$D$10)/2,"")</f>
        <v>0.84108700000000169</v>
      </c>
      <c r="G19" s="7">
        <f>IF(6&gt;=3,('Testes estatísticos'!$D$8+'Testes estatísticos'!$D$11)/2,"")</f>
        <v>3.9287890000000019</v>
      </c>
      <c r="H19" s="7">
        <f>IF(7&gt;=3,('Testes estatísticos'!$D$8+'Testes estatísticos'!$D$12)/2,"")</f>
        <v>-2.9284204999999943</v>
      </c>
      <c r="I19" s="7">
        <f>IF(8&gt;=3,('Testes estatísticos'!$D$8+'Testes estatísticos'!$D$13)/2,"")</f>
        <v>0.94180550000000096</v>
      </c>
      <c r="J19" s="7">
        <f>IF(9&gt;=3,('Testes estatísticos'!$D$8+'Testes estatísticos'!$D$14)/2,"")</f>
        <v>1.5948644999999999</v>
      </c>
      <c r="K19" s="7">
        <f>IF(10&gt;=3,('Testes estatísticos'!$D$8+'Testes estatísticos'!$D$15)/2,"")</f>
        <v>1.287049500000002</v>
      </c>
      <c r="L19" s="7">
        <f>IF(11&gt;=3,('Testes estatísticos'!$D$8+'Testes estatísticos'!$D$16)/2,"")</f>
        <v>0.69342850000000311</v>
      </c>
      <c r="M19" s="7">
        <f>IF(12&gt;=3,('Testes estatísticos'!$D$8+'Testes estatísticos'!$D$17)/2,"")</f>
        <v>-2.5758444999999952</v>
      </c>
      <c r="N19" s="7">
        <f>IF(13&gt;=3,('Testes estatísticos'!$D$8+'Testes estatísticos'!$D$18)/2,"")</f>
        <v>3.277841500000001</v>
      </c>
      <c r="O19" s="7">
        <f>IF(14&gt;=3,('Testes estatísticos'!$D$8+'Testes estatísticos'!$D$19)/2,"")</f>
        <v>1.935548500000003</v>
      </c>
      <c r="P19" s="7">
        <f>IF(15&gt;=3,('Testes estatísticos'!$D$8+'Testes estatísticos'!$D$20)/2,"")</f>
        <v>3.3552520000000037</v>
      </c>
      <c r="Q19" s="7">
        <f>IF(16&gt;=3,('Testes estatísticos'!$D$8+'Testes estatísticos'!$D$21)/2,"")</f>
        <v>-3.9445824999999992</v>
      </c>
      <c r="R19" s="7">
        <f>IF(17&gt;=3,('Testes estatísticos'!$D$8+'Testes estatísticos'!$D$22)/2,"")</f>
        <v>-0.48323849999999879</v>
      </c>
      <c r="S19" s="7">
        <f>IF(18&gt;=3,('Testes estatísticos'!$D$8+'Testes estatísticos'!$D$23)/2,"")</f>
        <v>-1.5573519999999981</v>
      </c>
    </row>
    <row r="20" spans="2:19" x14ac:dyDescent="0.3">
      <c r="B20" s="7" t="str">
        <f>IF(1&gt;=4,('Testes estatísticos'!$D$9+'Testes estatísticos'!$D$6)/2,"")</f>
        <v/>
      </c>
      <c r="C20" s="7" t="str">
        <f>IF(2&gt;=4,('Testes estatísticos'!$D$9+'Testes estatísticos'!$D$7)/2,"")</f>
        <v/>
      </c>
      <c r="D20" s="7" t="str">
        <f>IF(3&gt;=4,('Testes estatísticos'!$D$9+'Testes estatísticos'!$D$8)/2,"")</f>
        <v/>
      </c>
      <c r="E20" s="7">
        <f>IF(4&gt;=4,('Testes estatísticos'!$D$9+'Testes estatísticos'!$D$9)/2,"")</f>
        <v>-6.1620410000000021</v>
      </c>
      <c r="F20" s="7">
        <f>IF(5&gt;=4,('Testes estatísticos'!$D$9+'Testes estatísticos'!$D$10)/2,"")</f>
        <v>-3.8121785000000017</v>
      </c>
      <c r="G20" s="7">
        <f>IF(6&gt;=4,('Testes estatísticos'!$D$9+'Testes estatísticos'!$D$11)/2,"")</f>
        <v>-0.72447650000000152</v>
      </c>
      <c r="H20" s="7">
        <f>IF(7&gt;=4,('Testes estatísticos'!$D$9+'Testes estatísticos'!$D$12)/2,"")</f>
        <v>-7.5816859999999977</v>
      </c>
      <c r="I20" s="7">
        <f>IF(8&gt;=4,('Testes estatísticos'!$D$9+'Testes estatísticos'!$D$13)/2,"")</f>
        <v>-3.7114600000000024</v>
      </c>
      <c r="J20" s="7">
        <f>IF(9&gt;=4,('Testes estatísticos'!$D$9+'Testes estatísticos'!$D$14)/2,"")</f>
        <v>-3.0584010000000035</v>
      </c>
      <c r="K20" s="7">
        <f>IF(10&gt;=4,('Testes estatísticos'!$D$9+'Testes estatísticos'!$D$15)/2,"")</f>
        <v>-3.3662160000000014</v>
      </c>
      <c r="L20" s="7">
        <f>IF(11&gt;=4,('Testes estatísticos'!$D$9+'Testes estatísticos'!$D$16)/2,"")</f>
        <v>-3.9598370000000003</v>
      </c>
      <c r="M20" s="7">
        <f>IF(12&gt;=4,('Testes estatísticos'!$D$9+'Testes estatísticos'!$D$17)/2,"")</f>
        <v>-7.2291099999999986</v>
      </c>
      <c r="N20" s="7">
        <f>IF(13&gt;=4,('Testes estatísticos'!$D$9+'Testes estatísticos'!$D$18)/2,"")</f>
        <v>-1.3754240000000024</v>
      </c>
      <c r="O20" s="7">
        <f>IF(14&gt;=4,('Testes estatísticos'!$D$9+'Testes estatísticos'!$D$19)/2,"")</f>
        <v>-2.7177170000000004</v>
      </c>
      <c r="P20" s="7">
        <f>IF(15&gt;=4,('Testes estatísticos'!$D$9+'Testes estatísticos'!$D$20)/2,"")</f>
        <v>-1.2980134999999997</v>
      </c>
      <c r="Q20" s="7">
        <f>IF(16&gt;=4,('Testes estatísticos'!$D$9+'Testes estatísticos'!$D$21)/2,"")</f>
        <v>-8.5978480000000026</v>
      </c>
      <c r="R20" s="7">
        <f>IF(17&gt;=4,('Testes estatísticos'!$D$9+'Testes estatísticos'!$D$22)/2,"")</f>
        <v>-5.1365040000000022</v>
      </c>
      <c r="S20" s="7">
        <f>IF(18&gt;=4,('Testes estatísticos'!$D$9+'Testes estatísticos'!$D$23)/2,"")</f>
        <v>-6.2106175000000015</v>
      </c>
    </row>
    <row r="21" spans="2:19" x14ac:dyDescent="0.3">
      <c r="B21" s="7" t="str">
        <f>IF(1&gt;=5,('Testes estatísticos'!$D$10+'Testes estatísticos'!$D$6)/2,"")</f>
        <v/>
      </c>
      <c r="C21" s="7" t="str">
        <f>IF(2&gt;=5,('Testes estatísticos'!$D$10+'Testes estatísticos'!$D$7)/2,"")</f>
        <v/>
      </c>
      <c r="D21" s="7" t="str">
        <f>IF(3&gt;=5,('Testes estatísticos'!$D$10+'Testes estatísticos'!$D$8)/2,"")</f>
        <v/>
      </c>
      <c r="E21" s="7" t="str">
        <f>IF(4&gt;=5,('Testes estatísticos'!$D$10+'Testes estatísticos'!$D$9)/2,"")</f>
        <v/>
      </c>
      <c r="F21" s="7">
        <f>IF(5&gt;=5,('Testes estatísticos'!$D$10+'Testes estatísticos'!$D$10)/2,"")</f>
        <v>-1.4623160000000013</v>
      </c>
      <c r="G21" s="7">
        <f>IF(6&gt;=5,('Testes estatísticos'!$D$10+'Testes estatísticos'!$D$11)/2,"")</f>
        <v>1.6253859999999989</v>
      </c>
      <c r="H21" s="7">
        <f>IF(7&gt;=5,('Testes estatísticos'!$D$10+'Testes estatísticos'!$D$12)/2,"")</f>
        <v>-5.2318234999999973</v>
      </c>
      <c r="I21" s="7">
        <f>IF(8&gt;=5,('Testes estatísticos'!$D$10+'Testes estatísticos'!$D$13)/2,"")</f>
        <v>-1.361597500000002</v>
      </c>
      <c r="J21" s="7">
        <f>IF(9&gt;=5,('Testes estatísticos'!$D$10+'Testes estatísticos'!$D$14)/2,"")</f>
        <v>-0.70853850000000307</v>
      </c>
      <c r="K21" s="7">
        <f>IF(10&gt;=5,('Testes estatísticos'!$D$10+'Testes estatísticos'!$D$15)/2,"")</f>
        <v>-1.016353500000001</v>
      </c>
      <c r="L21" s="7">
        <f>IF(11&gt;=5,('Testes estatísticos'!$D$10+'Testes estatísticos'!$D$16)/2,"")</f>
        <v>-1.6099744999999999</v>
      </c>
      <c r="M21" s="7">
        <f>IF(12&gt;=5,('Testes estatísticos'!$D$10+'Testes estatísticos'!$D$17)/2,"")</f>
        <v>-4.8792474999999982</v>
      </c>
      <c r="N21" s="7">
        <f>IF(13&gt;=5,('Testes estatísticos'!$D$10+'Testes estatísticos'!$D$18)/2,"")</f>
        <v>0.97443849999999799</v>
      </c>
      <c r="O21" s="7">
        <f>IF(14&gt;=5,('Testes estatísticos'!$D$10+'Testes estatísticos'!$D$19)/2,"")</f>
        <v>-0.36785449999999997</v>
      </c>
      <c r="P21" s="7">
        <f>IF(15&gt;=5,('Testes estatísticos'!$D$10+'Testes estatísticos'!$D$20)/2,"")</f>
        <v>1.0518490000000007</v>
      </c>
      <c r="Q21" s="7">
        <f>IF(16&gt;=5,('Testes estatísticos'!$D$10+'Testes estatísticos'!$D$21)/2,"")</f>
        <v>-6.2479855000000022</v>
      </c>
      <c r="R21" s="7">
        <f>IF(17&gt;=5,('Testes estatísticos'!$D$10+'Testes estatísticos'!$D$22)/2,"")</f>
        <v>-2.7866415000000018</v>
      </c>
      <c r="S21" s="7">
        <f>IF(18&gt;=5,('Testes estatísticos'!$D$10+'Testes estatísticos'!$D$23)/2,"")</f>
        <v>-3.860755000000001</v>
      </c>
    </row>
    <row r="22" spans="2:19" x14ac:dyDescent="0.3">
      <c r="B22" s="7" t="str">
        <f>IF(1&gt;=6,('Testes estatísticos'!$D$11+'Testes estatísticos'!$D$6)/2,"")</f>
        <v/>
      </c>
      <c r="C22" s="7" t="str">
        <f>IF(2&gt;=6,('Testes estatísticos'!$D$11+'Testes estatísticos'!$D$7)/2,"")</f>
        <v/>
      </c>
      <c r="D22" s="7" t="str">
        <f>IF(3&gt;=6,('Testes estatísticos'!$D$11+'Testes estatísticos'!$D$8)/2,"")</f>
        <v/>
      </c>
      <c r="E22" s="7" t="str">
        <f>IF(4&gt;=6,('Testes estatísticos'!$D$11+'Testes estatísticos'!$D$9)/2,"")</f>
        <v/>
      </c>
      <c r="F22" s="7" t="str">
        <f>IF(5&gt;=6,('Testes estatísticos'!$D$11+'Testes estatísticos'!$D$10)/2,"")</f>
        <v/>
      </c>
      <c r="G22" s="7">
        <f>IF(6&gt;=6,('Testes estatísticos'!$D$11+'Testes estatísticos'!$D$11)/2,"")</f>
        <v>4.7130879999999991</v>
      </c>
      <c r="H22" s="7">
        <f>IF(7&gt;=6,('Testes estatísticos'!$D$11+'Testes estatísticos'!$D$12)/2,"")</f>
        <v>-2.1441214999999971</v>
      </c>
      <c r="I22" s="7">
        <f>IF(8&gt;=6,('Testes estatísticos'!$D$11+'Testes estatísticos'!$D$13)/2,"")</f>
        <v>1.7261044999999982</v>
      </c>
      <c r="J22" s="7">
        <f>IF(9&gt;=6,('Testes estatísticos'!$D$11+'Testes estatísticos'!$D$14)/2,"")</f>
        <v>2.3791634999999971</v>
      </c>
      <c r="K22" s="7">
        <f>IF(10&gt;=6,('Testes estatísticos'!$D$11+'Testes estatísticos'!$D$15)/2,"")</f>
        <v>2.0713484999999991</v>
      </c>
      <c r="L22" s="7">
        <f>IF(11&gt;=6,('Testes estatísticos'!$D$11+'Testes estatísticos'!$D$16)/2,"")</f>
        <v>1.4777275000000003</v>
      </c>
      <c r="M22" s="7">
        <f>IF(12&gt;=6,('Testes estatísticos'!$D$11+'Testes estatísticos'!$D$17)/2,"")</f>
        <v>-1.791545499999998</v>
      </c>
      <c r="N22" s="7">
        <f>IF(13&gt;=6,('Testes estatísticos'!$D$11+'Testes estatísticos'!$D$18)/2,"")</f>
        <v>4.0621404999999982</v>
      </c>
      <c r="O22" s="7">
        <f>IF(14&gt;=6,('Testes estatísticos'!$D$11+'Testes estatísticos'!$D$19)/2,"")</f>
        <v>2.7198475000000002</v>
      </c>
      <c r="P22" s="7">
        <f>IF(15&gt;=6,('Testes estatísticos'!$D$11+'Testes estatísticos'!$D$20)/2,"")</f>
        <v>4.1395510000000009</v>
      </c>
      <c r="Q22" s="7">
        <f>IF(16&gt;=6,('Testes estatísticos'!$D$11+'Testes estatísticos'!$D$21)/2,"")</f>
        <v>-3.160283500000002</v>
      </c>
      <c r="R22" s="7">
        <f>IF(17&gt;=6,('Testes estatísticos'!$D$11+'Testes estatísticos'!$D$22)/2,"")</f>
        <v>0.3010604999999984</v>
      </c>
      <c r="S22" s="7">
        <f>IF(18&gt;=6,('Testes estatísticos'!$D$11+'Testes estatísticos'!$D$23)/2,"")</f>
        <v>-0.77305300000000088</v>
      </c>
    </row>
    <row r="23" spans="2:19" x14ac:dyDescent="0.3">
      <c r="B23" s="7" t="str">
        <f>IF(1&gt;=7,('Testes estatísticos'!$D$12+'Testes estatísticos'!$D$6)/2,"")</f>
        <v/>
      </c>
      <c r="C23" s="7" t="str">
        <f>IF(2&gt;=7,('Testes estatísticos'!$D$12+'Testes estatísticos'!$D$7)/2,"")</f>
        <v/>
      </c>
      <c r="D23" s="7" t="str">
        <f>IF(3&gt;=7,('Testes estatísticos'!$D$12+'Testes estatísticos'!$D$8)/2,"")</f>
        <v/>
      </c>
      <c r="E23" s="7" t="str">
        <f>IF(4&gt;=7,('Testes estatísticos'!$D$12+'Testes estatísticos'!$D$9)/2,"")</f>
        <v/>
      </c>
      <c r="F23" s="7" t="str">
        <f>IF(5&gt;=7,('Testes estatísticos'!$D$12+'Testes estatísticos'!$D$10)/2,"")</f>
        <v/>
      </c>
      <c r="G23" s="7" t="str">
        <f>IF(6&gt;=7,('Testes estatísticos'!$D$12+'Testes estatísticos'!$D$11)/2,"")</f>
        <v/>
      </c>
      <c r="H23" s="7">
        <f>IF(7&gt;=7,('Testes estatísticos'!$D$12+'Testes estatísticos'!$D$12)/2,"")</f>
        <v>-9.0013309999999933</v>
      </c>
      <c r="I23" s="7">
        <f>IF(8&gt;=7,('Testes estatísticos'!$D$12+'Testes estatísticos'!$D$13)/2,"")</f>
        <v>-5.131104999999998</v>
      </c>
      <c r="J23" s="7">
        <f>IF(9&gt;=7,('Testes estatísticos'!$D$12+'Testes estatísticos'!$D$14)/2,"")</f>
        <v>-4.4780459999999991</v>
      </c>
      <c r="K23" s="7">
        <f>IF(10&gt;=7,('Testes estatísticos'!$D$12+'Testes estatísticos'!$D$15)/2,"")</f>
        <v>-4.785860999999997</v>
      </c>
      <c r="L23" s="7">
        <f>IF(11&gt;=7,('Testes estatísticos'!$D$12+'Testes estatísticos'!$D$16)/2,"")</f>
        <v>-5.3794819999999959</v>
      </c>
      <c r="M23" s="7">
        <f>IF(12&gt;=7,('Testes estatísticos'!$D$12+'Testes estatísticos'!$D$17)/2,"")</f>
        <v>-8.6487549999999942</v>
      </c>
      <c r="N23" s="7">
        <f>IF(13&gt;=7,('Testes estatísticos'!$D$12+'Testes estatísticos'!$D$18)/2,"")</f>
        <v>-2.795068999999998</v>
      </c>
      <c r="O23" s="7">
        <f>IF(14&gt;=7,('Testes estatísticos'!$D$12+'Testes estatísticos'!$D$19)/2,"")</f>
        <v>-4.137361999999996</v>
      </c>
      <c r="P23" s="7">
        <f>IF(15&gt;=7,('Testes estatísticos'!$D$12+'Testes estatísticos'!$D$20)/2,"")</f>
        <v>-2.7176584999999953</v>
      </c>
      <c r="Q23" s="7">
        <f>IF(16&gt;=7,('Testes estatísticos'!$D$12+'Testes estatísticos'!$D$21)/2,"")</f>
        <v>-10.017492999999998</v>
      </c>
      <c r="R23" s="7">
        <f>IF(17&gt;=7,('Testes estatísticos'!$D$12+'Testes estatísticos'!$D$22)/2,"")</f>
        <v>-6.5561489999999978</v>
      </c>
      <c r="S23" s="7">
        <f>IF(18&gt;=7,('Testes estatísticos'!$D$12+'Testes estatísticos'!$D$23)/2,"")</f>
        <v>-7.6302624999999971</v>
      </c>
    </row>
    <row r="24" spans="2:19" x14ac:dyDescent="0.3">
      <c r="B24" s="7" t="str">
        <f>IF(1&gt;=8,('Testes estatísticos'!$D$13+'Testes estatísticos'!$D$6)/2,"")</f>
        <v/>
      </c>
      <c r="C24" s="7" t="str">
        <f>IF(2&gt;=8,('Testes estatísticos'!$D$13+'Testes estatísticos'!$D$7)/2,"")</f>
        <v/>
      </c>
      <c r="D24" s="7" t="str">
        <f>IF(3&gt;=8,('Testes estatísticos'!$D$13+'Testes estatísticos'!$D$8)/2,"")</f>
        <v/>
      </c>
      <c r="E24" s="7" t="str">
        <f>IF(4&gt;=8,('Testes estatísticos'!$D$13+'Testes estatísticos'!$D$9)/2,"")</f>
        <v/>
      </c>
      <c r="F24" s="7" t="str">
        <f>IF(5&gt;=8,('Testes estatísticos'!$D$13+'Testes estatísticos'!$D$10)/2,"")</f>
        <v/>
      </c>
      <c r="G24" s="7" t="str">
        <f>IF(6&gt;=8,('Testes estatísticos'!$D$13+'Testes estatísticos'!$D$11)/2,"")</f>
        <v/>
      </c>
      <c r="H24" s="7" t="str">
        <f>IF(7&gt;=8,('Testes estatísticos'!$D$13+'Testes estatísticos'!$D$12)/2,"")</f>
        <v/>
      </c>
      <c r="I24" s="7">
        <f>IF(8&gt;=8,('Testes estatísticos'!$D$13+'Testes estatísticos'!$D$13)/2,"")</f>
        <v>-1.2608790000000027</v>
      </c>
      <c r="J24" s="7">
        <f>IF(9&gt;=8,('Testes estatísticos'!$D$13+'Testes estatísticos'!$D$14)/2,"")</f>
        <v>-0.6078200000000038</v>
      </c>
      <c r="K24" s="7">
        <f>IF(10&gt;=8,('Testes estatísticos'!$D$13+'Testes estatísticos'!$D$15)/2,"")</f>
        <v>-0.91563500000000175</v>
      </c>
      <c r="L24" s="7">
        <f>IF(11&gt;=8,('Testes estatísticos'!$D$13+'Testes estatísticos'!$D$16)/2,"")</f>
        <v>-1.5092560000000006</v>
      </c>
      <c r="M24" s="7">
        <f>IF(12&gt;=8,('Testes estatísticos'!$D$13+'Testes estatísticos'!$D$17)/2,"")</f>
        <v>-4.7785289999999989</v>
      </c>
      <c r="N24" s="7">
        <f>IF(13&gt;=8,('Testes estatísticos'!$D$13+'Testes estatísticos'!$D$18)/2,"")</f>
        <v>1.0751569999999973</v>
      </c>
      <c r="O24" s="7">
        <f>IF(14&gt;=8,('Testes estatísticos'!$D$13+'Testes estatísticos'!$D$19)/2,"")</f>
        <v>-0.26713600000000071</v>
      </c>
      <c r="P24" s="7">
        <f>IF(15&gt;=8,('Testes estatísticos'!$D$13+'Testes estatísticos'!$D$20)/2,"")</f>
        <v>1.1525675</v>
      </c>
      <c r="Q24" s="7">
        <f>IF(16&gt;=8,('Testes estatísticos'!$D$13+'Testes estatísticos'!$D$21)/2,"")</f>
        <v>-6.1472670000000029</v>
      </c>
      <c r="R24" s="7">
        <f>IF(17&gt;=8,('Testes estatísticos'!$D$13+'Testes estatísticos'!$D$22)/2,"")</f>
        <v>-2.6859230000000025</v>
      </c>
      <c r="S24" s="7">
        <f>IF(18&gt;=8,('Testes estatísticos'!$D$13+'Testes estatísticos'!$D$23)/2,"")</f>
        <v>-3.7600365000000018</v>
      </c>
    </row>
    <row r="25" spans="2:19" x14ac:dyDescent="0.3">
      <c r="B25" s="7" t="str">
        <f>IF(1&gt;=9,('Testes estatísticos'!$D$14+'Testes estatísticos'!$D$6)/2,"")</f>
        <v/>
      </c>
      <c r="C25" s="7" t="str">
        <f>IF(2&gt;=9,('Testes estatísticos'!$D$14+'Testes estatísticos'!$D$7)/2,"")</f>
        <v/>
      </c>
      <c r="D25" s="7" t="str">
        <f>IF(3&gt;=9,('Testes estatísticos'!$D$14+'Testes estatísticos'!$D$8)/2,"")</f>
        <v/>
      </c>
      <c r="E25" s="7" t="str">
        <f>IF(4&gt;=9,('Testes estatísticos'!$D$14+'Testes estatísticos'!$D$9)/2,"")</f>
        <v/>
      </c>
      <c r="F25" s="7" t="str">
        <f>IF(5&gt;=9,('Testes estatísticos'!$D$14+'Testes estatísticos'!$D$10)/2,"")</f>
        <v/>
      </c>
      <c r="G25" s="7" t="str">
        <f>IF(6&gt;=9,('Testes estatísticos'!$D$14+'Testes estatísticos'!$D$11)/2,"")</f>
        <v/>
      </c>
      <c r="H25" s="7" t="str">
        <f>IF(7&gt;=9,('Testes estatísticos'!$D$14+'Testes estatísticos'!$D$12)/2,"")</f>
        <v/>
      </c>
      <c r="I25" s="7" t="str">
        <f>IF(8&gt;=9,('Testes estatísticos'!$D$14+'Testes estatísticos'!$D$13)/2,"")</f>
        <v/>
      </c>
      <c r="J25" s="7">
        <f>IF(9&gt;=9,('Testes estatísticos'!$D$14+'Testes estatísticos'!$D$14)/2,"")</f>
        <v>4.5238999999995144E-2</v>
      </c>
      <c r="K25" s="7">
        <f>IF(10&gt;=9,('Testes estatísticos'!$D$14+'Testes estatísticos'!$D$15)/2,"")</f>
        <v>-0.26257600000000281</v>
      </c>
      <c r="L25" s="7">
        <f>IF(11&gt;=9,('Testes estatísticos'!$D$14+'Testes estatísticos'!$D$16)/2,"")</f>
        <v>-0.85619700000000165</v>
      </c>
      <c r="M25" s="7">
        <f>IF(12&gt;=9,('Testes estatísticos'!$D$14+'Testes estatísticos'!$D$17)/2,"")</f>
        <v>-4.12547</v>
      </c>
      <c r="N25" s="7">
        <f>IF(13&gt;=9,('Testes estatísticos'!$D$14+'Testes estatísticos'!$D$18)/2,"")</f>
        <v>1.7282159999999962</v>
      </c>
      <c r="O25" s="7">
        <f>IF(14&gt;=9,('Testes estatísticos'!$D$14+'Testes estatísticos'!$D$19)/2,"")</f>
        <v>0.38592299999999824</v>
      </c>
      <c r="P25" s="7">
        <f>IF(15&gt;=9,('Testes estatísticos'!$D$14+'Testes estatísticos'!$D$20)/2,"")</f>
        <v>1.8056264999999989</v>
      </c>
      <c r="Q25" s="7">
        <f>IF(16&gt;=9,('Testes estatísticos'!$D$14+'Testes estatísticos'!$D$21)/2,"")</f>
        <v>-5.494208000000004</v>
      </c>
      <c r="R25" s="7">
        <f>IF(17&gt;=9,('Testes estatísticos'!$D$14+'Testes estatísticos'!$D$22)/2,"")</f>
        <v>-2.0328640000000036</v>
      </c>
      <c r="S25" s="7">
        <f>IF(18&gt;=9,('Testes estatísticos'!$D$14+'Testes estatísticos'!$D$23)/2,"")</f>
        <v>-3.1069775000000028</v>
      </c>
    </row>
    <row r="26" spans="2:19" x14ac:dyDescent="0.3">
      <c r="B26" s="7" t="str">
        <f>IF(1&gt;=10,('Testes estatísticos'!$D$15+'Testes estatísticos'!$D$6)/2,"")</f>
        <v/>
      </c>
      <c r="C26" s="7" t="str">
        <f>IF(2&gt;=10,('Testes estatísticos'!$D$15+'Testes estatísticos'!$D$7)/2,"")</f>
        <v/>
      </c>
      <c r="D26" s="7" t="str">
        <f>IF(3&gt;=10,('Testes estatísticos'!$D$15+'Testes estatísticos'!$D$8)/2,"")</f>
        <v/>
      </c>
      <c r="E26" s="7" t="str">
        <f>IF(4&gt;=10,('Testes estatísticos'!$D$15+'Testes estatísticos'!$D$9)/2,"")</f>
        <v/>
      </c>
      <c r="F26" s="7" t="str">
        <f>IF(5&gt;=10,('Testes estatísticos'!$D$15+'Testes estatísticos'!$D$10)/2,"")</f>
        <v/>
      </c>
      <c r="G26" s="7" t="str">
        <f>IF(6&gt;=10,('Testes estatísticos'!$D$15+'Testes estatísticos'!$D$11)/2,"")</f>
        <v/>
      </c>
      <c r="H26" s="7" t="str">
        <f>IF(7&gt;=10,('Testes estatísticos'!$D$15+'Testes estatísticos'!$D$12)/2,"")</f>
        <v/>
      </c>
      <c r="I26" s="7" t="str">
        <f>IF(8&gt;=10,('Testes estatísticos'!$D$15+'Testes estatísticos'!$D$13)/2,"")</f>
        <v/>
      </c>
      <c r="J26" s="7" t="str">
        <f>IF(9&gt;=10,('Testes estatísticos'!$D$15+'Testes estatísticos'!$D$14)/2,"")</f>
        <v/>
      </c>
      <c r="K26" s="7">
        <f>IF(10&gt;=10,('Testes estatísticos'!$D$15+'Testes estatísticos'!$D$15)/2,"")</f>
        <v>-0.57039100000000076</v>
      </c>
      <c r="L26" s="7">
        <f>IF(11&gt;=10,('Testes estatísticos'!$D$15+'Testes estatísticos'!$D$16)/2,"")</f>
        <v>-1.1640119999999996</v>
      </c>
      <c r="M26" s="7">
        <f>IF(12&gt;=10,('Testes estatísticos'!$D$15+'Testes estatísticos'!$D$17)/2,"")</f>
        <v>-4.4332849999999979</v>
      </c>
      <c r="N26" s="7">
        <f>IF(13&gt;=10,('Testes estatísticos'!$D$15+'Testes estatísticos'!$D$18)/2,"")</f>
        <v>1.4204009999999982</v>
      </c>
      <c r="O26" s="7">
        <f>IF(14&gt;=10,('Testes estatísticos'!$D$15+'Testes estatísticos'!$D$19)/2,"")</f>
        <v>7.8108000000000288E-2</v>
      </c>
      <c r="P26" s="7">
        <f>IF(15&gt;=10,('Testes estatísticos'!$D$15+'Testes estatísticos'!$D$20)/2,"")</f>
        <v>1.497811500000001</v>
      </c>
      <c r="Q26" s="7">
        <f>IF(16&gt;=10,('Testes estatísticos'!$D$15+'Testes estatísticos'!$D$21)/2,"")</f>
        <v>-5.8020230000000019</v>
      </c>
      <c r="R26" s="7">
        <f>IF(17&gt;=10,('Testes estatísticos'!$D$15+'Testes estatísticos'!$D$22)/2,"")</f>
        <v>-2.3406790000000015</v>
      </c>
      <c r="S26" s="7">
        <f>IF(18&gt;=10,('Testes estatísticos'!$D$15+'Testes estatísticos'!$D$23)/2,"")</f>
        <v>-3.4147925000000008</v>
      </c>
    </row>
    <row r="27" spans="2:19" x14ac:dyDescent="0.3">
      <c r="B27" s="7" t="str">
        <f>IF(1&gt;=11,('Testes estatísticos'!$D$16+'Testes estatísticos'!$D$6)/2,"")</f>
        <v/>
      </c>
      <c r="C27" s="7" t="str">
        <f>IF(2&gt;=11,('Testes estatísticos'!$D$16+'Testes estatísticos'!$D$7)/2,"")</f>
        <v/>
      </c>
      <c r="D27" s="7" t="str">
        <f>IF(3&gt;=11,('Testes estatísticos'!$D$16+'Testes estatísticos'!$D$8)/2,"")</f>
        <v/>
      </c>
      <c r="E27" s="7" t="str">
        <f>IF(4&gt;=11,('Testes estatísticos'!$D$16+'Testes estatísticos'!$D$9)/2,"")</f>
        <v/>
      </c>
      <c r="F27" s="7" t="str">
        <f>IF(5&gt;=11,('Testes estatísticos'!$D$16+'Testes estatísticos'!$D$10)/2,"")</f>
        <v/>
      </c>
      <c r="G27" s="7" t="str">
        <f>IF(6&gt;=11,('Testes estatísticos'!$D$16+'Testes estatísticos'!$D$11)/2,"")</f>
        <v/>
      </c>
      <c r="H27" s="7" t="str">
        <f>IF(7&gt;=11,('Testes estatísticos'!$D$16+'Testes estatísticos'!$D$12)/2,"")</f>
        <v/>
      </c>
      <c r="I27" s="7" t="str">
        <f>IF(8&gt;=11,('Testes estatísticos'!$D$16+'Testes estatísticos'!$D$13)/2,"")</f>
        <v/>
      </c>
      <c r="J27" s="7" t="str">
        <f>IF(9&gt;=11,('Testes estatísticos'!$D$16+'Testes estatísticos'!$D$14)/2,"")</f>
        <v/>
      </c>
      <c r="K27" s="7" t="str">
        <f>IF(10&gt;=11,('Testes estatísticos'!$D$16+'Testes estatísticos'!$D$15)/2,"")</f>
        <v/>
      </c>
      <c r="L27" s="7">
        <f>IF(11&gt;=11,('Testes estatísticos'!$D$16+'Testes estatísticos'!$D$16)/2,"")</f>
        <v>-1.7576329999999984</v>
      </c>
      <c r="M27" s="7">
        <f>IF(12&gt;=11,('Testes estatísticos'!$D$16+'Testes estatísticos'!$D$17)/2,"")</f>
        <v>-5.0269059999999968</v>
      </c>
      <c r="N27" s="7">
        <f>IF(13&gt;=11,('Testes estatísticos'!$D$16+'Testes estatísticos'!$D$18)/2,"")</f>
        <v>0.8267799999999994</v>
      </c>
      <c r="O27" s="7">
        <f>IF(14&gt;=11,('Testes estatísticos'!$D$16+'Testes estatísticos'!$D$19)/2,"")</f>
        <v>-0.51551299999999856</v>
      </c>
      <c r="P27" s="7">
        <f>IF(15&gt;=11,('Testes estatísticos'!$D$16+'Testes estatísticos'!$D$20)/2,"")</f>
        <v>0.90419050000000212</v>
      </c>
      <c r="Q27" s="7">
        <f>IF(16&gt;=11,('Testes estatísticos'!$D$16+'Testes estatísticos'!$D$21)/2,"")</f>
        <v>-6.3956440000000008</v>
      </c>
      <c r="R27" s="7">
        <f>IF(17&gt;=11,('Testes estatísticos'!$D$16+'Testes estatísticos'!$D$22)/2,"")</f>
        <v>-2.9343000000000004</v>
      </c>
      <c r="S27" s="7">
        <f>IF(18&gt;=11,('Testes estatísticos'!$D$16+'Testes estatísticos'!$D$23)/2,"")</f>
        <v>-4.0084134999999996</v>
      </c>
    </row>
    <row r="28" spans="2:19" x14ac:dyDescent="0.3">
      <c r="B28" s="7" t="str">
        <f>IF(1&gt;=12,('Testes estatísticos'!$D$17+'Testes estatísticos'!$D$6)/2,"")</f>
        <v/>
      </c>
      <c r="C28" s="7" t="str">
        <f>IF(2&gt;=12,('Testes estatísticos'!$D$17+'Testes estatísticos'!$D$7)/2,"")</f>
        <v/>
      </c>
      <c r="D28" s="7" t="str">
        <f>IF(3&gt;=12,('Testes estatísticos'!$D$17+'Testes estatísticos'!$D$8)/2,"")</f>
        <v/>
      </c>
      <c r="E28" s="7" t="str">
        <f>IF(4&gt;=12,('Testes estatísticos'!$D$17+'Testes estatísticos'!$D$9)/2,"")</f>
        <v/>
      </c>
      <c r="F28" s="7" t="str">
        <f>IF(5&gt;=12,('Testes estatísticos'!$D$17+'Testes estatísticos'!$D$10)/2,"")</f>
        <v/>
      </c>
      <c r="G28" s="7" t="str">
        <f>IF(6&gt;=12,('Testes estatísticos'!$D$17+'Testes estatísticos'!$D$11)/2,"")</f>
        <v/>
      </c>
      <c r="H28" s="7" t="str">
        <f>IF(7&gt;=12,('Testes estatísticos'!$D$17+'Testes estatísticos'!$D$12)/2,"")</f>
        <v/>
      </c>
      <c r="I28" s="7" t="str">
        <f>IF(8&gt;=12,('Testes estatísticos'!$D$17+'Testes estatísticos'!$D$13)/2,"")</f>
        <v/>
      </c>
      <c r="J28" s="7" t="str">
        <f>IF(9&gt;=12,('Testes estatísticos'!$D$17+'Testes estatísticos'!$D$14)/2,"")</f>
        <v/>
      </c>
      <c r="K28" s="7" t="str">
        <f>IF(10&gt;=12,('Testes estatísticos'!$D$17+'Testes estatísticos'!$D$15)/2,"")</f>
        <v/>
      </c>
      <c r="L28" s="7" t="str">
        <f>IF(11&gt;=12,('Testes estatísticos'!$D$17+'Testes estatísticos'!$D$16)/2,"")</f>
        <v/>
      </c>
      <c r="M28" s="7">
        <f>IF(12&gt;=12,('Testes estatísticos'!$D$17+'Testes estatísticos'!$D$17)/2,"")</f>
        <v>-8.2961789999999951</v>
      </c>
      <c r="N28" s="7">
        <f>IF(13&gt;=12,('Testes estatísticos'!$D$17+'Testes estatísticos'!$D$18)/2,"")</f>
        <v>-2.4424929999999989</v>
      </c>
      <c r="O28" s="7">
        <f>IF(14&gt;=12,('Testes estatísticos'!$D$17+'Testes estatísticos'!$D$19)/2,"")</f>
        <v>-3.7847859999999969</v>
      </c>
      <c r="P28" s="7">
        <f>IF(15&gt;=12,('Testes estatísticos'!$D$17+'Testes estatísticos'!$D$20)/2,"")</f>
        <v>-2.3650824999999962</v>
      </c>
      <c r="Q28" s="7">
        <f>IF(16&gt;=12,('Testes estatísticos'!$D$17+'Testes estatísticos'!$D$21)/2,"")</f>
        <v>-9.6649169999999991</v>
      </c>
      <c r="R28" s="7">
        <f>IF(17&gt;=12,('Testes estatísticos'!$D$17+'Testes estatísticos'!$D$22)/2,"")</f>
        <v>-6.2035729999999987</v>
      </c>
      <c r="S28" s="7">
        <f>IF(18&gt;=12,('Testes estatísticos'!$D$17+'Testes estatísticos'!$D$23)/2,"")</f>
        <v>-7.2776864999999979</v>
      </c>
    </row>
    <row r="29" spans="2:19" x14ac:dyDescent="0.3">
      <c r="B29" s="7" t="str">
        <f>IF(1&gt;=13,('Testes estatísticos'!$D$18+'Testes estatísticos'!$D$6)/2,"")</f>
        <v/>
      </c>
      <c r="C29" s="7" t="str">
        <f>IF(2&gt;=13,('Testes estatísticos'!$D$18+'Testes estatísticos'!$D$7)/2,"")</f>
        <v/>
      </c>
      <c r="D29" s="7" t="str">
        <f>IF(3&gt;=13,('Testes estatísticos'!$D$18+'Testes estatísticos'!$D$8)/2,"")</f>
        <v/>
      </c>
      <c r="E29" s="7" t="str">
        <f>IF(4&gt;=13,('Testes estatísticos'!$D$18+'Testes estatísticos'!$D$9)/2,"")</f>
        <v/>
      </c>
      <c r="F29" s="7" t="str">
        <f>IF(5&gt;=13,('Testes estatísticos'!$D$18+'Testes estatísticos'!$D$10)/2,"")</f>
        <v/>
      </c>
      <c r="G29" s="7" t="str">
        <f>IF(6&gt;=13,('Testes estatísticos'!$D$18+'Testes estatísticos'!$D$11)/2,"")</f>
        <v/>
      </c>
      <c r="H29" s="7" t="str">
        <f>IF(7&gt;=13,('Testes estatísticos'!$D$18+'Testes estatísticos'!$D$12)/2,"")</f>
        <v/>
      </c>
      <c r="I29" s="7" t="str">
        <f>IF(8&gt;=13,('Testes estatísticos'!$D$18+'Testes estatísticos'!$D$13)/2,"")</f>
        <v/>
      </c>
      <c r="J29" s="7" t="str">
        <f>IF(9&gt;=13,('Testes estatísticos'!$D$18+'Testes estatísticos'!$D$14)/2,"")</f>
        <v/>
      </c>
      <c r="K29" s="7" t="str">
        <f>IF(10&gt;=13,('Testes estatísticos'!$D$18+'Testes estatísticos'!$D$15)/2,"")</f>
        <v/>
      </c>
      <c r="L29" s="7" t="str">
        <f>IF(11&gt;=13,('Testes estatísticos'!$D$18+'Testes estatísticos'!$D$16)/2,"")</f>
        <v/>
      </c>
      <c r="M29" s="7" t="str">
        <f>IF(12&gt;=13,('Testes estatísticos'!$D$18+'Testes estatísticos'!$D$17)/2,"")</f>
        <v/>
      </c>
      <c r="N29" s="7">
        <f>IF(13&gt;=13,('Testes estatísticos'!$D$18+'Testes estatísticos'!$D$18)/2,"")</f>
        <v>3.4111929999999973</v>
      </c>
      <c r="O29" s="7">
        <f>IF(14&gt;=13,('Testes estatísticos'!$D$18+'Testes estatísticos'!$D$19)/2,"")</f>
        <v>2.0688999999999993</v>
      </c>
      <c r="P29" s="7">
        <f>IF(15&gt;=13,('Testes estatísticos'!$D$18+'Testes estatísticos'!$D$20)/2,"")</f>
        <v>3.4886035</v>
      </c>
      <c r="Q29" s="7">
        <f>IF(16&gt;=13,('Testes estatísticos'!$D$18+'Testes estatísticos'!$D$21)/2,"")</f>
        <v>-3.8112310000000029</v>
      </c>
      <c r="R29" s="7">
        <f>IF(17&gt;=13,('Testes estatísticos'!$D$18+'Testes estatísticos'!$D$22)/2,"")</f>
        <v>-0.3498870000000025</v>
      </c>
      <c r="S29" s="7">
        <f>IF(18&gt;=13,('Testes estatísticos'!$D$18+'Testes estatísticos'!$D$23)/2,"")</f>
        <v>-1.4240005000000018</v>
      </c>
    </row>
    <row r="30" spans="2:19" x14ac:dyDescent="0.3">
      <c r="B30" s="7" t="str">
        <f>IF(1&gt;=14,('Testes estatísticos'!$D$19+'Testes estatísticos'!$D$6)/2,"")</f>
        <v/>
      </c>
      <c r="C30" s="7" t="str">
        <f>IF(2&gt;=14,('Testes estatísticos'!$D$19+'Testes estatísticos'!$D$7)/2,"")</f>
        <v/>
      </c>
      <c r="D30" s="7" t="str">
        <f>IF(3&gt;=14,('Testes estatísticos'!$D$19+'Testes estatísticos'!$D$8)/2,"")</f>
        <v/>
      </c>
      <c r="E30" s="7" t="str">
        <f>IF(4&gt;=14,('Testes estatísticos'!$D$19+'Testes estatísticos'!$D$9)/2,"")</f>
        <v/>
      </c>
      <c r="F30" s="7" t="str">
        <f>IF(5&gt;=14,('Testes estatísticos'!$D$19+'Testes estatísticos'!$D$10)/2,"")</f>
        <v/>
      </c>
      <c r="G30" s="7" t="str">
        <f>IF(6&gt;=14,('Testes estatísticos'!$D$19+'Testes estatísticos'!$D$11)/2,"")</f>
        <v/>
      </c>
      <c r="H30" s="7" t="str">
        <f>IF(7&gt;=14,('Testes estatísticos'!$D$19+'Testes estatísticos'!$D$12)/2,"")</f>
        <v/>
      </c>
      <c r="I30" s="7" t="str">
        <f>IF(8&gt;=14,('Testes estatísticos'!$D$19+'Testes estatísticos'!$D$13)/2,"")</f>
        <v/>
      </c>
      <c r="J30" s="7" t="str">
        <f>IF(9&gt;=14,('Testes estatísticos'!$D$19+'Testes estatísticos'!$D$14)/2,"")</f>
        <v/>
      </c>
      <c r="K30" s="7" t="str">
        <f>IF(10&gt;=14,('Testes estatísticos'!$D$19+'Testes estatísticos'!$D$15)/2,"")</f>
        <v/>
      </c>
      <c r="L30" s="7" t="str">
        <f>IF(11&gt;=14,('Testes estatísticos'!$D$19+'Testes estatísticos'!$D$16)/2,"")</f>
        <v/>
      </c>
      <c r="M30" s="7" t="str">
        <f>IF(12&gt;=14,('Testes estatísticos'!$D$19+'Testes estatísticos'!$D$17)/2,"")</f>
        <v/>
      </c>
      <c r="N30" s="7" t="str">
        <f>IF(13&gt;=14,('Testes estatísticos'!$D$19+'Testes estatísticos'!$D$18)/2,"")</f>
        <v/>
      </c>
      <c r="O30" s="7">
        <f>IF(14&gt;=14,('Testes estatísticos'!$D$19+'Testes estatísticos'!$D$19)/2,"")</f>
        <v>0.72660700000000134</v>
      </c>
      <c r="P30" s="7">
        <f>IF(15&gt;=14,('Testes estatísticos'!$D$19+'Testes estatísticos'!$D$20)/2,"")</f>
        <v>2.146310500000002</v>
      </c>
      <c r="Q30" s="7">
        <f>IF(16&gt;=14,('Testes estatísticos'!$D$19+'Testes estatísticos'!$D$21)/2,"")</f>
        <v>-5.1535240000000009</v>
      </c>
      <c r="R30" s="7">
        <f>IF(17&gt;=14,('Testes estatísticos'!$D$19+'Testes estatísticos'!$D$22)/2,"")</f>
        <v>-1.6921800000000005</v>
      </c>
      <c r="S30" s="7">
        <f>IF(18&gt;=14,('Testes estatísticos'!$D$19+'Testes estatísticos'!$D$23)/2,"")</f>
        <v>-2.7662934999999997</v>
      </c>
    </row>
    <row r="31" spans="2:19" x14ac:dyDescent="0.3">
      <c r="B31" s="7" t="str">
        <f>IF(1&gt;=15,('Testes estatísticos'!$D$20+'Testes estatísticos'!$D$6)/2,"")</f>
        <v/>
      </c>
      <c r="C31" s="7" t="str">
        <f>IF(2&gt;=15,('Testes estatísticos'!$D$20+'Testes estatísticos'!$D$7)/2,"")</f>
        <v/>
      </c>
      <c r="D31" s="7" t="str">
        <f>IF(3&gt;=15,('Testes estatísticos'!$D$20+'Testes estatísticos'!$D$8)/2,"")</f>
        <v/>
      </c>
      <c r="E31" s="7" t="str">
        <f>IF(4&gt;=15,('Testes estatísticos'!$D$20+'Testes estatísticos'!$D$9)/2,"")</f>
        <v/>
      </c>
      <c r="F31" s="7" t="str">
        <f>IF(5&gt;=15,('Testes estatísticos'!$D$20+'Testes estatísticos'!$D$10)/2,"")</f>
        <v/>
      </c>
      <c r="G31" s="7" t="str">
        <f>IF(6&gt;=15,('Testes estatísticos'!$D$20+'Testes estatísticos'!$D$11)/2,"")</f>
        <v/>
      </c>
      <c r="H31" s="7" t="str">
        <f>IF(7&gt;=15,('Testes estatísticos'!$D$20+'Testes estatísticos'!$D$12)/2,"")</f>
        <v/>
      </c>
      <c r="I31" s="7" t="str">
        <f>IF(8&gt;=15,('Testes estatísticos'!$D$20+'Testes estatísticos'!$D$13)/2,"")</f>
        <v/>
      </c>
      <c r="J31" s="7" t="str">
        <f>IF(9&gt;=15,('Testes estatísticos'!$D$20+'Testes estatísticos'!$D$14)/2,"")</f>
        <v/>
      </c>
      <c r="K31" s="7" t="str">
        <f>IF(10&gt;=15,('Testes estatísticos'!$D$20+'Testes estatísticos'!$D$15)/2,"")</f>
        <v/>
      </c>
      <c r="L31" s="7" t="str">
        <f>IF(11&gt;=15,('Testes estatísticos'!$D$20+'Testes estatísticos'!$D$16)/2,"")</f>
        <v/>
      </c>
      <c r="M31" s="7" t="str">
        <f>IF(12&gt;=15,('Testes estatísticos'!$D$20+'Testes estatísticos'!$D$17)/2,"")</f>
        <v/>
      </c>
      <c r="N31" s="7" t="str">
        <f>IF(13&gt;=15,('Testes estatísticos'!$D$20+'Testes estatísticos'!$D$18)/2,"")</f>
        <v/>
      </c>
      <c r="O31" s="7" t="str">
        <f>IF(14&gt;=15,('Testes estatísticos'!$D$20+'Testes estatísticos'!$D$19)/2,"")</f>
        <v/>
      </c>
      <c r="P31" s="7">
        <f>IF(15&gt;=15,('Testes estatísticos'!$D$20+'Testes estatísticos'!$D$20)/2,"")</f>
        <v>3.5660140000000027</v>
      </c>
      <c r="Q31" s="7">
        <f>IF(16&gt;=15,('Testes estatísticos'!$D$20+'Testes estatísticos'!$D$21)/2,"")</f>
        <v>-3.7338205000000002</v>
      </c>
      <c r="R31" s="7">
        <f>IF(17&gt;=15,('Testes estatísticos'!$D$20+'Testes estatísticos'!$D$22)/2,"")</f>
        <v>-0.27247649999999979</v>
      </c>
      <c r="S31" s="7">
        <f>IF(18&gt;=15,('Testes estatísticos'!$D$20+'Testes estatísticos'!$D$23)/2,"")</f>
        <v>-1.3465899999999991</v>
      </c>
    </row>
    <row r="32" spans="2:19" x14ac:dyDescent="0.3">
      <c r="B32" s="7" t="str">
        <f>IF(1&gt;=16,('Testes estatísticos'!$D$21+'Testes estatísticos'!$D$6)/2,"")</f>
        <v/>
      </c>
      <c r="C32" s="7" t="str">
        <f>IF(2&gt;=16,('Testes estatísticos'!$D$21+'Testes estatísticos'!$D$7)/2,"")</f>
        <v/>
      </c>
      <c r="D32" s="7" t="str">
        <f>IF(3&gt;=16,('Testes estatísticos'!$D$21+'Testes estatísticos'!$D$8)/2,"")</f>
        <v/>
      </c>
      <c r="E32" s="7" t="str">
        <f>IF(4&gt;=16,('Testes estatísticos'!$D$21+'Testes estatísticos'!$D$9)/2,"")</f>
        <v/>
      </c>
      <c r="F32" s="7" t="str">
        <f>IF(5&gt;=16,('Testes estatísticos'!$D$21+'Testes estatísticos'!$D$10)/2,"")</f>
        <v/>
      </c>
      <c r="G32" s="7" t="str">
        <f>IF(6&gt;=16,('Testes estatísticos'!$D$21+'Testes estatísticos'!$D$11)/2,"")</f>
        <v/>
      </c>
      <c r="H32" s="7" t="str">
        <f>IF(7&gt;=16,('Testes estatísticos'!$D$21+'Testes estatísticos'!$D$12)/2,"")</f>
        <v/>
      </c>
      <c r="I32" s="7" t="str">
        <f>IF(8&gt;=16,('Testes estatísticos'!$D$21+'Testes estatísticos'!$D$13)/2,"")</f>
        <v/>
      </c>
      <c r="J32" s="7" t="str">
        <f>IF(9&gt;=16,('Testes estatísticos'!$D$21+'Testes estatísticos'!$D$14)/2,"")</f>
        <v/>
      </c>
      <c r="K32" s="7" t="str">
        <f>IF(10&gt;=16,('Testes estatísticos'!$D$21+'Testes estatísticos'!$D$15)/2,"")</f>
        <v/>
      </c>
      <c r="L32" s="7" t="str">
        <f>IF(11&gt;=16,('Testes estatísticos'!$D$21+'Testes estatísticos'!$D$16)/2,"")</f>
        <v/>
      </c>
      <c r="M32" s="7" t="str">
        <f>IF(12&gt;=16,('Testes estatísticos'!$D$21+'Testes estatísticos'!$D$17)/2,"")</f>
        <v/>
      </c>
      <c r="N32" s="7" t="str">
        <f>IF(13&gt;=16,('Testes estatísticos'!$D$21+'Testes estatísticos'!$D$18)/2,"")</f>
        <v/>
      </c>
      <c r="O32" s="7" t="str">
        <f>IF(14&gt;=16,('Testes estatísticos'!$D$21+'Testes estatísticos'!$D$19)/2,"")</f>
        <v/>
      </c>
      <c r="P32" s="7" t="str">
        <f>IF(15&gt;=16,('Testes estatísticos'!$D$21+'Testes estatísticos'!$D$20)/2,"")</f>
        <v/>
      </c>
      <c r="Q32" s="7">
        <f>IF(16&gt;=16,('Testes estatísticos'!$D$21+'Testes estatísticos'!$D$21)/2,"")</f>
        <v>-11.033655000000003</v>
      </c>
      <c r="R32" s="7">
        <f>IF(17&gt;=16,('Testes estatísticos'!$D$21+'Testes estatísticos'!$D$22)/2,"")</f>
        <v>-7.5723110000000027</v>
      </c>
      <c r="S32" s="7">
        <f>IF(18&gt;=16,('Testes estatísticos'!$D$21+'Testes estatísticos'!$D$23)/2,"")</f>
        <v>-8.646424500000002</v>
      </c>
    </row>
    <row r="33" spans="1:21" x14ac:dyDescent="0.3">
      <c r="B33" s="7" t="str">
        <f>IF(1&gt;=17,('Testes estatísticos'!$D$22+'Testes estatísticos'!$D$6)/2,"")</f>
        <v/>
      </c>
      <c r="C33" s="7" t="str">
        <f>IF(2&gt;=17,('Testes estatísticos'!$D$22+'Testes estatísticos'!$D$7)/2,"")</f>
        <v/>
      </c>
      <c r="D33" s="7" t="str">
        <f>IF(3&gt;=17,('Testes estatísticos'!$D$22+'Testes estatísticos'!$D$8)/2,"")</f>
        <v/>
      </c>
      <c r="E33" s="7" t="str">
        <f>IF(4&gt;=17,('Testes estatísticos'!$D$22+'Testes estatísticos'!$D$9)/2,"")</f>
        <v/>
      </c>
      <c r="F33" s="7" t="str">
        <f>IF(5&gt;=17,('Testes estatísticos'!$D$22+'Testes estatísticos'!$D$10)/2,"")</f>
        <v/>
      </c>
      <c r="G33" s="7" t="str">
        <f>IF(6&gt;=17,('Testes estatísticos'!$D$22+'Testes estatísticos'!$D$11)/2,"")</f>
        <v/>
      </c>
      <c r="H33" s="7" t="str">
        <f>IF(7&gt;=17,('Testes estatísticos'!$D$22+'Testes estatísticos'!$D$12)/2,"")</f>
        <v/>
      </c>
      <c r="I33" s="7" t="str">
        <f>IF(8&gt;=17,('Testes estatísticos'!$D$22+'Testes estatísticos'!$D$13)/2,"")</f>
        <v/>
      </c>
      <c r="J33" s="7" t="str">
        <f>IF(9&gt;=17,('Testes estatísticos'!$D$22+'Testes estatísticos'!$D$14)/2,"")</f>
        <v/>
      </c>
      <c r="K33" s="7" t="str">
        <f>IF(10&gt;=17,('Testes estatísticos'!$D$22+'Testes estatísticos'!$D$15)/2,"")</f>
        <v/>
      </c>
      <c r="L33" s="7" t="str">
        <f>IF(11&gt;=17,('Testes estatísticos'!$D$22+'Testes estatísticos'!$D$16)/2,"")</f>
        <v/>
      </c>
      <c r="M33" s="7" t="str">
        <f>IF(12&gt;=17,('Testes estatísticos'!$D$22+'Testes estatísticos'!$D$17)/2,"")</f>
        <v/>
      </c>
      <c r="N33" s="7" t="str">
        <f>IF(13&gt;=17,('Testes estatísticos'!$D$22+'Testes estatísticos'!$D$18)/2,"")</f>
        <v/>
      </c>
      <c r="O33" s="7" t="str">
        <f>IF(14&gt;=17,('Testes estatísticos'!$D$22+'Testes estatísticos'!$D$19)/2,"")</f>
        <v/>
      </c>
      <c r="P33" s="7" t="str">
        <f>IF(15&gt;=17,('Testes estatísticos'!$D$22+'Testes estatísticos'!$D$20)/2,"")</f>
        <v/>
      </c>
      <c r="Q33" s="7" t="str">
        <f>IF(16&gt;=17,('Testes estatísticos'!$D$22+'Testes estatísticos'!$D$21)/2,"")</f>
        <v/>
      </c>
      <c r="R33" s="7">
        <f>IF(17&gt;=17,('Testes estatísticos'!$D$22+'Testes estatísticos'!$D$22)/2,"")</f>
        <v>-4.1109670000000023</v>
      </c>
      <c r="S33" s="7">
        <f>IF(18&gt;=17,('Testes estatísticos'!$D$22+'Testes estatísticos'!$D$23)/2,"")</f>
        <v>-5.1850805000000015</v>
      </c>
    </row>
    <row r="34" spans="1:21" x14ac:dyDescent="0.3">
      <c r="B34" s="7" t="str">
        <f>IF(1&gt;=18,('Testes estatísticos'!$D$23+'Testes estatísticos'!$D$6)/2,"")</f>
        <v/>
      </c>
      <c r="C34" s="7" t="str">
        <f>IF(2&gt;=18,('Testes estatísticos'!$D$23+'Testes estatísticos'!$D$7)/2,"")</f>
        <v/>
      </c>
      <c r="D34" s="7" t="str">
        <f>IF(3&gt;=18,('Testes estatísticos'!$D$23+'Testes estatísticos'!$D$8)/2,"")</f>
        <v/>
      </c>
      <c r="E34" s="7" t="str">
        <f>IF(4&gt;=18,('Testes estatísticos'!$D$23+'Testes estatísticos'!$D$9)/2,"")</f>
        <v/>
      </c>
      <c r="F34" s="7" t="str">
        <f>IF(5&gt;=18,('Testes estatísticos'!$D$23+'Testes estatísticos'!$D$10)/2,"")</f>
        <v/>
      </c>
      <c r="G34" s="7" t="str">
        <f>IF(6&gt;=18,('Testes estatísticos'!$D$23+'Testes estatísticos'!$D$11)/2,"")</f>
        <v/>
      </c>
      <c r="H34" s="7" t="str">
        <f>IF(7&gt;=18,('Testes estatísticos'!$D$23+'Testes estatísticos'!$D$12)/2,"")</f>
        <v/>
      </c>
      <c r="I34" s="7" t="str">
        <f>IF(8&gt;=18,('Testes estatísticos'!$D$23+'Testes estatísticos'!$D$13)/2,"")</f>
        <v/>
      </c>
      <c r="J34" s="7" t="str">
        <f>IF(9&gt;=18,('Testes estatísticos'!$D$23+'Testes estatísticos'!$D$14)/2,"")</f>
        <v/>
      </c>
      <c r="K34" s="7" t="str">
        <f>IF(10&gt;=18,('Testes estatísticos'!$D$23+'Testes estatísticos'!$D$15)/2,"")</f>
        <v/>
      </c>
      <c r="L34" s="7" t="str">
        <f>IF(11&gt;=18,('Testes estatísticos'!$D$23+'Testes estatísticos'!$D$16)/2,"")</f>
        <v/>
      </c>
      <c r="M34" s="7" t="str">
        <f>IF(12&gt;=18,('Testes estatísticos'!$D$23+'Testes estatísticos'!$D$17)/2,"")</f>
        <v/>
      </c>
      <c r="N34" s="7" t="str">
        <f>IF(13&gt;=18,('Testes estatísticos'!$D$23+'Testes estatísticos'!$D$18)/2,"")</f>
        <v/>
      </c>
      <c r="O34" s="7" t="str">
        <f>IF(14&gt;=18,('Testes estatísticos'!$D$23+'Testes estatísticos'!$D$19)/2,"")</f>
        <v/>
      </c>
      <c r="P34" s="7" t="str">
        <f>IF(15&gt;=18,('Testes estatísticos'!$D$23+'Testes estatísticos'!$D$20)/2,"")</f>
        <v/>
      </c>
      <c r="Q34" s="7" t="str">
        <f>IF(16&gt;=18,('Testes estatísticos'!$D$23+'Testes estatísticos'!$D$21)/2,"")</f>
        <v/>
      </c>
      <c r="R34" s="7" t="str">
        <f>IF(17&gt;=18,('Testes estatísticos'!$D$23+'Testes estatísticos'!$D$22)/2,"")</f>
        <v/>
      </c>
      <c r="S34" s="7">
        <f>IF(18&gt;=18,('Testes estatísticos'!$D$23+'Testes estatísticos'!$D$23)/2,"")</f>
        <v>-6.2591940000000008</v>
      </c>
    </row>
    <row r="37" spans="1:21" x14ac:dyDescent="0.3">
      <c r="A37" s="35" t="s">
        <v>338</v>
      </c>
    </row>
    <row r="38" spans="1:21" x14ac:dyDescent="0.3">
      <c r="B38" s="7">
        <f>IF(1&gt;=1,('Testes estatísticos'!$D$24+'Testes estatísticos'!$D$24)/2,"")</f>
        <v>-5.4623120000000043</v>
      </c>
      <c r="C38" s="7">
        <f>IF(2&gt;=1,('Testes estatísticos'!$D$24+'Testes estatísticos'!$D$25)/2,"")</f>
        <v>-6.4076799999999992</v>
      </c>
      <c r="D38" s="7">
        <f>IF(3&gt;=1,('Testes estatísticos'!$D$24+'Testes estatísticos'!$D$26)/2,"")</f>
        <v>-4.5489950000000015</v>
      </c>
      <c r="E38" s="7">
        <f>IF(4&gt;=1,('Testes estatísticos'!$D$24+'Testes estatísticos'!$D$27)/2,"")</f>
        <v>-4.5852245000000025</v>
      </c>
      <c r="F38" s="7">
        <f>IF(5&gt;=1,('Testes estatísticos'!$D$24+'Testes estatísticos'!$D$28)/2,"")</f>
        <v>-4.7081020000000002</v>
      </c>
      <c r="G38" s="7">
        <f>IF(6&gt;=1,('Testes estatísticos'!$D$24+'Testes estatísticos'!$D$29)/2,"")</f>
        <v>-4.1449215000000024</v>
      </c>
      <c r="H38" s="7">
        <f>IF(7&gt;=1,('Testes estatísticos'!$D$24+'Testes estatísticos'!$D$30)/2,"")</f>
        <v>-3.8313585000000039</v>
      </c>
      <c r="I38" s="7">
        <f>IF(8&gt;=1,('Testes estatísticos'!$D$24+'Testes estatísticos'!$D$31)/2,"")</f>
        <v>-3.8278880000000015</v>
      </c>
      <c r="J38" s="7">
        <f>IF(9&gt;=1,('Testes estatísticos'!$D$24+'Testes estatísticos'!$D$32)/2,"")</f>
        <v>-3.9324970000000015</v>
      </c>
      <c r="K38" s="7">
        <f>IF(10&gt;=1,('Testes estatísticos'!$D$24+'Testes estatísticos'!$D$33)/2,"")</f>
        <v>-3.8727825000000031</v>
      </c>
      <c r="L38" s="7">
        <f>IF(11&gt;=1,('Testes estatísticos'!$D$24+'Testes estatísticos'!$D$34)/2,"")</f>
        <v>-3.1435205000000046</v>
      </c>
      <c r="M38" s="7">
        <f>IF(12&gt;=1,('Testes estatísticos'!$D$24+'Testes estatísticos'!$D$35)/2,"")</f>
        <v>-4.4570665000000034</v>
      </c>
      <c r="N38" s="7">
        <f>IF(13&gt;=1,('Testes estatísticos'!$D$24+'Testes estatísticos'!$D$36)/2,"")</f>
        <v>-4.7994610000000009</v>
      </c>
      <c r="O38" s="7">
        <f>IF(14&gt;=1,('Testes estatísticos'!$D$24+'Testes estatísticos'!$D$37)/2,"")</f>
        <v>-3.6958405000000027</v>
      </c>
      <c r="P38" s="7">
        <f>IF(15&gt;=1,('Testes estatísticos'!$D$24+'Testes estatísticos'!$D$38)/2,"")</f>
        <v>-3.861380000000004</v>
      </c>
      <c r="Q38" s="7">
        <f>IF(16&gt;=1,('Testes estatísticos'!$D$24+'Testes estatísticos'!$D$39)/2,"")</f>
        <v>-1.0448340000000016</v>
      </c>
      <c r="R38" s="7">
        <f>IF(17&gt;=1,('Testes estatísticos'!$D$24+'Testes estatísticos'!$D$40)/2,"")</f>
        <v>-3.7863320000000016</v>
      </c>
      <c r="S38" s="7">
        <f>IF(18&gt;=1,('Testes estatísticos'!$D$24+'Testes estatísticos'!$D$41)/2,"")</f>
        <v>-1.5183875000000029</v>
      </c>
      <c r="T38" s="7">
        <f>IF(19&gt;=1,('Testes estatísticos'!$D$24+'Testes estatísticos'!$D$42)/2,"")</f>
        <v>-3.7969485000000027</v>
      </c>
      <c r="U38" s="7">
        <f>IF(20&gt;=1,('Testes estatísticos'!$D$24+'Testes estatísticos'!$D$43)/2,"")</f>
        <v>-3.7840890000000016</v>
      </c>
    </row>
    <row r="39" spans="1:21" x14ac:dyDescent="0.3">
      <c r="B39" s="7" t="str">
        <f>IF(1&gt;=2,('Testes estatísticos'!$D$25+'Testes estatísticos'!$D$24)/2,"")</f>
        <v/>
      </c>
      <c r="C39" s="7">
        <f>IF(2&gt;=2,('Testes estatísticos'!$D$25+'Testes estatísticos'!$D$25)/2,"")</f>
        <v>-7.353047999999994</v>
      </c>
      <c r="D39" s="7">
        <f>IF(3&gt;=2,('Testes estatísticos'!$D$25+'Testes estatísticos'!$D$26)/2,"")</f>
        <v>-5.4943629999999963</v>
      </c>
      <c r="E39" s="7">
        <f>IF(4&gt;=2,('Testes estatísticos'!$D$25+'Testes estatísticos'!$D$27)/2,"")</f>
        <v>-5.5305924999999974</v>
      </c>
      <c r="F39" s="7">
        <f>IF(5&gt;=2,('Testes estatísticos'!$D$25+'Testes estatísticos'!$D$28)/2,"")</f>
        <v>-5.6534699999999951</v>
      </c>
      <c r="G39" s="7">
        <f>IF(6&gt;=2,('Testes estatísticos'!$D$25+'Testes estatísticos'!$D$29)/2,"")</f>
        <v>-5.0902894999999972</v>
      </c>
      <c r="H39" s="7">
        <f>IF(7&gt;=2,('Testes estatísticos'!$D$25+'Testes estatísticos'!$D$30)/2,"")</f>
        <v>-4.7767264999999988</v>
      </c>
      <c r="I39" s="7">
        <f>IF(8&gt;=2,('Testes estatísticos'!$D$25+'Testes estatísticos'!$D$31)/2,"")</f>
        <v>-4.7732559999999964</v>
      </c>
      <c r="J39" s="7">
        <f>IF(9&gt;=2,('Testes estatísticos'!$D$25+'Testes estatísticos'!$D$32)/2,"")</f>
        <v>-4.8778649999999963</v>
      </c>
      <c r="K39" s="7">
        <f>IF(10&gt;=2,('Testes estatísticos'!$D$25+'Testes estatísticos'!$D$33)/2,"")</f>
        <v>-4.818150499999998</v>
      </c>
      <c r="L39" s="7">
        <f>IF(11&gt;=2,('Testes estatísticos'!$D$25+'Testes estatísticos'!$D$34)/2,"")</f>
        <v>-4.0888884999999995</v>
      </c>
      <c r="M39" s="7">
        <f>IF(12&gt;=2,('Testes estatísticos'!$D$25+'Testes estatísticos'!$D$35)/2,"")</f>
        <v>-5.4024344999999983</v>
      </c>
      <c r="N39" s="7">
        <f>IF(13&gt;=2,('Testes estatísticos'!$D$25+'Testes estatísticos'!$D$36)/2,"")</f>
        <v>-5.7448289999999957</v>
      </c>
      <c r="O39" s="7">
        <f>IF(14&gt;=2,('Testes estatísticos'!$D$25+'Testes estatísticos'!$D$37)/2,"")</f>
        <v>-4.6412084999999976</v>
      </c>
      <c r="P39" s="7">
        <f>IF(15&gt;=2,('Testes estatísticos'!$D$25+'Testes estatísticos'!$D$38)/2,"")</f>
        <v>-4.8067479999999989</v>
      </c>
      <c r="Q39" s="7">
        <f>IF(16&gt;=2,('Testes estatísticos'!$D$25+'Testes estatísticos'!$D$39)/2,"")</f>
        <v>-1.9902019999999965</v>
      </c>
      <c r="R39" s="7">
        <f>IF(17&gt;=2,('Testes estatísticos'!$D$25+'Testes estatísticos'!$D$40)/2,"")</f>
        <v>-4.7316999999999965</v>
      </c>
      <c r="S39" s="7">
        <f>IF(18&gt;=2,('Testes estatísticos'!$D$25+'Testes estatísticos'!$D$41)/2,"")</f>
        <v>-2.4637554999999978</v>
      </c>
      <c r="T39" s="7">
        <f>IF(19&gt;=2,('Testes estatísticos'!$D$25+'Testes estatísticos'!$D$42)/2,"")</f>
        <v>-4.7423164999999976</v>
      </c>
      <c r="U39" s="7">
        <f>IF(20&gt;=2,('Testes estatísticos'!$D$25+'Testes estatísticos'!$D$43)/2,"")</f>
        <v>-4.7294569999999965</v>
      </c>
    </row>
    <row r="40" spans="1:21" x14ac:dyDescent="0.3">
      <c r="B40" s="7" t="str">
        <f>IF(1&gt;=3,('Testes estatísticos'!$D$26+'Testes estatísticos'!$D$24)/2,"")</f>
        <v/>
      </c>
      <c r="C40" s="7" t="str">
        <f>IF(2&gt;=3,('Testes estatísticos'!$D$26+'Testes estatísticos'!$D$25)/2,"")</f>
        <v/>
      </c>
      <c r="D40" s="7">
        <f>IF(3&gt;=3,('Testes estatísticos'!$D$26+'Testes estatísticos'!$D$26)/2,"")</f>
        <v>-3.6356779999999986</v>
      </c>
      <c r="E40" s="7">
        <f>IF(4&gt;=3,('Testes estatísticos'!$D$26+'Testes estatísticos'!$D$27)/2,"")</f>
        <v>-3.6719074999999997</v>
      </c>
      <c r="F40" s="7">
        <f>IF(5&gt;=3,('Testes estatísticos'!$D$26+'Testes estatísticos'!$D$28)/2,"")</f>
        <v>-3.7947849999999974</v>
      </c>
      <c r="G40" s="7">
        <f>IF(6&gt;=3,('Testes estatísticos'!$D$26+'Testes estatísticos'!$D$29)/2,"")</f>
        <v>-3.2316044999999995</v>
      </c>
      <c r="H40" s="7">
        <f>IF(7&gt;=3,('Testes estatísticos'!$D$26+'Testes estatísticos'!$D$30)/2,"")</f>
        <v>-2.9180415000000011</v>
      </c>
      <c r="I40" s="7">
        <f>IF(8&gt;=3,('Testes estatísticos'!$D$26+'Testes estatísticos'!$D$31)/2,"")</f>
        <v>-2.9145709999999987</v>
      </c>
      <c r="J40" s="7">
        <f>IF(9&gt;=3,('Testes estatísticos'!$D$26+'Testes estatísticos'!$D$32)/2,"")</f>
        <v>-3.0191799999999986</v>
      </c>
      <c r="K40" s="7">
        <f>IF(10&gt;=3,('Testes estatísticos'!$D$26+'Testes estatísticos'!$D$33)/2,"")</f>
        <v>-2.9594655000000003</v>
      </c>
      <c r="L40" s="7">
        <f>IF(11&gt;=3,('Testes estatísticos'!$D$26+'Testes estatísticos'!$D$34)/2,"")</f>
        <v>-2.2302035000000018</v>
      </c>
      <c r="M40" s="7">
        <f>IF(12&gt;=3,('Testes estatísticos'!$D$26+'Testes estatísticos'!$D$35)/2,"")</f>
        <v>-3.5437495000000006</v>
      </c>
      <c r="N40" s="7">
        <f>IF(13&gt;=3,('Testes estatísticos'!$D$26+'Testes estatísticos'!$D$36)/2,"")</f>
        <v>-3.886143999999998</v>
      </c>
      <c r="O40" s="7">
        <f>IF(14&gt;=3,('Testes estatísticos'!$D$26+'Testes estatísticos'!$D$37)/2,"")</f>
        <v>-2.7825234999999999</v>
      </c>
      <c r="P40" s="7">
        <f>IF(15&gt;=3,('Testes estatísticos'!$D$26+'Testes estatísticos'!$D$38)/2,"")</f>
        <v>-2.9480630000000012</v>
      </c>
      <c r="Q40" s="7">
        <f>IF(16&gt;=3,('Testes estatísticos'!$D$26+'Testes estatísticos'!$D$39)/2,"")</f>
        <v>-0.13151699999999877</v>
      </c>
      <c r="R40" s="7">
        <f>IF(17&gt;=3,('Testes estatísticos'!$D$26+'Testes estatísticos'!$D$40)/2,"")</f>
        <v>-2.8730149999999988</v>
      </c>
      <c r="S40" s="7">
        <f>IF(18&gt;=3,('Testes estatísticos'!$D$26+'Testes estatísticos'!$D$41)/2,"")</f>
        <v>-0.60507050000000007</v>
      </c>
      <c r="T40" s="7">
        <f>IF(19&gt;=3,('Testes estatísticos'!$D$26+'Testes estatísticos'!$D$42)/2,"")</f>
        <v>-2.8836314999999999</v>
      </c>
      <c r="U40" s="7">
        <f>IF(20&gt;=3,('Testes estatísticos'!$D$26+'Testes estatísticos'!$D$43)/2,"")</f>
        <v>-2.8707719999999988</v>
      </c>
    </row>
    <row r="41" spans="1:21" x14ac:dyDescent="0.3">
      <c r="B41" s="7" t="str">
        <f>IF(1&gt;=4,('Testes estatísticos'!$D$27+'Testes estatísticos'!$D$24)/2,"")</f>
        <v/>
      </c>
      <c r="C41" s="7" t="str">
        <f>IF(2&gt;=4,('Testes estatísticos'!$D$27+'Testes estatísticos'!$D$25)/2,"")</f>
        <v/>
      </c>
      <c r="D41" s="7" t="str">
        <f>IF(3&gt;=4,('Testes estatísticos'!$D$27+'Testes estatísticos'!$D$26)/2,"")</f>
        <v/>
      </c>
      <c r="E41" s="7">
        <f>IF(4&gt;=4,('Testes estatísticos'!$D$27+'Testes estatísticos'!$D$27)/2,"")</f>
        <v>-3.7081370000000007</v>
      </c>
      <c r="F41" s="7">
        <f>IF(5&gt;=4,('Testes estatísticos'!$D$27+'Testes estatísticos'!$D$28)/2,"")</f>
        <v>-3.8310144999999984</v>
      </c>
      <c r="G41" s="7">
        <f>IF(6&gt;=4,('Testes estatísticos'!$D$27+'Testes estatísticos'!$D$29)/2,"")</f>
        <v>-3.2678340000000006</v>
      </c>
      <c r="H41" s="7">
        <f>IF(7&gt;=4,('Testes estatísticos'!$D$27+'Testes estatísticos'!$D$30)/2,"")</f>
        <v>-2.9542710000000021</v>
      </c>
      <c r="I41" s="7">
        <f>IF(8&gt;=4,('Testes estatísticos'!$D$27+'Testes estatísticos'!$D$31)/2,"")</f>
        <v>-2.9508004999999997</v>
      </c>
      <c r="J41" s="7">
        <f>IF(9&gt;=4,('Testes estatísticos'!$D$27+'Testes estatísticos'!$D$32)/2,"")</f>
        <v>-3.0554094999999997</v>
      </c>
      <c r="K41" s="7">
        <f>IF(10&gt;=4,('Testes estatísticos'!$D$27+'Testes estatísticos'!$D$33)/2,"")</f>
        <v>-2.9956950000000013</v>
      </c>
      <c r="L41" s="7">
        <f>IF(11&gt;=4,('Testes estatísticos'!$D$27+'Testes estatísticos'!$D$34)/2,"")</f>
        <v>-2.2664330000000028</v>
      </c>
      <c r="M41" s="7">
        <f>IF(12&gt;=4,('Testes estatísticos'!$D$27+'Testes estatísticos'!$D$35)/2,"")</f>
        <v>-3.5799790000000016</v>
      </c>
      <c r="N41" s="7">
        <f>IF(13&gt;=4,('Testes estatísticos'!$D$27+'Testes estatísticos'!$D$36)/2,"")</f>
        <v>-3.9223734999999991</v>
      </c>
      <c r="O41" s="7">
        <f>IF(14&gt;=4,('Testes estatísticos'!$D$27+'Testes estatísticos'!$D$37)/2,"")</f>
        <v>-2.818753000000001</v>
      </c>
      <c r="P41" s="7">
        <f>IF(15&gt;=4,('Testes estatísticos'!$D$27+'Testes estatísticos'!$D$38)/2,"")</f>
        <v>-2.9842925000000022</v>
      </c>
      <c r="Q41" s="7">
        <f>IF(16&gt;=4,('Testes estatísticos'!$D$27+'Testes estatísticos'!$D$39)/2,"")</f>
        <v>-0.1677464999999998</v>
      </c>
      <c r="R41" s="7">
        <f>IF(17&gt;=4,('Testes estatísticos'!$D$27+'Testes estatísticos'!$D$40)/2,"")</f>
        <v>-2.9092444999999998</v>
      </c>
      <c r="S41" s="7">
        <f>IF(18&gt;=4,('Testes estatísticos'!$D$27+'Testes estatísticos'!$D$41)/2,"")</f>
        <v>-0.64130000000000109</v>
      </c>
      <c r="T41" s="7">
        <f>IF(19&gt;=4,('Testes estatísticos'!$D$27+'Testes estatísticos'!$D$42)/2,"")</f>
        <v>-2.9198610000000009</v>
      </c>
      <c r="U41" s="7">
        <f>IF(20&gt;=4,('Testes estatísticos'!$D$27+'Testes estatísticos'!$D$43)/2,"")</f>
        <v>-2.9070014999999998</v>
      </c>
    </row>
    <row r="42" spans="1:21" x14ac:dyDescent="0.3">
      <c r="B42" s="7" t="str">
        <f>IF(1&gt;=5,('Testes estatísticos'!$D$28+'Testes estatísticos'!$D$24)/2,"")</f>
        <v/>
      </c>
      <c r="C42" s="7" t="str">
        <f>IF(2&gt;=5,('Testes estatísticos'!$D$28+'Testes estatísticos'!$D$25)/2,"")</f>
        <v/>
      </c>
      <c r="D42" s="7" t="str">
        <f>IF(3&gt;=5,('Testes estatísticos'!$D$28+'Testes estatísticos'!$D$26)/2,"")</f>
        <v/>
      </c>
      <c r="E42" s="7" t="str">
        <f>IF(4&gt;=5,('Testes estatísticos'!$D$28+'Testes estatísticos'!$D$27)/2,"")</f>
        <v/>
      </c>
      <c r="F42" s="7">
        <f>IF(5&gt;=5,('Testes estatísticos'!$D$28+'Testes estatísticos'!$D$28)/2,"")</f>
        <v>-3.9538919999999962</v>
      </c>
      <c r="G42" s="7">
        <f>IF(6&gt;=5,('Testes estatísticos'!$D$28+'Testes estatísticos'!$D$29)/2,"")</f>
        <v>-3.3907114999999983</v>
      </c>
      <c r="H42" s="7">
        <f>IF(7&gt;=5,('Testes estatísticos'!$D$28+'Testes estatísticos'!$D$30)/2,"")</f>
        <v>-3.0771484999999998</v>
      </c>
      <c r="I42" s="7">
        <f>IF(8&gt;=5,('Testes estatísticos'!$D$28+'Testes estatísticos'!$D$31)/2,"")</f>
        <v>-3.0736779999999975</v>
      </c>
      <c r="J42" s="7">
        <f>IF(9&gt;=5,('Testes estatísticos'!$D$28+'Testes estatísticos'!$D$32)/2,"")</f>
        <v>-3.1782869999999974</v>
      </c>
      <c r="K42" s="7">
        <f>IF(10&gt;=5,('Testes estatísticos'!$D$28+'Testes estatísticos'!$D$33)/2,"")</f>
        <v>-3.1185724999999991</v>
      </c>
      <c r="L42" s="7">
        <f>IF(11&gt;=5,('Testes estatísticos'!$D$28+'Testes estatísticos'!$D$34)/2,"")</f>
        <v>-2.3893105000000006</v>
      </c>
      <c r="M42" s="7">
        <f>IF(12&gt;=5,('Testes estatísticos'!$D$28+'Testes estatísticos'!$D$35)/2,"")</f>
        <v>-3.7028564999999993</v>
      </c>
      <c r="N42" s="7">
        <f>IF(13&gt;=5,('Testes estatísticos'!$D$28+'Testes estatísticos'!$D$36)/2,"")</f>
        <v>-4.0452509999999968</v>
      </c>
      <c r="O42" s="7">
        <f>IF(14&gt;=5,('Testes estatísticos'!$D$28+'Testes estatísticos'!$D$37)/2,"")</f>
        <v>-2.9416304999999987</v>
      </c>
      <c r="P42" s="7">
        <f>IF(15&gt;=5,('Testes estatísticos'!$D$28+'Testes estatísticos'!$D$38)/2,"")</f>
        <v>-3.10717</v>
      </c>
      <c r="Q42" s="7">
        <f>IF(16&gt;=5,('Testes estatísticos'!$D$28+'Testes estatísticos'!$D$39)/2,"")</f>
        <v>-0.29062399999999755</v>
      </c>
      <c r="R42" s="7">
        <f>IF(17&gt;=5,('Testes estatísticos'!$D$28+'Testes estatísticos'!$D$40)/2,"")</f>
        <v>-3.0321219999999975</v>
      </c>
      <c r="S42" s="7">
        <f>IF(18&gt;=5,('Testes estatísticos'!$D$28+'Testes estatísticos'!$D$41)/2,"")</f>
        <v>-0.76417749999999884</v>
      </c>
      <c r="T42" s="7">
        <f>IF(19&gt;=5,('Testes estatísticos'!$D$28+'Testes estatísticos'!$D$42)/2,"")</f>
        <v>-3.0427384999999987</v>
      </c>
      <c r="U42" s="7">
        <f>IF(20&gt;=5,('Testes estatísticos'!$D$28+'Testes estatísticos'!$D$43)/2,"")</f>
        <v>-3.0298789999999975</v>
      </c>
    </row>
    <row r="43" spans="1:21" x14ac:dyDescent="0.3">
      <c r="B43" s="7" t="str">
        <f>IF(1&gt;=6,('Testes estatísticos'!$D$29+'Testes estatísticos'!$D$24)/2,"")</f>
        <v/>
      </c>
      <c r="C43" s="7" t="str">
        <f>IF(2&gt;=6,('Testes estatísticos'!$D$29+'Testes estatísticos'!$D$25)/2,"")</f>
        <v/>
      </c>
      <c r="D43" s="7" t="str">
        <f>IF(3&gt;=6,('Testes estatísticos'!$D$29+'Testes estatísticos'!$D$26)/2,"")</f>
        <v/>
      </c>
      <c r="E43" s="7" t="str">
        <f>IF(4&gt;=6,('Testes estatísticos'!$D$29+'Testes estatísticos'!$D$27)/2,"")</f>
        <v/>
      </c>
      <c r="F43" s="7" t="str">
        <f>IF(5&gt;=6,('Testes estatísticos'!$D$29+'Testes estatísticos'!$D$28)/2,"")</f>
        <v/>
      </c>
      <c r="G43" s="7">
        <f>IF(6&gt;=6,('Testes estatísticos'!$D$29+'Testes estatísticos'!$D$29)/2,"")</f>
        <v>-2.8275310000000005</v>
      </c>
      <c r="H43" s="7">
        <f>IF(7&gt;=6,('Testes estatísticos'!$D$29+'Testes estatísticos'!$D$30)/2,"")</f>
        <v>-2.513968000000002</v>
      </c>
      <c r="I43" s="7">
        <f>IF(8&gt;=6,('Testes estatísticos'!$D$29+'Testes estatísticos'!$D$31)/2,"")</f>
        <v>-2.5104974999999996</v>
      </c>
      <c r="J43" s="7">
        <f>IF(9&gt;=6,('Testes estatísticos'!$D$29+'Testes estatísticos'!$D$32)/2,"")</f>
        <v>-2.6151064999999996</v>
      </c>
      <c r="K43" s="7">
        <f>IF(10&gt;=6,('Testes estatísticos'!$D$29+'Testes estatísticos'!$D$33)/2,"")</f>
        <v>-2.5553920000000012</v>
      </c>
      <c r="L43" s="7">
        <f>IF(11&gt;=6,('Testes estatísticos'!$D$29+'Testes estatísticos'!$D$34)/2,"")</f>
        <v>-1.8261300000000027</v>
      </c>
      <c r="M43" s="7">
        <f>IF(12&gt;=6,('Testes estatísticos'!$D$29+'Testes estatísticos'!$D$35)/2,"")</f>
        <v>-3.1396760000000015</v>
      </c>
      <c r="N43" s="7">
        <f>IF(13&gt;=6,('Testes estatísticos'!$D$29+'Testes estatísticos'!$D$36)/2,"")</f>
        <v>-3.482070499999999</v>
      </c>
      <c r="O43" s="7">
        <f>IF(14&gt;=6,('Testes estatísticos'!$D$29+'Testes estatísticos'!$D$37)/2,"")</f>
        <v>-2.3784500000000008</v>
      </c>
      <c r="P43" s="7">
        <f>IF(15&gt;=6,('Testes estatísticos'!$D$29+'Testes estatísticos'!$D$38)/2,"")</f>
        <v>-2.5439895000000021</v>
      </c>
      <c r="Q43" s="7">
        <f>IF(16&gt;=6,('Testes estatísticos'!$D$29+'Testes estatísticos'!$D$39)/2,"")</f>
        <v>0.27255650000000031</v>
      </c>
      <c r="R43" s="7">
        <f>IF(17&gt;=6,('Testes estatísticos'!$D$29+'Testes estatísticos'!$D$40)/2,"")</f>
        <v>-2.4689414999999997</v>
      </c>
      <c r="S43" s="7">
        <f>IF(18&gt;=6,('Testes estatísticos'!$D$29+'Testes estatísticos'!$D$41)/2,"")</f>
        <v>-0.20099700000000098</v>
      </c>
      <c r="T43" s="7">
        <f>IF(19&gt;=6,('Testes estatísticos'!$D$29+'Testes estatísticos'!$D$42)/2,"")</f>
        <v>-2.4795580000000008</v>
      </c>
      <c r="U43" s="7">
        <f>IF(20&gt;=6,('Testes estatísticos'!$D$29+'Testes estatísticos'!$D$43)/2,"")</f>
        <v>-2.4666984999999997</v>
      </c>
    </row>
    <row r="44" spans="1:21" x14ac:dyDescent="0.3">
      <c r="B44" s="7" t="str">
        <f>IF(1&gt;=7,('Testes estatísticos'!$D$30+'Testes estatísticos'!$D$24)/2,"")</f>
        <v/>
      </c>
      <c r="C44" s="7" t="str">
        <f>IF(2&gt;=7,('Testes estatísticos'!$D$30+'Testes estatísticos'!$D$25)/2,"")</f>
        <v/>
      </c>
      <c r="D44" s="7" t="str">
        <f>IF(3&gt;=7,('Testes estatísticos'!$D$30+'Testes estatísticos'!$D$26)/2,"")</f>
        <v/>
      </c>
      <c r="E44" s="7" t="str">
        <f>IF(4&gt;=7,('Testes estatísticos'!$D$30+'Testes estatísticos'!$D$27)/2,"")</f>
        <v/>
      </c>
      <c r="F44" s="7" t="str">
        <f>IF(5&gt;=7,('Testes estatísticos'!$D$30+'Testes estatísticos'!$D$28)/2,"")</f>
        <v/>
      </c>
      <c r="G44" s="7" t="str">
        <f>IF(6&gt;=7,('Testes estatísticos'!$D$30+'Testes estatísticos'!$D$29)/2,"")</f>
        <v/>
      </c>
      <c r="H44" s="7">
        <f>IF(7&gt;=7,('Testes estatísticos'!$D$30+'Testes estatísticos'!$D$30)/2,"")</f>
        <v>-2.2004050000000035</v>
      </c>
      <c r="I44" s="7">
        <f>IF(8&gt;=7,('Testes estatísticos'!$D$30+'Testes estatísticos'!$D$31)/2,"")</f>
        <v>-2.1969345000000011</v>
      </c>
      <c r="J44" s="7">
        <f>IF(9&gt;=7,('Testes estatísticos'!$D$30+'Testes estatísticos'!$D$32)/2,"")</f>
        <v>-2.3015435000000011</v>
      </c>
      <c r="K44" s="7">
        <f>IF(10&gt;=7,('Testes estatísticos'!$D$30+'Testes estatísticos'!$D$33)/2,"")</f>
        <v>-2.2418290000000027</v>
      </c>
      <c r="L44" s="7">
        <f>IF(11&gt;=7,('Testes estatísticos'!$D$30+'Testes estatísticos'!$D$34)/2,"")</f>
        <v>-1.5125670000000042</v>
      </c>
      <c r="M44" s="7">
        <f>IF(12&gt;=7,('Testes estatísticos'!$D$30+'Testes estatísticos'!$D$35)/2,"")</f>
        <v>-2.826113000000003</v>
      </c>
      <c r="N44" s="7">
        <f>IF(13&gt;=7,('Testes estatísticos'!$D$30+'Testes estatísticos'!$D$36)/2,"")</f>
        <v>-3.1685075000000005</v>
      </c>
      <c r="O44" s="7">
        <f>IF(14&gt;=7,('Testes estatísticos'!$D$30+'Testes estatísticos'!$D$37)/2,"")</f>
        <v>-2.0648870000000024</v>
      </c>
      <c r="P44" s="7">
        <f>IF(15&gt;=7,('Testes estatísticos'!$D$30+'Testes estatísticos'!$D$38)/2,"")</f>
        <v>-2.2304265000000036</v>
      </c>
      <c r="Q44" s="7">
        <f>IF(16&gt;=7,('Testes estatísticos'!$D$30+'Testes estatísticos'!$D$39)/2,"")</f>
        <v>0.58611949999999879</v>
      </c>
      <c r="R44" s="7">
        <f>IF(17&gt;=7,('Testes estatísticos'!$D$30+'Testes estatísticos'!$D$40)/2,"")</f>
        <v>-2.1553785000000012</v>
      </c>
      <c r="S44" s="7">
        <f>IF(18&gt;=7,('Testes estatísticos'!$D$30+'Testes estatísticos'!$D$41)/2,"")</f>
        <v>0.1125659999999975</v>
      </c>
      <c r="T44" s="7">
        <f>IF(19&gt;=7,('Testes estatísticos'!$D$30+'Testes estatísticos'!$D$42)/2,"")</f>
        <v>-2.1659950000000023</v>
      </c>
      <c r="U44" s="7">
        <f>IF(20&gt;=7,('Testes estatísticos'!$D$30+'Testes estatísticos'!$D$43)/2,"")</f>
        <v>-2.1531355000000012</v>
      </c>
    </row>
    <row r="45" spans="1:21" x14ac:dyDescent="0.3">
      <c r="B45" s="7" t="str">
        <f>IF(1&gt;=8,('Testes estatísticos'!$D$31+'Testes estatísticos'!$D$24)/2,"")</f>
        <v/>
      </c>
      <c r="C45" s="7" t="str">
        <f>IF(2&gt;=8,('Testes estatísticos'!$D$31+'Testes estatísticos'!$D$25)/2,"")</f>
        <v/>
      </c>
      <c r="D45" s="7" t="str">
        <f>IF(3&gt;=8,('Testes estatísticos'!$D$31+'Testes estatísticos'!$D$26)/2,"")</f>
        <v/>
      </c>
      <c r="E45" s="7" t="str">
        <f>IF(4&gt;=8,('Testes estatísticos'!$D$31+'Testes estatísticos'!$D$27)/2,"")</f>
        <v/>
      </c>
      <c r="F45" s="7" t="str">
        <f>IF(5&gt;=8,('Testes estatísticos'!$D$31+'Testes estatísticos'!$D$28)/2,"")</f>
        <v/>
      </c>
      <c r="G45" s="7" t="str">
        <f>IF(6&gt;=8,('Testes estatísticos'!$D$31+'Testes estatísticos'!$D$29)/2,"")</f>
        <v/>
      </c>
      <c r="H45" s="7" t="str">
        <f>IF(7&gt;=8,('Testes estatísticos'!$D$31+'Testes estatísticos'!$D$30)/2,"")</f>
        <v/>
      </c>
      <c r="I45" s="7">
        <f>IF(8&gt;=8,('Testes estatísticos'!$D$31+'Testes estatísticos'!$D$31)/2,"")</f>
        <v>-2.1934639999999987</v>
      </c>
      <c r="J45" s="7">
        <f>IF(9&gt;=8,('Testes estatísticos'!$D$31+'Testes estatísticos'!$D$32)/2,"")</f>
        <v>-2.2980729999999987</v>
      </c>
      <c r="K45" s="7">
        <f>IF(10&gt;=8,('Testes estatísticos'!$D$31+'Testes estatísticos'!$D$33)/2,"")</f>
        <v>-2.2383585000000004</v>
      </c>
      <c r="L45" s="7">
        <f>IF(11&gt;=8,('Testes estatísticos'!$D$31+'Testes estatísticos'!$D$34)/2,"")</f>
        <v>-1.5090965000000018</v>
      </c>
      <c r="M45" s="7">
        <f>IF(12&gt;=8,('Testes estatísticos'!$D$31+'Testes estatísticos'!$D$35)/2,"")</f>
        <v>-2.8226425000000006</v>
      </c>
      <c r="N45" s="7">
        <f>IF(13&gt;=8,('Testes estatísticos'!$D$31+'Testes estatísticos'!$D$36)/2,"")</f>
        <v>-3.1650369999999981</v>
      </c>
      <c r="O45" s="7">
        <f>IF(14&gt;=8,('Testes estatísticos'!$D$31+'Testes estatísticos'!$D$37)/2,"")</f>
        <v>-2.0614165</v>
      </c>
      <c r="P45" s="7">
        <f>IF(15&gt;=8,('Testes estatísticos'!$D$31+'Testes estatísticos'!$D$38)/2,"")</f>
        <v>-2.2269560000000013</v>
      </c>
      <c r="Q45" s="7">
        <f>IF(16&gt;=8,('Testes estatísticos'!$D$31+'Testes estatísticos'!$D$39)/2,"")</f>
        <v>0.58959000000000117</v>
      </c>
      <c r="R45" s="7">
        <f>IF(17&gt;=8,('Testes estatísticos'!$D$31+'Testes estatísticos'!$D$40)/2,"")</f>
        <v>-2.1519079999999988</v>
      </c>
      <c r="S45" s="7">
        <f>IF(18&gt;=8,('Testes estatísticos'!$D$31+'Testes estatísticos'!$D$41)/2,"")</f>
        <v>0.11603649999999988</v>
      </c>
      <c r="T45" s="7">
        <f>IF(19&gt;=8,('Testes estatísticos'!$D$31+'Testes estatísticos'!$D$42)/2,"")</f>
        <v>-2.1625245</v>
      </c>
      <c r="U45" s="7">
        <f>IF(20&gt;=8,('Testes estatísticos'!$D$31+'Testes estatísticos'!$D$43)/2,"")</f>
        <v>-2.1496649999999988</v>
      </c>
    </row>
    <row r="46" spans="1:21" x14ac:dyDescent="0.3">
      <c r="B46" s="7" t="str">
        <f>IF(1&gt;=9,('Testes estatísticos'!$D$32+'Testes estatísticos'!$D$24)/2,"")</f>
        <v/>
      </c>
      <c r="C46" s="7" t="str">
        <f>IF(2&gt;=9,('Testes estatísticos'!$D$32+'Testes estatísticos'!$D$25)/2,"")</f>
        <v/>
      </c>
      <c r="D46" s="7" t="str">
        <f>IF(3&gt;=9,('Testes estatísticos'!$D$32+'Testes estatísticos'!$D$26)/2,"")</f>
        <v/>
      </c>
      <c r="E46" s="7" t="str">
        <f>IF(4&gt;=9,('Testes estatísticos'!$D$32+'Testes estatísticos'!$D$27)/2,"")</f>
        <v/>
      </c>
      <c r="F46" s="7" t="str">
        <f>IF(5&gt;=9,('Testes estatísticos'!$D$32+'Testes estatísticos'!$D$28)/2,"")</f>
        <v/>
      </c>
      <c r="G46" s="7" t="str">
        <f>IF(6&gt;=9,('Testes estatísticos'!$D$32+'Testes estatísticos'!$D$29)/2,"")</f>
        <v/>
      </c>
      <c r="H46" s="7" t="str">
        <f>IF(7&gt;=9,('Testes estatísticos'!$D$32+'Testes estatísticos'!$D$30)/2,"")</f>
        <v/>
      </c>
      <c r="I46" s="7" t="str">
        <f>IF(8&gt;=9,('Testes estatísticos'!$D$32+'Testes estatísticos'!$D$31)/2,"")</f>
        <v/>
      </c>
      <c r="J46" s="7">
        <f>IF(9&gt;=9,('Testes estatísticos'!$D$32+'Testes estatísticos'!$D$32)/2,"")</f>
        <v>-2.4026819999999987</v>
      </c>
      <c r="K46" s="7">
        <f>IF(10&gt;=9,('Testes estatísticos'!$D$32+'Testes estatísticos'!$D$33)/2,"")</f>
        <v>-2.3429675000000003</v>
      </c>
      <c r="L46" s="7">
        <f>IF(11&gt;=9,('Testes estatísticos'!$D$32+'Testes estatísticos'!$D$34)/2,"")</f>
        <v>-1.6137055000000018</v>
      </c>
      <c r="M46" s="7">
        <f>IF(12&gt;=9,('Testes estatísticos'!$D$32+'Testes estatísticos'!$D$35)/2,"")</f>
        <v>-2.9272515000000006</v>
      </c>
      <c r="N46" s="7">
        <f>IF(13&gt;=9,('Testes estatísticos'!$D$32+'Testes estatísticos'!$D$36)/2,"")</f>
        <v>-3.2696459999999981</v>
      </c>
      <c r="O46" s="7">
        <f>IF(14&gt;=9,('Testes estatísticos'!$D$32+'Testes estatísticos'!$D$37)/2,"")</f>
        <v>-2.1660254999999999</v>
      </c>
      <c r="P46" s="7">
        <f>IF(15&gt;=9,('Testes estatísticos'!$D$32+'Testes estatísticos'!$D$38)/2,"")</f>
        <v>-2.3315650000000012</v>
      </c>
      <c r="Q46" s="7">
        <f>IF(16&gt;=9,('Testes estatísticos'!$D$32+'Testes estatísticos'!$D$39)/2,"")</f>
        <v>0.48498100000000122</v>
      </c>
      <c r="R46" s="7">
        <f>IF(17&gt;=9,('Testes estatísticos'!$D$32+'Testes estatísticos'!$D$40)/2,"")</f>
        <v>-2.2565169999999988</v>
      </c>
      <c r="S46" s="7">
        <f>IF(18&gt;=9,('Testes estatísticos'!$D$32+'Testes estatísticos'!$D$41)/2,"")</f>
        <v>1.1427499999999924E-2</v>
      </c>
      <c r="T46" s="7">
        <f>IF(19&gt;=9,('Testes estatísticos'!$D$32+'Testes estatísticos'!$D$42)/2,"")</f>
        <v>-2.2671334999999999</v>
      </c>
      <c r="U46" s="7">
        <f>IF(20&gt;=9,('Testes estatísticos'!$D$32+'Testes estatísticos'!$D$43)/2,"")</f>
        <v>-2.2542739999999988</v>
      </c>
    </row>
    <row r="47" spans="1:21" x14ac:dyDescent="0.3">
      <c r="B47" s="7" t="str">
        <f>IF(1&gt;=10,('Testes estatísticos'!$D$33+'Testes estatísticos'!$D$24)/2,"")</f>
        <v/>
      </c>
      <c r="C47" s="7" t="str">
        <f>IF(2&gt;=10,('Testes estatísticos'!$D$33+'Testes estatísticos'!$D$25)/2,"")</f>
        <v/>
      </c>
      <c r="D47" s="7" t="str">
        <f>IF(3&gt;=10,('Testes estatísticos'!$D$33+'Testes estatísticos'!$D$26)/2,"")</f>
        <v/>
      </c>
      <c r="E47" s="7" t="str">
        <f>IF(4&gt;=10,('Testes estatísticos'!$D$33+'Testes estatísticos'!$D$27)/2,"")</f>
        <v/>
      </c>
      <c r="F47" s="7" t="str">
        <f>IF(5&gt;=10,('Testes estatísticos'!$D$33+'Testes estatísticos'!$D$28)/2,"")</f>
        <v/>
      </c>
      <c r="G47" s="7" t="str">
        <f>IF(6&gt;=10,('Testes estatísticos'!$D$33+'Testes estatísticos'!$D$29)/2,"")</f>
        <v/>
      </c>
      <c r="H47" s="7" t="str">
        <f>IF(7&gt;=10,('Testes estatísticos'!$D$33+'Testes estatísticos'!$D$30)/2,"")</f>
        <v/>
      </c>
      <c r="I47" s="7" t="str">
        <f>IF(8&gt;=10,('Testes estatísticos'!$D$33+'Testes estatísticos'!$D$31)/2,"")</f>
        <v/>
      </c>
      <c r="J47" s="7" t="str">
        <f>IF(9&gt;=10,('Testes estatísticos'!$D$33+'Testes estatísticos'!$D$32)/2,"")</f>
        <v/>
      </c>
      <c r="K47" s="7">
        <f>IF(10&gt;=10,('Testes estatísticos'!$D$33+'Testes estatísticos'!$D$33)/2,"")</f>
        <v>-2.283253000000002</v>
      </c>
      <c r="L47" s="7">
        <f>IF(11&gt;=10,('Testes estatísticos'!$D$33+'Testes estatísticos'!$D$34)/2,"")</f>
        <v>-1.5539910000000035</v>
      </c>
      <c r="M47" s="7">
        <f>IF(12&gt;=10,('Testes estatísticos'!$D$33+'Testes estatísticos'!$D$35)/2,"")</f>
        <v>-2.8675370000000022</v>
      </c>
      <c r="N47" s="7">
        <f>IF(13&gt;=10,('Testes estatísticos'!$D$33+'Testes estatísticos'!$D$36)/2,"")</f>
        <v>-3.2099314999999997</v>
      </c>
      <c r="O47" s="7">
        <f>IF(14&gt;=10,('Testes estatísticos'!$D$33+'Testes estatísticos'!$D$37)/2,"")</f>
        <v>-2.1063110000000016</v>
      </c>
      <c r="P47" s="7">
        <f>IF(15&gt;=10,('Testes estatísticos'!$D$33+'Testes estatísticos'!$D$38)/2,"")</f>
        <v>-2.2718505000000029</v>
      </c>
      <c r="Q47" s="7">
        <f>IF(16&gt;=10,('Testes estatísticos'!$D$33+'Testes estatísticos'!$D$39)/2,"")</f>
        <v>0.54469549999999956</v>
      </c>
      <c r="R47" s="7">
        <f>IF(17&gt;=10,('Testes estatísticos'!$D$33+'Testes estatísticos'!$D$40)/2,"")</f>
        <v>-2.1968025000000004</v>
      </c>
      <c r="S47" s="7">
        <f>IF(18&gt;=10,('Testes estatísticos'!$D$33+'Testes estatísticos'!$D$41)/2,"")</f>
        <v>7.1141999999998262E-2</v>
      </c>
      <c r="T47" s="7">
        <f>IF(19&gt;=10,('Testes estatísticos'!$D$33+'Testes estatísticos'!$D$42)/2,"")</f>
        <v>-2.2074190000000016</v>
      </c>
      <c r="U47" s="7">
        <f>IF(20&gt;=10,('Testes estatísticos'!$D$33+'Testes estatísticos'!$D$43)/2,"")</f>
        <v>-2.1945595000000004</v>
      </c>
    </row>
    <row r="48" spans="1:21" x14ac:dyDescent="0.3">
      <c r="B48" s="7" t="str">
        <f>IF(1&gt;=11,('Testes estatísticos'!$D$34+'Testes estatísticos'!$D$24)/2,"")</f>
        <v/>
      </c>
      <c r="C48" s="7" t="str">
        <f>IF(2&gt;=11,('Testes estatísticos'!$D$34+'Testes estatísticos'!$D$25)/2,"")</f>
        <v/>
      </c>
      <c r="D48" s="7" t="str">
        <f>IF(3&gt;=11,('Testes estatísticos'!$D$34+'Testes estatísticos'!$D$26)/2,"")</f>
        <v/>
      </c>
      <c r="E48" s="7" t="str">
        <f>IF(4&gt;=11,('Testes estatísticos'!$D$34+'Testes estatísticos'!$D$27)/2,"")</f>
        <v/>
      </c>
      <c r="F48" s="7" t="str">
        <f>IF(5&gt;=11,('Testes estatísticos'!$D$34+'Testes estatísticos'!$D$28)/2,"")</f>
        <v/>
      </c>
      <c r="G48" s="7" t="str">
        <f>IF(6&gt;=11,('Testes estatísticos'!$D$34+'Testes estatísticos'!$D$29)/2,"")</f>
        <v/>
      </c>
      <c r="H48" s="7" t="str">
        <f>IF(7&gt;=11,('Testes estatísticos'!$D$34+'Testes estatísticos'!$D$30)/2,"")</f>
        <v/>
      </c>
      <c r="I48" s="7" t="str">
        <f>IF(8&gt;=11,('Testes estatísticos'!$D$34+'Testes estatísticos'!$D$31)/2,"")</f>
        <v/>
      </c>
      <c r="J48" s="7" t="str">
        <f>IF(9&gt;=11,('Testes estatísticos'!$D$34+'Testes estatísticos'!$D$32)/2,"")</f>
        <v/>
      </c>
      <c r="K48" s="7" t="str">
        <f>IF(10&gt;=11,('Testes estatísticos'!$D$34+'Testes estatísticos'!$D$33)/2,"")</f>
        <v/>
      </c>
      <c r="L48" s="7">
        <f>IF(11&gt;=11,('Testes estatísticos'!$D$34+'Testes estatísticos'!$D$34)/2,"")</f>
        <v>-0.82472900000000493</v>
      </c>
      <c r="M48" s="7">
        <f>IF(12&gt;=11,('Testes estatísticos'!$D$34+'Testes estatísticos'!$D$35)/2,"")</f>
        <v>-2.1382750000000037</v>
      </c>
      <c r="N48" s="7">
        <f>IF(13&gt;=11,('Testes estatísticos'!$D$34+'Testes estatísticos'!$D$36)/2,"")</f>
        <v>-2.4806695000000012</v>
      </c>
      <c r="O48" s="7">
        <f>IF(14&gt;=11,('Testes estatísticos'!$D$34+'Testes estatísticos'!$D$37)/2,"")</f>
        <v>-1.3770490000000031</v>
      </c>
      <c r="P48" s="7">
        <f>IF(15&gt;=11,('Testes estatísticos'!$D$34+'Testes estatísticos'!$D$38)/2,"")</f>
        <v>-1.5425885000000044</v>
      </c>
      <c r="Q48" s="7">
        <f>IF(16&gt;=11,('Testes estatísticos'!$D$34+'Testes estatísticos'!$D$39)/2,"")</f>
        <v>1.2739574999999981</v>
      </c>
      <c r="R48" s="7">
        <f>IF(17&gt;=11,('Testes estatísticos'!$D$34+'Testes estatísticos'!$D$40)/2,"")</f>
        <v>-1.4675405000000019</v>
      </c>
      <c r="S48" s="7">
        <f>IF(18&gt;=11,('Testes estatísticos'!$D$34+'Testes estatísticos'!$D$41)/2,"")</f>
        <v>0.80040399999999678</v>
      </c>
      <c r="T48" s="7">
        <f>IF(19&gt;=11,('Testes estatísticos'!$D$34+'Testes estatísticos'!$D$42)/2,"")</f>
        <v>-1.4781570000000031</v>
      </c>
      <c r="U48" s="7">
        <f>IF(20&gt;=11,('Testes estatísticos'!$D$34+'Testes estatísticos'!$D$43)/2,"")</f>
        <v>-1.4652975000000019</v>
      </c>
    </row>
    <row r="49" spans="1:21" x14ac:dyDescent="0.3">
      <c r="B49" s="7" t="str">
        <f>IF(1&gt;=12,('Testes estatísticos'!$D$35+'Testes estatísticos'!$D$24)/2,"")</f>
        <v/>
      </c>
      <c r="C49" s="7" t="str">
        <f>IF(2&gt;=12,('Testes estatísticos'!$D$35+'Testes estatísticos'!$D$25)/2,"")</f>
        <v/>
      </c>
      <c r="D49" s="7" t="str">
        <f>IF(3&gt;=12,('Testes estatísticos'!$D$35+'Testes estatísticos'!$D$26)/2,"")</f>
        <v/>
      </c>
      <c r="E49" s="7" t="str">
        <f>IF(4&gt;=12,('Testes estatísticos'!$D$35+'Testes estatísticos'!$D$27)/2,"")</f>
        <v/>
      </c>
      <c r="F49" s="7" t="str">
        <f>IF(5&gt;=12,('Testes estatísticos'!$D$35+'Testes estatísticos'!$D$28)/2,"")</f>
        <v/>
      </c>
      <c r="G49" s="7" t="str">
        <f>IF(6&gt;=12,('Testes estatísticos'!$D$35+'Testes estatísticos'!$D$29)/2,"")</f>
        <v/>
      </c>
      <c r="H49" s="7" t="str">
        <f>IF(7&gt;=12,('Testes estatísticos'!$D$35+'Testes estatísticos'!$D$30)/2,"")</f>
        <v/>
      </c>
      <c r="I49" s="7" t="str">
        <f>IF(8&gt;=12,('Testes estatísticos'!$D$35+'Testes estatísticos'!$D$31)/2,"")</f>
        <v/>
      </c>
      <c r="J49" s="7" t="str">
        <f>IF(9&gt;=12,('Testes estatísticos'!$D$35+'Testes estatísticos'!$D$32)/2,"")</f>
        <v/>
      </c>
      <c r="K49" s="7" t="str">
        <f>IF(10&gt;=12,('Testes estatísticos'!$D$35+'Testes estatísticos'!$D$33)/2,"")</f>
        <v/>
      </c>
      <c r="L49" s="7" t="str">
        <f>IF(11&gt;=12,('Testes estatísticos'!$D$35+'Testes estatísticos'!$D$34)/2,"")</f>
        <v/>
      </c>
      <c r="M49" s="7">
        <f>IF(12&gt;=12,('Testes estatísticos'!$D$35+'Testes estatísticos'!$D$35)/2,"")</f>
        <v>-3.4518210000000025</v>
      </c>
      <c r="N49" s="7">
        <f>IF(13&gt;=12,('Testes estatísticos'!$D$35+'Testes estatísticos'!$D$36)/2,"")</f>
        <v>-3.7942155</v>
      </c>
      <c r="O49" s="7">
        <f>IF(14&gt;=12,('Testes estatísticos'!$D$35+'Testes estatísticos'!$D$37)/2,"")</f>
        <v>-2.6905950000000018</v>
      </c>
      <c r="P49" s="7">
        <f>IF(15&gt;=12,('Testes estatísticos'!$D$35+'Testes estatísticos'!$D$38)/2,"")</f>
        <v>-2.8561345000000031</v>
      </c>
      <c r="Q49" s="7">
        <f>IF(16&gt;=12,('Testes estatísticos'!$D$35+'Testes estatísticos'!$D$39)/2,"")</f>
        <v>-3.9588500000000693E-2</v>
      </c>
      <c r="R49" s="7">
        <f>IF(17&gt;=12,('Testes estatísticos'!$D$35+'Testes estatísticos'!$D$40)/2,"")</f>
        <v>-2.7810865000000007</v>
      </c>
      <c r="S49" s="7">
        <f>IF(18&gt;=12,('Testes estatísticos'!$D$35+'Testes estatísticos'!$D$41)/2,"")</f>
        <v>-0.51314200000000199</v>
      </c>
      <c r="T49" s="7">
        <f>IF(19&gt;=12,('Testes estatísticos'!$D$35+'Testes estatísticos'!$D$42)/2,"")</f>
        <v>-2.7917030000000018</v>
      </c>
      <c r="U49" s="7">
        <f>IF(20&gt;=12,('Testes estatísticos'!$D$35+'Testes estatísticos'!$D$43)/2,"")</f>
        <v>-2.7788435000000007</v>
      </c>
    </row>
    <row r="50" spans="1:21" x14ac:dyDescent="0.3">
      <c r="B50" s="7" t="str">
        <f>IF(1&gt;=13,('Testes estatísticos'!$D$36+'Testes estatísticos'!$D$24)/2,"")</f>
        <v/>
      </c>
      <c r="C50" s="7" t="str">
        <f>IF(2&gt;=13,('Testes estatísticos'!$D$36+'Testes estatísticos'!$D$25)/2,"")</f>
        <v/>
      </c>
      <c r="D50" s="7" t="str">
        <f>IF(3&gt;=13,('Testes estatísticos'!$D$36+'Testes estatísticos'!$D$26)/2,"")</f>
        <v/>
      </c>
      <c r="E50" s="7" t="str">
        <f>IF(4&gt;=13,('Testes estatísticos'!$D$36+'Testes estatísticos'!$D$27)/2,"")</f>
        <v/>
      </c>
      <c r="F50" s="7" t="str">
        <f>IF(5&gt;=13,('Testes estatísticos'!$D$36+'Testes estatísticos'!$D$28)/2,"")</f>
        <v/>
      </c>
      <c r="G50" s="7" t="str">
        <f>IF(6&gt;=13,('Testes estatísticos'!$D$36+'Testes estatísticos'!$D$29)/2,"")</f>
        <v/>
      </c>
      <c r="H50" s="7" t="str">
        <f>IF(7&gt;=13,('Testes estatísticos'!$D$36+'Testes estatísticos'!$D$30)/2,"")</f>
        <v/>
      </c>
      <c r="I50" s="7" t="str">
        <f>IF(8&gt;=13,('Testes estatísticos'!$D$36+'Testes estatísticos'!$D$31)/2,"")</f>
        <v/>
      </c>
      <c r="J50" s="7" t="str">
        <f>IF(9&gt;=13,('Testes estatísticos'!$D$36+'Testes estatísticos'!$D$32)/2,"")</f>
        <v/>
      </c>
      <c r="K50" s="7" t="str">
        <f>IF(10&gt;=13,('Testes estatísticos'!$D$36+'Testes estatísticos'!$D$33)/2,"")</f>
        <v/>
      </c>
      <c r="L50" s="7" t="str">
        <f>IF(11&gt;=13,('Testes estatísticos'!$D$36+'Testes estatísticos'!$D$34)/2,"")</f>
        <v/>
      </c>
      <c r="M50" s="7" t="str">
        <f>IF(12&gt;=13,('Testes estatísticos'!$D$36+'Testes estatísticos'!$D$35)/2,"")</f>
        <v/>
      </c>
      <c r="N50" s="7">
        <f>IF(13&gt;=13,('Testes estatísticos'!$D$36+'Testes estatísticos'!$D$36)/2,"")</f>
        <v>-4.1366099999999975</v>
      </c>
      <c r="O50" s="7">
        <f>IF(14&gt;=13,('Testes estatísticos'!$D$36+'Testes estatísticos'!$D$37)/2,"")</f>
        <v>-3.0329894999999993</v>
      </c>
      <c r="P50" s="7">
        <f>IF(15&gt;=13,('Testes estatísticos'!$D$36+'Testes estatísticos'!$D$38)/2,"")</f>
        <v>-3.1985290000000006</v>
      </c>
      <c r="Q50" s="7">
        <f>IF(16&gt;=13,('Testes estatísticos'!$D$36+'Testes estatísticos'!$D$39)/2,"")</f>
        <v>-0.38198299999999819</v>
      </c>
      <c r="R50" s="7">
        <f>IF(17&gt;=13,('Testes estatísticos'!$D$36+'Testes estatísticos'!$D$40)/2,"")</f>
        <v>-3.1234809999999982</v>
      </c>
      <c r="S50" s="7">
        <f>IF(18&gt;=13,('Testes estatísticos'!$D$36+'Testes estatísticos'!$D$41)/2,"")</f>
        <v>-0.85553649999999948</v>
      </c>
      <c r="T50" s="7">
        <f>IF(19&gt;=13,('Testes estatísticos'!$D$36+'Testes estatísticos'!$D$42)/2,"")</f>
        <v>-3.1340974999999993</v>
      </c>
      <c r="U50" s="7">
        <f>IF(20&gt;=13,('Testes estatísticos'!$D$36+'Testes estatísticos'!$D$43)/2,"")</f>
        <v>-3.1212379999999982</v>
      </c>
    </row>
    <row r="51" spans="1:21" x14ac:dyDescent="0.3">
      <c r="B51" s="7" t="str">
        <f>IF(1&gt;=14,('Testes estatísticos'!$D$37+'Testes estatísticos'!$D$24)/2,"")</f>
        <v/>
      </c>
      <c r="C51" s="7" t="str">
        <f>IF(2&gt;=14,('Testes estatísticos'!$D$37+'Testes estatísticos'!$D$25)/2,"")</f>
        <v/>
      </c>
      <c r="D51" s="7" t="str">
        <f>IF(3&gt;=14,('Testes estatísticos'!$D$37+'Testes estatísticos'!$D$26)/2,"")</f>
        <v/>
      </c>
      <c r="E51" s="7" t="str">
        <f>IF(4&gt;=14,('Testes estatísticos'!$D$37+'Testes estatísticos'!$D$27)/2,"")</f>
        <v/>
      </c>
      <c r="F51" s="7" t="str">
        <f>IF(5&gt;=14,('Testes estatísticos'!$D$37+'Testes estatísticos'!$D$28)/2,"")</f>
        <v/>
      </c>
      <c r="G51" s="7" t="str">
        <f>IF(6&gt;=14,('Testes estatísticos'!$D$37+'Testes estatísticos'!$D$29)/2,"")</f>
        <v/>
      </c>
      <c r="H51" s="7" t="str">
        <f>IF(7&gt;=14,('Testes estatísticos'!$D$37+'Testes estatísticos'!$D$30)/2,"")</f>
        <v/>
      </c>
      <c r="I51" s="7" t="str">
        <f>IF(8&gt;=14,('Testes estatísticos'!$D$37+'Testes estatísticos'!$D$31)/2,"")</f>
        <v/>
      </c>
      <c r="J51" s="7" t="str">
        <f>IF(9&gt;=14,('Testes estatísticos'!$D$37+'Testes estatísticos'!$D$32)/2,"")</f>
        <v/>
      </c>
      <c r="K51" s="7" t="str">
        <f>IF(10&gt;=14,('Testes estatísticos'!$D$37+'Testes estatísticos'!$D$33)/2,"")</f>
        <v/>
      </c>
      <c r="L51" s="7" t="str">
        <f>IF(11&gt;=14,('Testes estatísticos'!$D$37+'Testes estatísticos'!$D$34)/2,"")</f>
        <v/>
      </c>
      <c r="M51" s="7" t="str">
        <f>IF(12&gt;=14,('Testes estatísticos'!$D$37+'Testes estatísticos'!$D$35)/2,"")</f>
        <v/>
      </c>
      <c r="N51" s="7" t="str">
        <f>IF(13&gt;=14,('Testes estatísticos'!$D$37+'Testes estatísticos'!$D$36)/2,"")</f>
        <v/>
      </c>
      <c r="O51" s="7">
        <f>IF(14&gt;=14,('Testes estatísticos'!$D$37+'Testes estatísticos'!$D$37)/2,"")</f>
        <v>-1.9293690000000012</v>
      </c>
      <c r="P51" s="7">
        <f>IF(15&gt;=14,('Testes estatísticos'!$D$37+'Testes estatísticos'!$D$38)/2,"")</f>
        <v>-2.0949085000000025</v>
      </c>
      <c r="Q51" s="7">
        <f>IF(16&gt;=14,('Testes estatísticos'!$D$37+'Testes estatísticos'!$D$39)/2,"")</f>
        <v>0.72163749999999993</v>
      </c>
      <c r="R51" s="7">
        <f>IF(17&gt;=14,('Testes estatísticos'!$D$37+'Testes estatísticos'!$D$40)/2,"")</f>
        <v>-2.0198605000000001</v>
      </c>
      <c r="S51" s="7">
        <f>IF(18&gt;=14,('Testes estatísticos'!$D$37+'Testes estatísticos'!$D$41)/2,"")</f>
        <v>0.24808399999999864</v>
      </c>
      <c r="T51" s="7">
        <f>IF(19&gt;=14,('Testes estatísticos'!$D$37+'Testes estatísticos'!$D$42)/2,"")</f>
        <v>-2.0304770000000012</v>
      </c>
      <c r="U51" s="7">
        <f>IF(20&gt;=14,('Testes estatísticos'!$D$37+'Testes estatísticos'!$D$43)/2,"")</f>
        <v>-2.0176175000000001</v>
      </c>
    </row>
    <row r="52" spans="1:21" x14ac:dyDescent="0.3">
      <c r="B52" s="7" t="str">
        <f>IF(1&gt;=15,('Testes estatísticos'!$D$38+'Testes estatísticos'!$D$24)/2,"")</f>
        <v/>
      </c>
      <c r="C52" s="7" t="str">
        <f>IF(2&gt;=15,('Testes estatísticos'!$D$38+'Testes estatísticos'!$D$25)/2,"")</f>
        <v/>
      </c>
      <c r="D52" s="7" t="str">
        <f>IF(3&gt;=15,('Testes estatísticos'!$D$38+'Testes estatísticos'!$D$26)/2,"")</f>
        <v/>
      </c>
      <c r="E52" s="7" t="str">
        <f>IF(4&gt;=15,('Testes estatísticos'!$D$38+'Testes estatísticos'!$D$27)/2,"")</f>
        <v/>
      </c>
      <c r="F52" s="7" t="str">
        <f>IF(5&gt;=15,('Testes estatísticos'!$D$38+'Testes estatísticos'!$D$28)/2,"")</f>
        <v/>
      </c>
      <c r="G52" s="7" t="str">
        <f>IF(6&gt;=15,('Testes estatísticos'!$D$38+'Testes estatísticos'!$D$29)/2,"")</f>
        <v/>
      </c>
      <c r="H52" s="7" t="str">
        <f>IF(7&gt;=15,('Testes estatísticos'!$D$38+'Testes estatísticos'!$D$30)/2,"")</f>
        <v/>
      </c>
      <c r="I52" s="7" t="str">
        <f>IF(8&gt;=15,('Testes estatísticos'!$D$38+'Testes estatísticos'!$D$31)/2,"")</f>
        <v/>
      </c>
      <c r="J52" s="7" t="str">
        <f>IF(9&gt;=15,('Testes estatísticos'!$D$38+'Testes estatísticos'!$D$32)/2,"")</f>
        <v/>
      </c>
      <c r="K52" s="7" t="str">
        <f>IF(10&gt;=15,('Testes estatísticos'!$D$38+'Testes estatísticos'!$D$33)/2,"")</f>
        <v/>
      </c>
      <c r="L52" s="7" t="str">
        <f>IF(11&gt;=15,('Testes estatísticos'!$D$38+'Testes estatísticos'!$D$34)/2,"")</f>
        <v/>
      </c>
      <c r="M52" s="7" t="str">
        <f>IF(12&gt;=15,('Testes estatísticos'!$D$38+'Testes estatísticos'!$D$35)/2,"")</f>
        <v/>
      </c>
      <c r="N52" s="7" t="str">
        <f>IF(13&gt;=15,('Testes estatísticos'!$D$38+'Testes estatísticos'!$D$36)/2,"")</f>
        <v/>
      </c>
      <c r="O52" s="7" t="str">
        <f>IF(14&gt;=15,('Testes estatísticos'!$D$38+'Testes estatísticos'!$D$37)/2,"")</f>
        <v/>
      </c>
      <c r="P52" s="7">
        <f>IF(15&gt;=15,('Testes estatísticos'!$D$38+'Testes estatísticos'!$D$38)/2,"")</f>
        <v>-2.2604480000000038</v>
      </c>
      <c r="Q52" s="7">
        <f>IF(16&gt;=15,('Testes estatísticos'!$D$38+'Testes estatísticos'!$D$39)/2,"")</f>
        <v>0.55609799999999865</v>
      </c>
      <c r="R52" s="7">
        <f>IF(17&gt;=15,('Testes estatísticos'!$D$38+'Testes estatísticos'!$D$40)/2,"")</f>
        <v>-2.1854000000000013</v>
      </c>
      <c r="S52" s="7">
        <f>IF(18&gt;=15,('Testes estatísticos'!$D$38+'Testes estatísticos'!$D$41)/2,"")</f>
        <v>8.2544499999997356E-2</v>
      </c>
      <c r="T52" s="7">
        <f>IF(19&gt;=15,('Testes estatísticos'!$D$38+'Testes estatísticos'!$D$42)/2,"")</f>
        <v>-2.1960165000000025</v>
      </c>
      <c r="U52" s="7">
        <f>IF(20&gt;=15,('Testes estatísticos'!$D$38+'Testes estatísticos'!$D$43)/2,"")</f>
        <v>-2.1831570000000013</v>
      </c>
    </row>
    <row r="53" spans="1:21" x14ac:dyDescent="0.3">
      <c r="B53" s="7" t="str">
        <f>IF(1&gt;=16,('Testes estatísticos'!$D$39+'Testes estatísticos'!$D$24)/2,"")</f>
        <v/>
      </c>
      <c r="C53" s="7" t="str">
        <f>IF(2&gt;=16,('Testes estatísticos'!$D$39+'Testes estatísticos'!$D$25)/2,"")</f>
        <v/>
      </c>
      <c r="D53" s="7" t="str">
        <f>IF(3&gt;=16,('Testes estatísticos'!$D$39+'Testes estatísticos'!$D$26)/2,"")</f>
        <v/>
      </c>
      <c r="E53" s="7" t="str">
        <f>IF(4&gt;=16,('Testes estatísticos'!$D$39+'Testes estatísticos'!$D$27)/2,"")</f>
        <v/>
      </c>
      <c r="F53" s="7" t="str">
        <f>IF(5&gt;=16,('Testes estatísticos'!$D$39+'Testes estatísticos'!$D$28)/2,"")</f>
        <v/>
      </c>
      <c r="G53" s="7" t="str">
        <f>IF(6&gt;=16,('Testes estatísticos'!$D$39+'Testes estatísticos'!$D$29)/2,"")</f>
        <v/>
      </c>
      <c r="H53" s="7" t="str">
        <f>IF(7&gt;=16,('Testes estatísticos'!$D$39+'Testes estatísticos'!$D$30)/2,"")</f>
        <v/>
      </c>
      <c r="I53" s="7" t="str">
        <f>IF(8&gt;=16,('Testes estatísticos'!$D$39+'Testes estatísticos'!$D$31)/2,"")</f>
        <v/>
      </c>
      <c r="J53" s="7" t="str">
        <f>IF(9&gt;=16,('Testes estatísticos'!$D$39+'Testes estatísticos'!$D$32)/2,"")</f>
        <v/>
      </c>
      <c r="K53" s="7" t="str">
        <f>IF(10&gt;=16,('Testes estatísticos'!$D$39+'Testes estatísticos'!$D$33)/2,"")</f>
        <v/>
      </c>
      <c r="L53" s="7" t="str">
        <f>IF(11&gt;=16,('Testes estatísticos'!$D$39+'Testes estatísticos'!$D$34)/2,"")</f>
        <v/>
      </c>
      <c r="M53" s="7" t="str">
        <f>IF(12&gt;=16,('Testes estatísticos'!$D$39+'Testes estatísticos'!$D$35)/2,"")</f>
        <v/>
      </c>
      <c r="N53" s="7" t="str">
        <f>IF(13&gt;=16,('Testes estatísticos'!$D$39+'Testes estatísticos'!$D$36)/2,"")</f>
        <v/>
      </c>
      <c r="O53" s="7" t="str">
        <f>IF(14&gt;=16,('Testes estatísticos'!$D$39+'Testes estatísticos'!$D$37)/2,"")</f>
        <v/>
      </c>
      <c r="P53" s="7" t="str">
        <f>IF(15&gt;=16,('Testes estatísticos'!$D$39+'Testes estatísticos'!$D$38)/2,"")</f>
        <v/>
      </c>
      <c r="Q53" s="7">
        <f>IF(16&gt;=16,('Testes estatísticos'!$D$39+'Testes estatísticos'!$D$39)/2,"")</f>
        <v>3.3726440000000011</v>
      </c>
      <c r="R53" s="7">
        <f>IF(17&gt;=16,('Testes estatísticos'!$D$39+'Testes estatísticos'!$D$40)/2,"")</f>
        <v>0.6311460000000011</v>
      </c>
      <c r="S53" s="7">
        <f>IF(18&gt;=16,('Testes estatísticos'!$D$39+'Testes estatísticos'!$D$41)/2,"")</f>
        <v>2.8990904999999998</v>
      </c>
      <c r="T53" s="7">
        <f>IF(19&gt;=16,('Testes estatísticos'!$D$39+'Testes estatísticos'!$D$42)/2,"")</f>
        <v>0.62052949999999996</v>
      </c>
      <c r="U53" s="7">
        <f>IF(20&gt;=16,('Testes estatísticos'!$D$39+'Testes estatísticos'!$D$43)/2,"")</f>
        <v>0.63338900000000109</v>
      </c>
    </row>
    <row r="54" spans="1:21" x14ac:dyDescent="0.3">
      <c r="B54" s="7" t="str">
        <f>IF(1&gt;=17,('Testes estatísticos'!$D$40+'Testes estatísticos'!$D$24)/2,"")</f>
        <v/>
      </c>
      <c r="C54" s="7" t="str">
        <f>IF(2&gt;=17,('Testes estatísticos'!$D$40+'Testes estatísticos'!$D$25)/2,"")</f>
        <v/>
      </c>
      <c r="D54" s="7" t="str">
        <f>IF(3&gt;=17,('Testes estatísticos'!$D$40+'Testes estatísticos'!$D$26)/2,"")</f>
        <v/>
      </c>
      <c r="E54" s="7" t="str">
        <f>IF(4&gt;=17,('Testes estatísticos'!$D$40+'Testes estatísticos'!$D$27)/2,"")</f>
        <v/>
      </c>
      <c r="F54" s="7" t="str">
        <f>IF(5&gt;=17,('Testes estatísticos'!$D$40+'Testes estatísticos'!$D$28)/2,"")</f>
        <v/>
      </c>
      <c r="G54" s="7" t="str">
        <f>IF(6&gt;=17,('Testes estatísticos'!$D$40+'Testes estatísticos'!$D$29)/2,"")</f>
        <v/>
      </c>
      <c r="H54" s="7" t="str">
        <f>IF(7&gt;=17,('Testes estatísticos'!$D$40+'Testes estatísticos'!$D$30)/2,"")</f>
        <v/>
      </c>
      <c r="I54" s="7" t="str">
        <f>IF(8&gt;=17,('Testes estatísticos'!$D$40+'Testes estatísticos'!$D$31)/2,"")</f>
        <v/>
      </c>
      <c r="J54" s="7" t="str">
        <f>IF(9&gt;=17,('Testes estatísticos'!$D$40+'Testes estatísticos'!$D$32)/2,"")</f>
        <v/>
      </c>
      <c r="K54" s="7" t="str">
        <f>IF(10&gt;=17,('Testes estatísticos'!$D$40+'Testes estatísticos'!$D$33)/2,"")</f>
        <v/>
      </c>
      <c r="L54" s="7" t="str">
        <f>IF(11&gt;=17,('Testes estatísticos'!$D$40+'Testes estatísticos'!$D$34)/2,"")</f>
        <v/>
      </c>
      <c r="M54" s="7" t="str">
        <f>IF(12&gt;=17,('Testes estatísticos'!$D$40+'Testes estatísticos'!$D$35)/2,"")</f>
        <v/>
      </c>
      <c r="N54" s="7" t="str">
        <f>IF(13&gt;=17,('Testes estatísticos'!$D$40+'Testes estatísticos'!$D$36)/2,"")</f>
        <v/>
      </c>
      <c r="O54" s="7" t="str">
        <f>IF(14&gt;=17,('Testes estatísticos'!$D$40+'Testes estatísticos'!$D$37)/2,"")</f>
        <v/>
      </c>
      <c r="P54" s="7" t="str">
        <f>IF(15&gt;=17,('Testes estatísticos'!$D$40+'Testes estatísticos'!$D$38)/2,"")</f>
        <v/>
      </c>
      <c r="Q54" s="7" t="str">
        <f>IF(16&gt;=17,('Testes estatísticos'!$D$40+'Testes estatísticos'!$D$39)/2,"")</f>
        <v/>
      </c>
      <c r="R54" s="7">
        <f>IF(17&gt;=17,('Testes estatísticos'!$D$40+'Testes estatísticos'!$D$40)/2,"")</f>
        <v>-2.1103519999999989</v>
      </c>
      <c r="S54" s="7">
        <f>IF(18&gt;=17,('Testes estatísticos'!$D$40+'Testes estatísticos'!$D$41)/2,"")</f>
        <v>0.1575924999999998</v>
      </c>
      <c r="T54" s="7">
        <f>IF(19&gt;=17,('Testes estatísticos'!$D$40+'Testes estatísticos'!$D$42)/2,"")</f>
        <v>-2.1209685</v>
      </c>
      <c r="U54" s="7">
        <f>IF(20&gt;=17,('Testes estatísticos'!$D$40+'Testes estatísticos'!$D$43)/2,"")</f>
        <v>-2.1081089999999989</v>
      </c>
    </row>
    <row r="55" spans="1:21" x14ac:dyDescent="0.3">
      <c r="B55" s="7" t="str">
        <f>IF(1&gt;=18,('Testes estatísticos'!$D$41+'Testes estatísticos'!$D$24)/2,"")</f>
        <v/>
      </c>
      <c r="C55" s="7" t="str">
        <f>IF(2&gt;=18,('Testes estatísticos'!$D$41+'Testes estatísticos'!$D$25)/2,"")</f>
        <v/>
      </c>
      <c r="D55" s="7" t="str">
        <f>IF(3&gt;=18,('Testes estatísticos'!$D$41+'Testes estatísticos'!$D$26)/2,"")</f>
        <v/>
      </c>
      <c r="E55" s="7" t="str">
        <f>IF(4&gt;=18,('Testes estatísticos'!$D$41+'Testes estatísticos'!$D$27)/2,"")</f>
        <v/>
      </c>
      <c r="F55" s="7" t="str">
        <f>IF(5&gt;=18,('Testes estatísticos'!$D$41+'Testes estatísticos'!$D$28)/2,"")</f>
        <v/>
      </c>
      <c r="G55" s="7" t="str">
        <f>IF(6&gt;=18,('Testes estatísticos'!$D$41+'Testes estatísticos'!$D$29)/2,"")</f>
        <v/>
      </c>
      <c r="H55" s="7" t="str">
        <f>IF(7&gt;=18,('Testes estatísticos'!$D$41+'Testes estatísticos'!$D$30)/2,"")</f>
        <v/>
      </c>
      <c r="I55" s="7" t="str">
        <f>IF(8&gt;=18,('Testes estatísticos'!$D$41+'Testes estatísticos'!$D$31)/2,"")</f>
        <v/>
      </c>
      <c r="J55" s="7" t="str">
        <f>IF(9&gt;=18,('Testes estatísticos'!$D$41+'Testes estatísticos'!$D$32)/2,"")</f>
        <v/>
      </c>
      <c r="K55" s="7" t="str">
        <f>IF(10&gt;=18,('Testes estatísticos'!$D$41+'Testes estatísticos'!$D$33)/2,"")</f>
        <v/>
      </c>
      <c r="L55" s="7" t="str">
        <f>IF(11&gt;=18,('Testes estatísticos'!$D$41+'Testes estatísticos'!$D$34)/2,"")</f>
        <v/>
      </c>
      <c r="M55" s="7" t="str">
        <f>IF(12&gt;=18,('Testes estatísticos'!$D$41+'Testes estatísticos'!$D$35)/2,"")</f>
        <v/>
      </c>
      <c r="N55" s="7" t="str">
        <f>IF(13&gt;=18,('Testes estatísticos'!$D$41+'Testes estatísticos'!$D$36)/2,"")</f>
        <v/>
      </c>
      <c r="O55" s="7" t="str">
        <f>IF(14&gt;=18,('Testes estatísticos'!$D$41+'Testes estatísticos'!$D$37)/2,"")</f>
        <v/>
      </c>
      <c r="P55" s="7" t="str">
        <f>IF(15&gt;=18,('Testes estatísticos'!$D$41+'Testes estatísticos'!$D$38)/2,"")</f>
        <v/>
      </c>
      <c r="Q55" s="7" t="str">
        <f>IF(16&gt;=18,('Testes estatísticos'!$D$41+'Testes estatísticos'!$D$39)/2,"")</f>
        <v/>
      </c>
      <c r="R55" s="7" t="str">
        <f>IF(17&gt;=18,('Testes estatísticos'!$D$41+'Testes estatísticos'!$D$40)/2,"")</f>
        <v/>
      </c>
      <c r="S55" s="7">
        <f>IF(18&gt;=18,('Testes estatísticos'!$D$41+'Testes estatísticos'!$D$41)/2,"")</f>
        <v>2.4255369999999985</v>
      </c>
      <c r="T55" s="7">
        <f>IF(19&gt;=18,('Testes estatísticos'!$D$41+'Testes estatísticos'!$D$42)/2,"")</f>
        <v>0.14697599999999866</v>
      </c>
      <c r="U55" s="7">
        <f>IF(20&gt;=18,('Testes estatísticos'!$D$41+'Testes estatísticos'!$D$43)/2,"")</f>
        <v>0.1598354999999998</v>
      </c>
    </row>
    <row r="56" spans="1:21" x14ac:dyDescent="0.3">
      <c r="B56" s="7" t="str">
        <f>IF(1&gt;=19,('Testes estatísticos'!$D$42+'Testes estatísticos'!$D$24)/2,"")</f>
        <v/>
      </c>
      <c r="C56" s="7" t="str">
        <f>IF(2&gt;=19,('Testes estatísticos'!$D$42+'Testes estatísticos'!$D$25)/2,"")</f>
        <v/>
      </c>
      <c r="D56" s="7" t="str">
        <f>IF(3&gt;=19,('Testes estatísticos'!$D$42+'Testes estatísticos'!$D$26)/2,"")</f>
        <v/>
      </c>
      <c r="E56" s="7" t="str">
        <f>IF(4&gt;=19,('Testes estatísticos'!$D$42+'Testes estatísticos'!$D$27)/2,"")</f>
        <v/>
      </c>
      <c r="F56" s="7" t="str">
        <f>IF(5&gt;=19,('Testes estatísticos'!$D$42+'Testes estatísticos'!$D$28)/2,"")</f>
        <v/>
      </c>
      <c r="G56" s="7" t="str">
        <f>IF(6&gt;=19,('Testes estatísticos'!$D$42+'Testes estatísticos'!$D$29)/2,"")</f>
        <v/>
      </c>
      <c r="H56" s="7" t="str">
        <f>IF(7&gt;=19,('Testes estatísticos'!$D$42+'Testes estatísticos'!$D$30)/2,"")</f>
        <v/>
      </c>
      <c r="I56" s="7" t="str">
        <f>IF(8&gt;=19,('Testes estatísticos'!$D$42+'Testes estatísticos'!$D$31)/2,"")</f>
        <v/>
      </c>
      <c r="J56" s="7" t="str">
        <f>IF(9&gt;=19,('Testes estatísticos'!$D$42+'Testes estatísticos'!$D$32)/2,"")</f>
        <v/>
      </c>
      <c r="K56" s="7" t="str">
        <f>IF(10&gt;=19,('Testes estatísticos'!$D$42+'Testes estatísticos'!$D$33)/2,"")</f>
        <v/>
      </c>
      <c r="L56" s="7" t="str">
        <f>IF(11&gt;=19,('Testes estatísticos'!$D$42+'Testes estatísticos'!$D$34)/2,"")</f>
        <v/>
      </c>
      <c r="M56" s="7" t="str">
        <f>IF(12&gt;=19,('Testes estatísticos'!$D$42+'Testes estatísticos'!$D$35)/2,"")</f>
        <v/>
      </c>
      <c r="N56" s="7" t="str">
        <f>IF(13&gt;=19,('Testes estatísticos'!$D$42+'Testes estatísticos'!$D$36)/2,"")</f>
        <v/>
      </c>
      <c r="O56" s="7" t="str">
        <f>IF(14&gt;=19,('Testes estatísticos'!$D$42+'Testes estatísticos'!$D$37)/2,"")</f>
        <v/>
      </c>
      <c r="P56" s="7" t="str">
        <f>IF(15&gt;=19,('Testes estatísticos'!$D$42+'Testes estatísticos'!$D$38)/2,"")</f>
        <v/>
      </c>
      <c r="Q56" s="7" t="str">
        <f>IF(16&gt;=19,('Testes estatísticos'!$D$42+'Testes estatísticos'!$D$39)/2,"")</f>
        <v/>
      </c>
      <c r="R56" s="7" t="str">
        <f>IF(17&gt;=19,('Testes estatísticos'!$D$42+'Testes estatísticos'!$D$40)/2,"")</f>
        <v/>
      </c>
      <c r="S56" s="7" t="str">
        <f>IF(18&gt;=19,('Testes estatísticos'!$D$42+'Testes estatísticos'!$D$41)/2,"")</f>
        <v/>
      </c>
      <c r="T56" s="7">
        <f>IF(19&gt;=19,('Testes estatísticos'!$D$42+'Testes estatísticos'!$D$42)/2,"")</f>
        <v>-2.1315850000000012</v>
      </c>
      <c r="U56" s="7">
        <f>IF(20&gt;=19,('Testes estatísticos'!$D$42+'Testes estatísticos'!$D$43)/2,"")</f>
        <v>-2.1187255</v>
      </c>
    </row>
    <row r="57" spans="1:21" x14ac:dyDescent="0.3">
      <c r="B57" s="7" t="str">
        <f>IF(1&gt;=20,('Testes estatísticos'!$D$43+'Testes estatísticos'!$D$24)/2,"")</f>
        <v/>
      </c>
      <c r="C57" s="7" t="str">
        <f>IF(2&gt;=20,('Testes estatísticos'!$D$43+'Testes estatísticos'!$D$25)/2,"")</f>
        <v/>
      </c>
      <c r="D57" s="7" t="str">
        <f>IF(3&gt;=20,('Testes estatísticos'!$D$43+'Testes estatísticos'!$D$26)/2,"")</f>
        <v/>
      </c>
      <c r="E57" s="7" t="str">
        <f>IF(4&gt;=20,('Testes estatísticos'!$D$43+'Testes estatísticos'!$D$27)/2,"")</f>
        <v/>
      </c>
      <c r="F57" s="7" t="str">
        <f>IF(5&gt;=20,('Testes estatísticos'!$D$43+'Testes estatísticos'!$D$28)/2,"")</f>
        <v/>
      </c>
      <c r="G57" s="7" t="str">
        <f>IF(6&gt;=20,('Testes estatísticos'!$D$43+'Testes estatísticos'!$D$29)/2,"")</f>
        <v/>
      </c>
      <c r="H57" s="7" t="str">
        <f>IF(7&gt;=20,('Testes estatísticos'!$D$43+'Testes estatísticos'!$D$30)/2,"")</f>
        <v/>
      </c>
      <c r="I57" s="7" t="str">
        <f>IF(8&gt;=20,('Testes estatísticos'!$D$43+'Testes estatísticos'!$D$31)/2,"")</f>
        <v/>
      </c>
      <c r="J57" s="7" t="str">
        <f>IF(9&gt;=20,('Testes estatísticos'!$D$43+'Testes estatísticos'!$D$32)/2,"")</f>
        <v/>
      </c>
      <c r="K57" s="7" t="str">
        <f>IF(10&gt;=20,('Testes estatísticos'!$D$43+'Testes estatísticos'!$D$33)/2,"")</f>
        <v/>
      </c>
      <c r="L57" s="7" t="str">
        <f>IF(11&gt;=20,('Testes estatísticos'!$D$43+'Testes estatísticos'!$D$34)/2,"")</f>
        <v/>
      </c>
      <c r="M57" s="7" t="str">
        <f>IF(12&gt;=20,('Testes estatísticos'!$D$43+'Testes estatísticos'!$D$35)/2,"")</f>
        <v/>
      </c>
      <c r="N57" s="7" t="str">
        <f>IF(13&gt;=20,('Testes estatísticos'!$D$43+'Testes estatísticos'!$D$36)/2,"")</f>
        <v/>
      </c>
      <c r="O57" s="7" t="str">
        <f>IF(14&gt;=20,('Testes estatísticos'!$D$43+'Testes estatísticos'!$D$37)/2,"")</f>
        <v/>
      </c>
      <c r="P57" s="7" t="str">
        <f>IF(15&gt;=20,('Testes estatísticos'!$D$43+'Testes estatísticos'!$D$38)/2,"")</f>
        <v/>
      </c>
      <c r="Q57" s="7" t="str">
        <f>IF(16&gt;=20,('Testes estatísticos'!$D$43+'Testes estatísticos'!$D$39)/2,"")</f>
        <v/>
      </c>
      <c r="R57" s="7" t="str">
        <f>IF(17&gt;=20,('Testes estatísticos'!$D$43+'Testes estatísticos'!$D$40)/2,"")</f>
        <v/>
      </c>
      <c r="S57" s="7" t="str">
        <f>IF(18&gt;=20,('Testes estatísticos'!$D$43+'Testes estatísticos'!$D$41)/2,"")</f>
        <v/>
      </c>
      <c r="T57" s="7" t="str">
        <f>IF(19&gt;=20,('Testes estatísticos'!$D$43+'Testes estatísticos'!$D$42)/2,"")</f>
        <v/>
      </c>
      <c r="U57" s="7">
        <f>IF(20&gt;=20,('Testes estatísticos'!$D$43+'Testes estatísticos'!$D$43)/2,"")</f>
        <v>-2.1058659999999989</v>
      </c>
    </row>
    <row r="60" spans="1:21" x14ac:dyDescent="0.3">
      <c r="A60" s="35" t="s">
        <v>339</v>
      </c>
    </row>
    <row r="61" spans="1:21" x14ac:dyDescent="0.3">
      <c r="B61" s="7">
        <f>IF(1&gt;=1,('Testes estatísticos'!$D$44+'Testes estatísticos'!$D$44)/2,"")</f>
        <v>-4.3798540000000017</v>
      </c>
      <c r="C61" s="7">
        <f>IF(2&gt;=1,('Testes estatísticos'!$D$44+'Testes estatísticos'!$D$45)/2,"")</f>
        <v>-0.40492750000000299</v>
      </c>
      <c r="D61" s="7">
        <f>IF(3&gt;=1,('Testes estatísticos'!$D$44+'Testes estatísticos'!$D$46)/2,"")</f>
        <v>-2.9108669999999996</v>
      </c>
      <c r="E61" s="7">
        <f>IF(4&gt;=1,('Testes estatísticos'!$D$44+'Testes estatísticos'!$D$47)/2,"")</f>
        <v>-1.7685080000000006</v>
      </c>
      <c r="F61" s="7">
        <f>IF(5&gt;=1,('Testes estatísticos'!$D$44+'Testes estatísticos'!$D$48)/2,"")</f>
        <v>-2.8174220000000005</v>
      </c>
      <c r="G61" s="7">
        <f>IF(6&gt;=1,('Testes estatísticos'!$D$44+'Testes estatísticos'!$D$49)/2,"")</f>
        <v>-3.3485450000000014</v>
      </c>
      <c r="H61" s="7">
        <f>IF(7&gt;=1,('Testes estatísticos'!$D$44+'Testes estatísticos'!$D$50)/2,"")</f>
        <v>-2.5194665000000001</v>
      </c>
      <c r="I61" s="7">
        <f>IF(8&gt;=1,('Testes estatísticos'!$D$44+'Testes estatísticos'!$D$51)/2,"")</f>
        <v>-5.5506625000000014</v>
      </c>
      <c r="J61" s="7">
        <f>IF(9&gt;=1,('Testes estatísticos'!$D$44+'Testes estatísticos'!$D$52)/2,"")</f>
        <v>-0.4804895000000009</v>
      </c>
      <c r="K61" s="7">
        <f>IF(10&gt;=1,('Testes estatísticos'!$D$44+'Testes estatísticos'!$D$53)/2,"")</f>
        <v>-4.9165205000000007</v>
      </c>
      <c r="L61" s="7">
        <f>IF(11&gt;=1,('Testes estatísticos'!$D$44+'Testes estatísticos'!$D$54)/2,"")</f>
        <v>-3.6567299999999996</v>
      </c>
      <c r="M61" s="7">
        <f>IF(12&gt;=1,('Testes estatísticos'!$D$44+'Testes estatísticos'!$D$55)/2,"")</f>
        <v>-2.0315654999999992</v>
      </c>
      <c r="N61" s="7">
        <f>IF(13&gt;=1,('Testes estatísticos'!$D$44+'Testes estatísticos'!$D$56)/2,"")</f>
        <v>-1.9870960000000011</v>
      </c>
      <c r="O61" s="7">
        <f>IF(14&gt;=1,('Testes estatísticos'!$D$44+'Testes estatísticos'!$D$57)/2,"")</f>
        <v>-5.3953120000000006</v>
      </c>
      <c r="P61" s="7">
        <f>IF(15&gt;=1,('Testes estatísticos'!$D$44+'Testes estatísticos'!$D$58)/2,"")</f>
        <v>-1.9865494999999989</v>
      </c>
      <c r="Q61" s="7">
        <f>IF(16&gt;=1,('Testes estatísticos'!$D$44+'Testes estatísticos'!$D$59)/2,"")</f>
        <v>-2.9061920000000008</v>
      </c>
      <c r="R61" s="7">
        <f>IF(17&gt;=1,('Testes estatísticos'!$D$44+'Testes estatísticos'!$D$60)/2,"")</f>
        <v>0.18947899999999862</v>
      </c>
    </row>
    <row r="62" spans="1:21" x14ac:dyDescent="0.3">
      <c r="B62" s="7" t="str">
        <f>IF(1&gt;=2,('Testes estatísticos'!$D$45+'Testes estatísticos'!$D$44)/2,"")</f>
        <v/>
      </c>
      <c r="C62" s="7">
        <f>IF(2&gt;=2,('Testes estatísticos'!$D$45+'Testes estatísticos'!$D$45)/2,"")</f>
        <v>3.5699989999999957</v>
      </c>
      <c r="D62" s="7">
        <f>IF(3&gt;=2,('Testes estatísticos'!$D$45+'Testes estatísticos'!$D$46)/2,"")</f>
        <v>1.064059499999999</v>
      </c>
      <c r="E62" s="7">
        <f>IF(4&gt;=2,('Testes estatísticos'!$D$45+'Testes estatísticos'!$D$47)/2,"")</f>
        <v>2.2064184999999981</v>
      </c>
      <c r="F62" s="7">
        <f>IF(5&gt;=2,('Testes estatísticos'!$D$45+'Testes estatísticos'!$D$48)/2,"")</f>
        <v>1.1575044999999982</v>
      </c>
      <c r="G62" s="7">
        <f>IF(6&gt;=2,('Testes estatísticos'!$D$45+'Testes estatísticos'!$D$49)/2,"")</f>
        <v>0.62638149999999726</v>
      </c>
      <c r="H62" s="7">
        <f>IF(7&gt;=2,('Testes estatísticos'!$D$45+'Testes estatísticos'!$D$50)/2,"")</f>
        <v>1.4554599999999986</v>
      </c>
      <c r="I62" s="7">
        <f>IF(8&gt;=2,('Testes estatísticos'!$D$45+'Testes estatísticos'!$D$51)/2,"")</f>
        <v>-1.5757360000000027</v>
      </c>
      <c r="J62" s="7">
        <f>IF(9&gt;=2,('Testes estatísticos'!$D$45+'Testes estatísticos'!$D$52)/2,"")</f>
        <v>3.4944369999999978</v>
      </c>
      <c r="K62" s="7">
        <f>IF(10&gt;=2,('Testes estatísticos'!$D$45+'Testes estatísticos'!$D$53)/2,"")</f>
        <v>-0.94159400000000204</v>
      </c>
      <c r="L62" s="7">
        <f>IF(11&gt;=2,('Testes estatísticos'!$D$45+'Testes estatísticos'!$D$54)/2,"")</f>
        <v>0.31819649999999911</v>
      </c>
      <c r="M62" s="7">
        <f>IF(12&gt;=2,('Testes estatísticos'!$D$45+'Testes estatísticos'!$D$55)/2,"")</f>
        <v>1.9433609999999994</v>
      </c>
      <c r="N62" s="7">
        <f>IF(13&gt;=2,('Testes estatísticos'!$D$45+'Testes estatísticos'!$D$56)/2,"")</f>
        <v>1.9878304999999976</v>
      </c>
      <c r="O62" s="7">
        <f>IF(14&gt;=2,('Testes estatísticos'!$D$45+'Testes estatísticos'!$D$57)/2,"")</f>
        <v>-1.4203855000000019</v>
      </c>
      <c r="P62" s="7">
        <f>IF(15&gt;=2,('Testes estatísticos'!$D$45+'Testes estatísticos'!$D$58)/2,"")</f>
        <v>1.9883769999999998</v>
      </c>
      <c r="Q62" s="7">
        <f>IF(16&gt;=2,('Testes estatísticos'!$D$45+'Testes estatísticos'!$D$59)/2,"")</f>
        <v>1.0687344999999979</v>
      </c>
      <c r="R62" s="7">
        <f>IF(17&gt;=2,('Testes estatísticos'!$D$45+'Testes estatísticos'!$D$60)/2,"")</f>
        <v>4.1644054999999973</v>
      </c>
    </row>
    <row r="63" spans="1:21" x14ac:dyDescent="0.3">
      <c r="B63" s="7" t="str">
        <f>IF(1&gt;=3,('Testes estatísticos'!$D$46+'Testes estatísticos'!$D$44)/2,"")</f>
        <v/>
      </c>
      <c r="C63" s="7" t="str">
        <f>IF(2&gt;=3,('Testes estatísticos'!$D$46+'Testes estatísticos'!$D$45)/2,"")</f>
        <v/>
      </c>
      <c r="D63" s="7">
        <f>IF(3&gt;=3,('Testes estatísticos'!$D$46+'Testes estatísticos'!$D$46)/2,"")</f>
        <v>-1.4418799999999976</v>
      </c>
      <c r="E63" s="7">
        <f>IF(4&gt;=3,('Testes estatísticos'!$D$46+'Testes estatísticos'!$D$47)/2,"")</f>
        <v>-0.29952099999999859</v>
      </c>
      <c r="F63" s="7">
        <f>IF(5&gt;=3,('Testes estatísticos'!$D$46+'Testes estatísticos'!$D$48)/2,"")</f>
        <v>-1.3484349999999985</v>
      </c>
      <c r="G63" s="7">
        <f>IF(6&gt;=3,('Testes estatísticos'!$D$46+'Testes estatísticos'!$D$49)/2,"")</f>
        <v>-1.8795579999999994</v>
      </c>
      <c r="H63" s="7">
        <f>IF(7&gt;=3,('Testes estatísticos'!$D$46+'Testes estatísticos'!$D$50)/2,"")</f>
        <v>-1.050479499999998</v>
      </c>
      <c r="I63" s="7">
        <f>IF(8&gt;=3,('Testes estatísticos'!$D$46+'Testes estatísticos'!$D$51)/2,"")</f>
        <v>-4.0816754999999993</v>
      </c>
      <c r="J63" s="7">
        <f>IF(9&gt;=3,('Testes estatísticos'!$D$46+'Testes estatísticos'!$D$52)/2,"")</f>
        <v>0.98849750000000114</v>
      </c>
      <c r="K63" s="7">
        <f>IF(10&gt;=3,('Testes estatísticos'!$D$46+'Testes estatísticos'!$D$53)/2,"")</f>
        <v>-3.4475334999999987</v>
      </c>
      <c r="L63" s="7">
        <f>IF(11&gt;=3,('Testes estatísticos'!$D$46+'Testes estatísticos'!$D$54)/2,"")</f>
        <v>-2.1877429999999976</v>
      </c>
      <c r="M63" s="7">
        <f>IF(12&gt;=3,('Testes estatísticos'!$D$46+'Testes estatísticos'!$D$55)/2,"")</f>
        <v>-0.56257849999999721</v>
      </c>
      <c r="N63" s="7">
        <f>IF(13&gt;=3,('Testes estatísticos'!$D$46+'Testes estatísticos'!$D$56)/2,"")</f>
        <v>-0.51810899999999904</v>
      </c>
      <c r="O63" s="7">
        <f>IF(14&gt;=3,('Testes estatísticos'!$D$46+'Testes estatísticos'!$D$57)/2,"")</f>
        <v>-3.9263249999999985</v>
      </c>
      <c r="P63" s="7">
        <f>IF(15&gt;=3,('Testes estatísticos'!$D$46+'Testes estatísticos'!$D$58)/2,"")</f>
        <v>-0.51756249999999682</v>
      </c>
      <c r="Q63" s="7">
        <f>IF(16&gt;=3,('Testes estatísticos'!$D$46+'Testes estatísticos'!$D$59)/2,"")</f>
        <v>-1.4372049999999987</v>
      </c>
      <c r="R63" s="7">
        <f>IF(17&gt;=3,('Testes estatísticos'!$D$46+'Testes estatísticos'!$D$60)/2,"")</f>
        <v>1.6584660000000007</v>
      </c>
    </row>
    <row r="64" spans="1:21" x14ac:dyDescent="0.3">
      <c r="B64" s="7" t="str">
        <f>IF(1&gt;=4,('Testes estatísticos'!$D$47+'Testes estatísticos'!$D$44)/2,"")</f>
        <v/>
      </c>
      <c r="C64" s="7" t="str">
        <f>IF(2&gt;=4,('Testes estatísticos'!$D$47+'Testes estatísticos'!$D$45)/2,"")</f>
        <v/>
      </c>
      <c r="D64" s="7" t="str">
        <f>IF(3&gt;=4,('Testes estatísticos'!$D$47+'Testes estatísticos'!$D$46)/2,"")</f>
        <v/>
      </c>
      <c r="E64" s="7">
        <f>IF(4&gt;=4,('Testes estatísticos'!$D$47+'Testes estatísticos'!$D$47)/2,"")</f>
        <v>0.84283800000000042</v>
      </c>
      <c r="F64" s="7">
        <f>IF(5&gt;=4,('Testes estatísticos'!$D$47+'Testes estatísticos'!$D$48)/2,"")</f>
        <v>-0.20607599999999948</v>
      </c>
      <c r="G64" s="7">
        <f>IF(6&gt;=4,('Testes estatísticos'!$D$47+'Testes estatísticos'!$D$49)/2,"")</f>
        <v>-0.73719900000000038</v>
      </c>
      <c r="H64" s="7">
        <f>IF(7&gt;=4,('Testes estatísticos'!$D$47+'Testes estatísticos'!$D$50)/2,"")</f>
        <v>9.1879500000001002E-2</v>
      </c>
      <c r="I64" s="7">
        <f>IF(8&gt;=4,('Testes estatísticos'!$D$47+'Testes estatísticos'!$D$51)/2,"")</f>
        <v>-2.9393165000000003</v>
      </c>
      <c r="J64" s="7">
        <f>IF(9&gt;=4,('Testes estatísticos'!$D$47+'Testes estatísticos'!$D$52)/2,"")</f>
        <v>2.1308565000000002</v>
      </c>
      <c r="K64" s="7">
        <f>IF(10&gt;=4,('Testes estatísticos'!$D$47+'Testes estatísticos'!$D$53)/2,"")</f>
        <v>-2.3051744999999997</v>
      </c>
      <c r="L64" s="7">
        <f>IF(11&gt;=4,('Testes estatísticos'!$D$47+'Testes estatísticos'!$D$54)/2,"")</f>
        <v>-1.0453839999999985</v>
      </c>
      <c r="M64" s="7">
        <f>IF(12&gt;=4,('Testes estatísticos'!$D$47+'Testes estatísticos'!$D$55)/2,"")</f>
        <v>0.57978050000000181</v>
      </c>
      <c r="N64" s="7">
        <f>IF(13&gt;=4,('Testes estatísticos'!$D$47+'Testes estatísticos'!$D$56)/2,"")</f>
        <v>0.62424999999999997</v>
      </c>
      <c r="O64" s="7">
        <f>IF(14&gt;=4,('Testes estatísticos'!$D$47+'Testes estatísticos'!$D$57)/2,"")</f>
        <v>-2.7839659999999995</v>
      </c>
      <c r="P64" s="7">
        <f>IF(15&gt;=4,('Testes estatísticos'!$D$47+'Testes estatísticos'!$D$58)/2,"")</f>
        <v>0.6247965000000022</v>
      </c>
      <c r="Q64" s="7">
        <f>IF(16&gt;=4,('Testes estatísticos'!$D$47+'Testes estatísticos'!$D$59)/2,"")</f>
        <v>-0.29484599999999972</v>
      </c>
      <c r="R64" s="7">
        <f>IF(17&gt;=4,('Testes estatísticos'!$D$47+'Testes estatísticos'!$D$60)/2,"")</f>
        <v>2.8008249999999997</v>
      </c>
    </row>
    <row r="65" spans="1:18" x14ac:dyDescent="0.3">
      <c r="B65" s="7" t="str">
        <f>IF(1&gt;=5,('Testes estatísticos'!$D$48+'Testes estatísticos'!$D$44)/2,"")</f>
        <v/>
      </c>
      <c r="C65" s="7" t="str">
        <f>IF(2&gt;=5,('Testes estatísticos'!$D$48+'Testes estatísticos'!$D$45)/2,"")</f>
        <v/>
      </c>
      <c r="D65" s="7" t="str">
        <f>IF(3&gt;=5,('Testes estatísticos'!$D$48+'Testes estatísticos'!$D$46)/2,"")</f>
        <v/>
      </c>
      <c r="E65" s="7" t="str">
        <f>IF(4&gt;=5,('Testes estatísticos'!$D$48+'Testes estatísticos'!$D$47)/2,"")</f>
        <v/>
      </c>
      <c r="F65" s="7">
        <f>IF(5&gt;=5,('Testes estatísticos'!$D$48+'Testes estatísticos'!$D$48)/2,"")</f>
        <v>-1.2549899999999994</v>
      </c>
      <c r="G65" s="7">
        <f>IF(6&gt;=5,('Testes estatísticos'!$D$48+'Testes estatísticos'!$D$49)/2,"")</f>
        <v>-1.7861130000000003</v>
      </c>
      <c r="H65" s="7">
        <f>IF(7&gt;=5,('Testes estatísticos'!$D$48+'Testes estatísticos'!$D$50)/2,"")</f>
        <v>-0.9570344999999989</v>
      </c>
      <c r="I65" s="7">
        <f>IF(8&gt;=5,('Testes estatísticos'!$D$48+'Testes estatísticos'!$D$51)/2,"")</f>
        <v>-3.9882305000000002</v>
      </c>
      <c r="J65" s="7">
        <f>IF(9&gt;=5,('Testes estatísticos'!$D$48+'Testes estatísticos'!$D$52)/2,"")</f>
        <v>1.0819425000000003</v>
      </c>
      <c r="K65" s="7">
        <f>IF(10&gt;=5,('Testes estatísticos'!$D$48+'Testes estatísticos'!$D$53)/2,"")</f>
        <v>-3.3540884999999996</v>
      </c>
      <c r="L65" s="7">
        <f>IF(11&gt;=5,('Testes estatísticos'!$D$48+'Testes estatísticos'!$D$54)/2,"")</f>
        <v>-2.0942979999999984</v>
      </c>
      <c r="M65" s="7">
        <f>IF(12&gt;=5,('Testes estatísticos'!$D$48+'Testes estatísticos'!$D$55)/2,"")</f>
        <v>-0.46913349999999809</v>
      </c>
      <c r="N65" s="7">
        <f>IF(13&gt;=5,('Testes estatísticos'!$D$48+'Testes estatísticos'!$D$56)/2,"")</f>
        <v>-0.42466399999999993</v>
      </c>
      <c r="O65" s="7">
        <f>IF(14&gt;=5,('Testes estatísticos'!$D$48+'Testes estatísticos'!$D$57)/2,"")</f>
        <v>-3.8328799999999994</v>
      </c>
      <c r="P65" s="7">
        <f>IF(15&gt;=5,('Testes estatísticos'!$D$48+'Testes estatísticos'!$D$58)/2,"")</f>
        <v>-0.4241174999999977</v>
      </c>
      <c r="Q65" s="7">
        <f>IF(16&gt;=5,('Testes estatísticos'!$D$48+'Testes estatísticos'!$D$59)/2,"")</f>
        <v>-1.3437599999999996</v>
      </c>
      <c r="R65" s="7">
        <f>IF(17&gt;=5,('Testes estatísticos'!$D$48+'Testes estatísticos'!$D$60)/2,"")</f>
        <v>1.7519109999999998</v>
      </c>
    </row>
    <row r="66" spans="1:18" x14ac:dyDescent="0.3">
      <c r="B66" s="7" t="str">
        <f>IF(1&gt;=6,('Testes estatísticos'!$D$49+'Testes estatísticos'!$D$44)/2,"")</f>
        <v/>
      </c>
      <c r="C66" s="7" t="str">
        <f>IF(2&gt;=6,('Testes estatísticos'!$D$49+'Testes estatísticos'!$D$45)/2,"")</f>
        <v/>
      </c>
      <c r="D66" s="7" t="str">
        <f>IF(3&gt;=6,('Testes estatísticos'!$D$49+'Testes estatísticos'!$D$46)/2,"")</f>
        <v/>
      </c>
      <c r="E66" s="7" t="str">
        <f>IF(4&gt;=6,('Testes estatísticos'!$D$49+'Testes estatísticos'!$D$47)/2,"")</f>
        <v/>
      </c>
      <c r="F66" s="7" t="str">
        <f>IF(5&gt;=6,('Testes estatísticos'!$D$49+'Testes estatísticos'!$D$48)/2,"")</f>
        <v/>
      </c>
      <c r="G66" s="7">
        <f>IF(6&gt;=6,('Testes estatísticos'!$D$49+'Testes estatísticos'!$D$49)/2,"")</f>
        <v>-2.3172360000000012</v>
      </c>
      <c r="H66" s="7">
        <f>IF(7&gt;=6,('Testes estatísticos'!$D$49+'Testes estatísticos'!$D$50)/2,"")</f>
        <v>-1.4881574999999998</v>
      </c>
      <c r="I66" s="7">
        <f>IF(8&gt;=6,('Testes estatísticos'!$D$49+'Testes estatísticos'!$D$51)/2,"")</f>
        <v>-4.5193535000000011</v>
      </c>
      <c r="J66" s="7">
        <f>IF(9&gt;=6,('Testes estatísticos'!$D$49+'Testes estatísticos'!$D$52)/2,"")</f>
        <v>0.55081949999999935</v>
      </c>
      <c r="K66" s="7">
        <f>IF(10&gt;=6,('Testes estatísticos'!$D$49+'Testes estatísticos'!$D$53)/2,"")</f>
        <v>-3.8852115000000005</v>
      </c>
      <c r="L66" s="7">
        <f>IF(11&gt;=6,('Testes estatísticos'!$D$49+'Testes estatísticos'!$D$54)/2,"")</f>
        <v>-2.6254209999999993</v>
      </c>
      <c r="M66" s="7">
        <f>IF(12&gt;=6,('Testes estatísticos'!$D$49+'Testes estatísticos'!$D$55)/2,"")</f>
        <v>-1.000256499999999</v>
      </c>
      <c r="N66" s="7">
        <f>IF(13&gt;=6,('Testes estatísticos'!$D$49+'Testes estatísticos'!$D$56)/2,"")</f>
        <v>-0.95578700000000083</v>
      </c>
      <c r="O66" s="7">
        <f>IF(14&gt;=6,('Testes estatísticos'!$D$49+'Testes estatísticos'!$D$57)/2,"")</f>
        <v>-4.3640030000000003</v>
      </c>
      <c r="P66" s="7">
        <f>IF(15&gt;=6,('Testes estatísticos'!$D$49+'Testes estatísticos'!$D$58)/2,"")</f>
        <v>-0.9552404999999986</v>
      </c>
      <c r="Q66" s="7">
        <f>IF(16&gt;=6,('Testes estatísticos'!$D$49+'Testes estatísticos'!$D$59)/2,"")</f>
        <v>-1.8748830000000005</v>
      </c>
      <c r="R66" s="7">
        <f>IF(17&gt;=6,('Testes estatísticos'!$D$49+'Testes estatísticos'!$D$60)/2,"")</f>
        <v>1.2207879999999989</v>
      </c>
    </row>
    <row r="67" spans="1:18" x14ac:dyDescent="0.3">
      <c r="B67" s="7" t="str">
        <f>IF(1&gt;=7,('Testes estatísticos'!$D$50+'Testes estatísticos'!$D$44)/2,"")</f>
        <v/>
      </c>
      <c r="C67" s="7" t="str">
        <f>IF(2&gt;=7,('Testes estatísticos'!$D$50+'Testes estatísticos'!$D$45)/2,"")</f>
        <v/>
      </c>
      <c r="D67" s="7" t="str">
        <f>IF(3&gt;=7,('Testes estatísticos'!$D$50+'Testes estatísticos'!$D$46)/2,"")</f>
        <v/>
      </c>
      <c r="E67" s="7" t="str">
        <f>IF(4&gt;=7,('Testes estatísticos'!$D$50+'Testes estatísticos'!$D$47)/2,"")</f>
        <v/>
      </c>
      <c r="F67" s="7" t="str">
        <f>IF(5&gt;=7,('Testes estatísticos'!$D$50+'Testes estatísticos'!$D$48)/2,"")</f>
        <v/>
      </c>
      <c r="G67" s="7" t="str">
        <f>IF(6&gt;=7,('Testes estatísticos'!$D$50+'Testes estatísticos'!$D$49)/2,"")</f>
        <v/>
      </c>
      <c r="H67" s="7">
        <f>IF(7&gt;=7,('Testes estatísticos'!$D$50+'Testes estatísticos'!$D$50)/2,"")</f>
        <v>-0.65907899999999842</v>
      </c>
      <c r="I67" s="7">
        <f>IF(8&gt;=7,('Testes estatísticos'!$D$50+'Testes estatísticos'!$D$51)/2,"")</f>
        <v>-3.6902749999999997</v>
      </c>
      <c r="J67" s="7">
        <f>IF(9&gt;=7,('Testes estatísticos'!$D$50+'Testes estatísticos'!$D$52)/2,"")</f>
        <v>1.3798980000000007</v>
      </c>
      <c r="K67" s="7">
        <f>IF(10&gt;=7,('Testes estatísticos'!$D$50+'Testes estatísticos'!$D$53)/2,"")</f>
        <v>-3.0561329999999991</v>
      </c>
      <c r="L67" s="7">
        <f>IF(11&gt;=7,('Testes estatísticos'!$D$50+'Testes estatísticos'!$D$54)/2,"")</f>
        <v>-1.796342499999998</v>
      </c>
      <c r="M67" s="7">
        <f>IF(12&gt;=7,('Testes estatísticos'!$D$50+'Testes estatísticos'!$D$55)/2,"")</f>
        <v>-0.17117799999999761</v>
      </c>
      <c r="N67" s="7">
        <f>IF(13&gt;=7,('Testes estatísticos'!$D$50+'Testes estatísticos'!$D$56)/2,"")</f>
        <v>-0.12670849999999945</v>
      </c>
      <c r="O67" s="7">
        <f>IF(14&gt;=7,('Testes estatísticos'!$D$50+'Testes estatísticos'!$D$57)/2,"")</f>
        <v>-3.5349244999999989</v>
      </c>
      <c r="P67" s="7">
        <f>IF(15&gt;=7,('Testes estatísticos'!$D$50+'Testes estatísticos'!$D$58)/2,"")</f>
        <v>-0.12616199999999722</v>
      </c>
      <c r="Q67" s="7">
        <f>IF(16&gt;=7,('Testes estatísticos'!$D$50+'Testes estatísticos'!$D$59)/2,"")</f>
        <v>-1.0458044999999991</v>
      </c>
      <c r="R67" s="7">
        <f>IF(17&gt;=7,('Testes estatísticos'!$D$50+'Testes estatísticos'!$D$60)/2,"")</f>
        <v>2.0498665000000003</v>
      </c>
    </row>
    <row r="68" spans="1:18" x14ac:dyDescent="0.3">
      <c r="B68" s="7" t="str">
        <f>IF(1&gt;=8,('Testes estatísticos'!$D$51+'Testes estatísticos'!$D$44)/2,"")</f>
        <v/>
      </c>
      <c r="C68" s="7" t="str">
        <f>IF(2&gt;=8,('Testes estatísticos'!$D$51+'Testes estatísticos'!$D$45)/2,"")</f>
        <v/>
      </c>
      <c r="D68" s="7" t="str">
        <f>IF(3&gt;=8,('Testes estatísticos'!$D$51+'Testes estatísticos'!$D$46)/2,"")</f>
        <v/>
      </c>
      <c r="E68" s="7" t="str">
        <f>IF(4&gt;=8,('Testes estatísticos'!$D$51+'Testes estatísticos'!$D$47)/2,"")</f>
        <v/>
      </c>
      <c r="F68" s="7" t="str">
        <f>IF(5&gt;=8,('Testes estatísticos'!$D$51+'Testes estatísticos'!$D$48)/2,"")</f>
        <v/>
      </c>
      <c r="G68" s="7" t="str">
        <f>IF(6&gt;=8,('Testes estatísticos'!$D$51+'Testes estatísticos'!$D$49)/2,"")</f>
        <v/>
      </c>
      <c r="H68" s="7" t="str">
        <f>IF(7&gt;=8,('Testes estatísticos'!$D$51+'Testes estatísticos'!$D$50)/2,"")</f>
        <v/>
      </c>
      <c r="I68" s="7">
        <f>IF(8&gt;=8,('Testes estatísticos'!$D$51+'Testes estatísticos'!$D$51)/2,"")</f>
        <v>-6.7214710000000011</v>
      </c>
      <c r="J68" s="7">
        <f>IF(9&gt;=8,('Testes estatísticos'!$D$51+'Testes estatísticos'!$D$52)/2,"")</f>
        <v>-1.6512980000000006</v>
      </c>
      <c r="K68" s="7">
        <f>IF(10&gt;=8,('Testes estatísticos'!$D$51+'Testes estatísticos'!$D$53)/2,"")</f>
        <v>-6.0873290000000004</v>
      </c>
      <c r="L68" s="7">
        <f>IF(11&gt;=8,('Testes estatísticos'!$D$51+'Testes estatísticos'!$D$54)/2,"")</f>
        <v>-4.8275384999999993</v>
      </c>
      <c r="M68" s="7">
        <f>IF(12&gt;=8,('Testes estatísticos'!$D$51+'Testes estatísticos'!$D$55)/2,"")</f>
        <v>-3.2023739999999989</v>
      </c>
      <c r="N68" s="7">
        <f>IF(13&gt;=8,('Testes estatísticos'!$D$51+'Testes estatísticos'!$D$56)/2,"")</f>
        <v>-3.1579045000000008</v>
      </c>
      <c r="O68" s="7">
        <f>IF(14&gt;=8,('Testes estatísticos'!$D$51+'Testes estatísticos'!$D$57)/2,"")</f>
        <v>-6.5661205000000002</v>
      </c>
      <c r="P68" s="7">
        <f>IF(15&gt;=8,('Testes estatísticos'!$D$51+'Testes estatísticos'!$D$58)/2,"")</f>
        <v>-3.1573579999999986</v>
      </c>
      <c r="Q68" s="7">
        <f>IF(16&gt;=8,('Testes estatísticos'!$D$51+'Testes estatísticos'!$D$59)/2,"")</f>
        <v>-4.0770005000000005</v>
      </c>
      <c r="R68" s="7">
        <f>IF(17&gt;=8,('Testes estatísticos'!$D$51+'Testes estatísticos'!$D$60)/2,"")</f>
        <v>-0.98132950000000108</v>
      </c>
    </row>
    <row r="69" spans="1:18" x14ac:dyDescent="0.3">
      <c r="B69" s="7" t="str">
        <f>IF(1&gt;=9,('Testes estatísticos'!$D$52+'Testes estatísticos'!$D$44)/2,"")</f>
        <v/>
      </c>
      <c r="C69" s="7" t="str">
        <f>IF(2&gt;=9,('Testes estatísticos'!$D$52+'Testes estatísticos'!$D$45)/2,"")</f>
        <v/>
      </c>
      <c r="D69" s="7" t="str">
        <f>IF(3&gt;=9,('Testes estatísticos'!$D$52+'Testes estatísticos'!$D$46)/2,"")</f>
        <v/>
      </c>
      <c r="E69" s="7" t="str">
        <f>IF(4&gt;=9,('Testes estatísticos'!$D$52+'Testes estatísticos'!$D$47)/2,"")</f>
        <v/>
      </c>
      <c r="F69" s="7" t="str">
        <f>IF(5&gt;=9,('Testes estatísticos'!$D$52+'Testes estatísticos'!$D$48)/2,"")</f>
        <v/>
      </c>
      <c r="G69" s="7" t="str">
        <f>IF(6&gt;=9,('Testes estatísticos'!$D$52+'Testes estatísticos'!$D$49)/2,"")</f>
        <v/>
      </c>
      <c r="H69" s="7" t="str">
        <f>IF(7&gt;=9,('Testes estatísticos'!$D$52+'Testes estatísticos'!$D$50)/2,"")</f>
        <v/>
      </c>
      <c r="I69" s="7" t="str">
        <f>IF(8&gt;=9,('Testes estatísticos'!$D$52+'Testes estatísticos'!$D$51)/2,"")</f>
        <v/>
      </c>
      <c r="J69" s="7">
        <f>IF(9&gt;=9,('Testes estatísticos'!$D$52+'Testes estatísticos'!$D$52)/2,"")</f>
        <v>3.4188749999999999</v>
      </c>
      <c r="K69" s="7">
        <f>IF(10&gt;=9,('Testes estatísticos'!$D$52+'Testes estatísticos'!$D$53)/2,"")</f>
        <v>-1.0171559999999999</v>
      </c>
      <c r="L69" s="7">
        <f>IF(11&gt;=9,('Testes estatísticos'!$D$52+'Testes estatísticos'!$D$54)/2,"")</f>
        <v>0.2426345000000012</v>
      </c>
      <c r="M69" s="7">
        <f>IF(12&gt;=9,('Testes estatísticos'!$D$52+'Testes estatísticos'!$D$55)/2,"")</f>
        <v>1.8677990000000015</v>
      </c>
      <c r="N69" s="7">
        <f>IF(13&gt;=9,('Testes estatísticos'!$D$52+'Testes estatísticos'!$D$56)/2,"")</f>
        <v>1.9122684999999997</v>
      </c>
      <c r="O69" s="7">
        <f>IF(14&gt;=9,('Testes estatísticos'!$D$52+'Testes estatísticos'!$D$57)/2,"")</f>
        <v>-1.4959474999999998</v>
      </c>
      <c r="P69" s="7">
        <f>IF(15&gt;=9,('Testes estatísticos'!$D$52+'Testes estatísticos'!$D$58)/2,"")</f>
        <v>1.9128150000000019</v>
      </c>
      <c r="Q69" s="7">
        <f>IF(16&gt;=9,('Testes estatísticos'!$D$52+'Testes estatísticos'!$D$59)/2,"")</f>
        <v>0.99317250000000001</v>
      </c>
      <c r="R69" s="7">
        <f>IF(17&gt;=9,('Testes estatísticos'!$D$52+'Testes estatísticos'!$D$60)/2,"")</f>
        <v>4.0888434999999994</v>
      </c>
    </row>
    <row r="70" spans="1:18" x14ac:dyDescent="0.3">
      <c r="B70" s="7" t="str">
        <f>IF(1&gt;=10,('Testes estatísticos'!$D$53+'Testes estatísticos'!$D$44)/2,"")</f>
        <v/>
      </c>
      <c r="C70" s="7" t="str">
        <f>IF(2&gt;=10,('Testes estatísticos'!$D$53+'Testes estatísticos'!$D$45)/2,"")</f>
        <v/>
      </c>
      <c r="D70" s="7" t="str">
        <f>IF(3&gt;=10,('Testes estatísticos'!$D$53+'Testes estatísticos'!$D$46)/2,"")</f>
        <v/>
      </c>
      <c r="E70" s="7" t="str">
        <f>IF(4&gt;=10,('Testes estatísticos'!$D$53+'Testes estatísticos'!$D$47)/2,"")</f>
        <v/>
      </c>
      <c r="F70" s="7" t="str">
        <f>IF(5&gt;=10,('Testes estatísticos'!$D$53+'Testes estatísticos'!$D$48)/2,"")</f>
        <v/>
      </c>
      <c r="G70" s="7" t="str">
        <f>IF(6&gt;=10,('Testes estatísticos'!$D$53+'Testes estatísticos'!$D$49)/2,"")</f>
        <v/>
      </c>
      <c r="H70" s="7" t="str">
        <f>IF(7&gt;=10,('Testes estatísticos'!$D$53+'Testes estatísticos'!$D$50)/2,"")</f>
        <v/>
      </c>
      <c r="I70" s="7" t="str">
        <f>IF(8&gt;=10,('Testes estatísticos'!$D$53+'Testes estatísticos'!$D$51)/2,"")</f>
        <v/>
      </c>
      <c r="J70" s="7" t="str">
        <f>IF(9&gt;=10,('Testes estatísticos'!$D$53+'Testes estatísticos'!$D$52)/2,"")</f>
        <v/>
      </c>
      <c r="K70" s="7">
        <f>IF(10&gt;=10,('Testes estatísticos'!$D$53+'Testes estatísticos'!$D$53)/2,"")</f>
        <v>-5.4531869999999998</v>
      </c>
      <c r="L70" s="7">
        <f>IF(11&gt;=10,('Testes estatísticos'!$D$53+'Testes estatísticos'!$D$54)/2,"")</f>
        <v>-4.1933964999999986</v>
      </c>
      <c r="M70" s="7">
        <f>IF(12&gt;=10,('Testes estatísticos'!$D$53+'Testes estatísticos'!$D$55)/2,"")</f>
        <v>-2.5682319999999983</v>
      </c>
      <c r="N70" s="7">
        <f>IF(13&gt;=10,('Testes estatísticos'!$D$53+'Testes estatísticos'!$D$56)/2,"")</f>
        <v>-2.5237625000000001</v>
      </c>
      <c r="O70" s="7">
        <f>IF(14&gt;=10,('Testes estatísticos'!$D$53+'Testes estatísticos'!$D$57)/2,"")</f>
        <v>-5.9319784999999996</v>
      </c>
      <c r="P70" s="7">
        <f>IF(15&gt;=10,('Testes estatísticos'!$D$53+'Testes estatísticos'!$D$58)/2,"")</f>
        <v>-2.5232159999999979</v>
      </c>
      <c r="Q70" s="7">
        <f>IF(16&gt;=10,('Testes estatísticos'!$D$53+'Testes estatísticos'!$D$59)/2,"")</f>
        <v>-3.4428584999999998</v>
      </c>
      <c r="R70" s="7">
        <f>IF(17&gt;=10,('Testes estatísticos'!$D$53+'Testes estatísticos'!$D$60)/2,"")</f>
        <v>-0.34718750000000043</v>
      </c>
    </row>
    <row r="71" spans="1:18" x14ac:dyDescent="0.3">
      <c r="B71" s="7" t="str">
        <f>IF(1&gt;=11,('Testes estatísticos'!$D$54+'Testes estatísticos'!$D$44)/2,"")</f>
        <v/>
      </c>
      <c r="C71" s="7" t="str">
        <f>IF(2&gt;=11,('Testes estatísticos'!$D$54+'Testes estatísticos'!$D$45)/2,"")</f>
        <v/>
      </c>
      <c r="D71" s="7" t="str">
        <f>IF(3&gt;=11,('Testes estatísticos'!$D$54+'Testes estatísticos'!$D$46)/2,"")</f>
        <v/>
      </c>
      <c r="E71" s="7" t="str">
        <f>IF(4&gt;=11,('Testes estatísticos'!$D$54+'Testes estatísticos'!$D$47)/2,"")</f>
        <v/>
      </c>
      <c r="F71" s="7" t="str">
        <f>IF(5&gt;=11,('Testes estatísticos'!$D$54+'Testes estatísticos'!$D$48)/2,"")</f>
        <v/>
      </c>
      <c r="G71" s="7" t="str">
        <f>IF(6&gt;=11,('Testes estatísticos'!$D$54+'Testes estatísticos'!$D$49)/2,"")</f>
        <v/>
      </c>
      <c r="H71" s="7" t="str">
        <f>IF(7&gt;=11,('Testes estatísticos'!$D$54+'Testes estatísticos'!$D$50)/2,"")</f>
        <v/>
      </c>
      <c r="I71" s="7" t="str">
        <f>IF(8&gt;=11,('Testes estatísticos'!$D$54+'Testes estatísticos'!$D$51)/2,"")</f>
        <v/>
      </c>
      <c r="J71" s="7" t="str">
        <f>IF(9&gt;=11,('Testes estatísticos'!$D$54+'Testes estatísticos'!$D$52)/2,"")</f>
        <v/>
      </c>
      <c r="K71" s="7" t="str">
        <f>IF(10&gt;=11,('Testes estatísticos'!$D$54+'Testes estatísticos'!$D$53)/2,"")</f>
        <v/>
      </c>
      <c r="L71" s="7">
        <f>IF(11&gt;=11,('Testes estatísticos'!$D$54+'Testes estatísticos'!$D$54)/2,"")</f>
        <v>-2.9336059999999975</v>
      </c>
      <c r="M71" s="7">
        <f>IF(12&gt;=11,('Testes estatísticos'!$D$54+'Testes estatísticos'!$D$55)/2,"")</f>
        <v>-1.3084414999999971</v>
      </c>
      <c r="N71" s="7">
        <f>IF(13&gt;=11,('Testes estatísticos'!$D$54+'Testes estatísticos'!$D$56)/2,"")</f>
        <v>-1.263971999999999</v>
      </c>
      <c r="O71" s="7">
        <f>IF(14&gt;=11,('Testes estatísticos'!$D$54+'Testes estatísticos'!$D$57)/2,"")</f>
        <v>-4.6721879999999985</v>
      </c>
      <c r="P71" s="7">
        <f>IF(15&gt;=11,('Testes estatísticos'!$D$54+'Testes estatísticos'!$D$58)/2,"")</f>
        <v>-1.2634254999999968</v>
      </c>
      <c r="Q71" s="7">
        <f>IF(16&gt;=11,('Testes estatísticos'!$D$54+'Testes estatísticos'!$D$59)/2,"")</f>
        <v>-2.1830679999999987</v>
      </c>
      <c r="R71" s="7">
        <f>IF(17&gt;=11,('Testes estatísticos'!$D$54+'Testes estatísticos'!$D$60)/2,"")</f>
        <v>0.91260300000000072</v>
      </c>
    </row>
    <row r="72" spans="1:18" x14ac:dyDescent="0.3">
      <c r="B72" s="7" t="str">
        <f>IF(1&gt;=12,('Testes estatísticos'!$D$55+'Testes estatísticos'!$D$44)/2,"")</f>
        <v/>
      </c>
      <c r="C72" s="7" t="str">
        <f>IF(2&gt;=12,('Testes estatísticos'!$D$55+'Testes estatísticos'!$D$45)/2,"")</f>
        <v/>
      </c>
      <c r="D72" s="7" t="str">
        <f>IF(3&gt;=12,('Testes estatísticos'!$D$55+'Testes estatísticos'!$D$46)/2,"")</f>
        <v/>
      </c>
      <c r="E72" s="7" t="str">
        <f>IF(4&gt;=12,('Testes estatísticos'!$D$55+'Testes estatísticos'!$D$47)/2,"")</f>
        <v/>
      </c>
      <c r="F72" s="7" t="str">
        <f>IF(5&gt;=12,('Testes estatísticos'!$D$55+'Testes estatísticos'!$D$48)/2,"")</f>
        <v/>
      </c>
      <c r="G72" s="7" t="str">
        <f>IF(6&gt;=12,('Testes estatísticos'!$D$55+'Testes estatísticos'!$D$49)/2,"")</f>
        <v/>
      </c>
      <c r="H72" s="7" t="str">
        <f>IF(7&gt;=12,('Testes estatísticos'!$D$55+'Testes estatísticos'!$D$50)/2,"")</f>
        <v/>
      </c>
      <c r="I72" s="7" t="str">
        <f>IF(8&gt;=12,('Testes estatísticos'!$D$55+'Testes estatísticos'!$D$51)/2,"")</f>
        <v/>
      </c>
      <c r="J72" s="7" t="str">
        <f>IF(9&gt;=12,('Testes estatísticos'!$D$55+'Testes estatísticos'!$D$52)/2,"")</f>
        <v/>
      </c>
      <c r="K72" s="7" t="str">
        <f>IF(10&gt;=12,('Testes estatísticos'!$D$55+'Testes estatísticos'!$D$53)/2,"")</f>
        <v/>
      </c>
      <c r="L72" s="7" t="str">
        <f>IF(11&gt;=12,('Testes estatísticos'!$D$55+'Testes estatísticos'!$D$54)/2,"")</f>
        <v/>
      </c>
      <c r="M72" s="7">
        <f>IF(12&gt;=12,('Testes estatísticos'!$D$55+'Testes estatísticos'!$D$55)/2,"")</f>
        <v>0.3167230000000032</v>
      </c>
      <c r="N72" s="7">
        <f>IF(13&gt;=12,('Testes estatísticos'!$D$55+'Testes estatísticos'!$D$56)/2,"")</f>
        <v>0.36119250000000136</v>
      </c>
      <c r="O72" s="7">
        <f>IF(14&gt;=12,('Testes estatísticos'!$D$55+'Testes estatísticos'!$D$57)/2,"")</f>
        <v>-3.0470234999999981</v>
      </c>
      <c r="P72" s="7">
        <f>IF(15&gt;=12,('Testes estatísticos'!$D$55+'Testes estatísticos'!$D$58)/2,"")</f>
        <v>0.36173900000000359</v>
      </c>
      <c r="Q72" s="7">
        <f>IF(16&gt;=12,('Testes estatísticos'!$D$55+'Testes estatísticos'!$D$59)/2,"")</f>
        <v>-0.55790349999999833</v>
      </c>
      <c r="R72" s="7">
        <f>IF(17&gt;=12,('Testes estatísticos'!$D$55+'Testes estatísticos'!$D$60)/2,"")</f>
        <v>2.5377675000000011</v>
      </c>
    </row>
    <row r="73" spans="1:18" x14ac:dyDescent="0.3">
      <c r="B73" s="7" t="str">
        <f>IF(1&gt;=13,('Testes estatísticos'!$D$56+'Testes estatísticos'!$D$44)/2,"")</f>
        <v/>
      </c>
      <c r="C73" s="7" t="str">
        <f>IF(2&gt;=13,('Testes estatísticos'!$D$56+'Testes estatísticos'!$D$45)/2,"")</f>
        <v/>
      </c>
      <c r="D73" s="7" t="str">
        <f>IF(3&gt;=13,('Testes estatísticos'!$D$56+'Testes estatísticos'!$D$46)/2,"")</f>
        <v/>
      </c>
      <c r="E73" s="7" t="str">
        <f>IF(4&gt;=13,('Testes estatísticos'!$D$56+'Testes estatísticos'!$D$47)/2,"")</f>
        <v/>
      </c>
      <c r="F73" s="7" t="str">
        <f>IF(5&gt;=13,('Testes estatísticos'!$D$56+'Testes estatísticos'!$D$48)/2,"")</f>
        <v/>
      </c>
      <c r="G73" s="7" t="str">
        <f>IF(6&gt;=13,('Testes estatísticos'!$D$56+'Testes estatísticos'!$D$49)/2,"")</f>
        <v/>
      </c>
      <c r="H73" s="7" t="str">
        <f>IF(7&gt;=13,('Testes estatísticos'!$D$56+'Testes estatísticos'!$D$50)/2,"")</f>
        <v/>
      </c>
      <c r="I73" s="7" t="str">
        <f>IF(8&gt;=13,('Testes estatísticos'!$D$56+'Testes estatísticos'!$D$51)/2,"")</f>
        <v/>
      </c>
      <c r="J73" s="7" t="str">
        <f>IF(9&gt;=13,('Testes estatísticos'!$D$56+'Testes estatísticos'!$D$52)/2,"")</f>
        <v/>
      </c>
      <c r="K73" s="7" t="str">
        <f>IF(10&gt;=13,('Testes estatísticos'!$D$56+'Testes estatísticos'!$D$53)/2,"")</f>
        <v/>
      </c>
      <c r="L73" s="7" t="str">
        <f>IF(11&gt;=13,('Testes estatísticos'!$D$56+'Testes estatísticos'!$D$54)/2,"")</f>
        <v/>
      </c>
      <c r="M73" s="7" t="str">
        <f>IF(12&gt;=13,('Testes estatísticos'!$D$56+'Testes estatísticos'!$D$55)/2,"")</f>
        <v/>
      </c>
      <c r="N73" s="7">
        <f>IF(13&gt;=13,('Testes estatísticos'!$D$56+'Testes estatísticos'!$D$56)/2,"")</f>
        <v>0.40566199999999952</v>
      </c>
      <c r="O73" s="7">
        <f>IF(14&gt;=13,('Testes estatísticos'!$D$56+'Testes estatísticos'!$D$57)/2,"")</f>
        <v>-3.0025539999999999</v>
      </c>
      <c r="P73" s="7">
        <f>IF(15&gt;=13,('Testes estatísticos'!$D$56+'Testes estatísticos'!$D$58)/2,"")</f>
        <v>0.40620850000000175</v>
      </c>
      <c r="Q73" s="7">
        <f>IF(16&gt;=13,('Testes estatísticos'!$D$56+'Testes estatísticos'!$D$59)/2,"")</f>
        <v>-0.51343400000000017</v>
      </c>
      <c r="R73" s="7">
        <f>IF(17&gt;=13,('Testes estatísticos'!$D$56+'Testes estatísticos'!$D$60)/2,"")</f>
        <v>2.5822369999999992</v>
      </c>
    </row>
    <row r="74" spans="1:18" x14ac:dyDescent="0.3">
      <c r="B74" s="7" t="str">
        <f>IF(1&gt;=14,('Testes estatísticos'!$D$57+'Testes estatísticos'!$D$44)/2,"")</f>
        <v/>
      </c>
      <c r="C74" s="7" t="str">
        <f>IF(2&gt;=14,('Testes estatísticos'!$D$57+'Testes estatísticos'!$D$45)/2,"")</f>
        <v/>
      </c>
      <c r="D74" s="7" t="str">
        <f>IF(3&gt;=14,('Testes estatísticos'!$D$57+'Testes estatísticos'!$D$46)/2,"")</f>
        <v/>
      </c>
      <c r="E74" s="7" t="str">
        <f>IF(4&gt;=14,('Testes estatísticos'!$D$57+'Testes estatísticos'!$D$47)/2,"")</f>
        <v/>
      </c>
      <c r="F74" s="7" t="str">
        <f>IF(5&gt;=14,('Testes estatísticos'!$D$57+'Testes estatísticos'!$D$48)/2,"")</f>
        <v/>
      </c>
      <c r="G74" s="7" t="str">
        <f>IF(6&gt;=14,('Testes estatísticos'!$D$57+'Testes estatísticos'!$D$49)/2,"")</f>
        <v/>
      </c>
      <c r="H74" s="7" t="str">
        <f>IF(7&gt;=14,('Testes estatísticos'!$D$57+'Testes estatísticos'!$D$50)/2,"")</f>
        <v/>
      </c>
      <c r="I74" s="7" t="str">
        <f>IF(8&gt;=14,('Testes estatísticos'!$D$57+'Testes estatísticos'!$D$51)/2,"")</f>
        <v/>
      </c>
      <c r="J74" s="7" t="str">
        <f>IF(9&gt;=14,('Testes estatísticos'!$D$57+'Testes estatísticos'!$D$52)/2,"")</f>
        <v/>
      </c>
      <c r="K74" s="7" t="str">
        <f>IF(10&gt;=14,('Testes estatísticos'!$D$57+'Testes estatísticos'!$D$53)/2,"")</f>
        <v/>
      </c>
      <c r="L74" s="7" t="str">
        <f>IF(11&gt;=14,('Testes estatísticos'!$D$57+'Testes estatísticos'!$D$54)/2,"")</f>
        <v/>
      </c>
      <c r="M74" s="7" t="str">
        <f>IF(12&gt;=14,('Testes estatísticos'!$D$57+'Testes estatísticos'!$D$55)/2,"")</f>
        <v/>
      </c>
      <c r="N74" s="7" t="str">
        <f>IF(13&gt;=14,('Testes estatísticos'!$D$57+'Testes estatísticos'!$D$56)/2,"")</f>
        <v/>
      </c>
      <c r="O74" s="7">
        <f>IF(14&gt;=14,('Testes estatísticos'!$D$57+'Testes estatísticos'!$D$57)/2,"")</f>
        <v>-6.4107699999999994</v>
      </c>
      <c r="P74" s="7">
        <f>IF(15&gt;=14,('Testes estatísticos'!$D$57+'Testes estatísticos'!$D$58)/2,"")</f>
        <v>-3.0020074999999977</v>
      </c>
      <c r="Q74" s="7">
        <f>IF(16&gt;=14,('Testes estatísticos'!$D$57+'Testes estatísticos'!$D$59)/2,"")</f>
        <v>-3.9216499999999996</v>
      </c>
      <c r="R74" s="7">
        <f>IF(17&gt;=14,('Testes estatísticos'!$D$57+'Testes estatísticos'!$D$60)/2,"")</f>
        <v>-0.82597900000000024</v>
      </c>
    </row>
    <row r="75" spans="1:18" x14ac:dyDescent="0.3">
      <c r="B75" s="7" t="str">
        <f>IF(1&gt;=15,('Testes estatísticos'!$D$58+'Testes estatísticos'!$D$44)/2,"")</f>
        <v/>
      </c>
      <c r="C75" s="7" t="str">
        <f>IF(2&gt;=15,('Testes estatísticos'!$D$58+'Testes estatísticos'!$D$45)/2,"")</f>
        <v/>
      </c>
      <c r="D75" s="7" t="str">
        <f>IF(3&gt;=15,('Testes estatísticos'!$D$58+'Testes estatísticos'!$D$46)/2,"")</f>
        <v/>
      </c>
      <c r="E75" s="7" t="str">
        <f>IF(4&gt;=15,('Testes estatísticos'!$D$58+'Testes estatísticos'!$D$47)/2,"")</f>
        <v/>
      </c>
      <c r="F75" s="7" t="str">
        <f>IF(5&gt;=15,('Testes estatísticos'!$D$58+'Testes estatísticos'!$D$48)/2,"")</f>
        <v/>
      </c>
      <c r="G75" s="7" t="str">
        <f>IF(6&gt;=15,('Testes estatísticos'!$D$58+'Testes estatísticos'!$D$49)/2,"")</f>
        <v/>
      </c>
      <c r="H75" s="7" t="str">
        <f>IF(7&gt;=15,('Testes estatísticos'!$D$58+'Testes estatísticos'!$D$50)/2,"")</f>
        <v/>
      </c>
      <c r="I75" s="7" t="str">
        <f>IF(8&gt;=15,('Testes estatísticos'!$D$58+'Testes estatísticos'!$D$51)/2,"")</f>
        <v/>
      </c>
      <c r="J75" s="7" t="str">
        <f>IF(9&gt;=15,('Testes estatísticos'!$D$58+'Testes estatísticos'!$D$52)/2,"")</f>
        <v/>
      </c>
      <c r="K75" s="7" t="str">
        <f>IF(10&gt;=15,('Testes estatísticos'!$D$58+'Testes estatísticos'!$D$53)/2,"")</f>
        <v/>
      </c>
      <c r="L75" s="7" t="str">
        <f>IF(11&gt;=15,('Testes estatísticos'!$D$58+'Testes estatísticos'!$D$54)/2,"")</f>
        <v/>
      </c>
      <c r="M75" s="7" t="str">
        <f>IF(12&gt;=15,('Testes estatísticos'!$D$58+'Testes estatísticos'!$D$55)/2,"")</f>
        <v/>
      </c>
      <c r="N75" s="7" t="str">
        <f>IF(13&gt;=15,('Testes estatísticos'!$D$58+'Testes estatísticos'!$D$56)/2,"")</f>
        <v/>
      </c>
      <c r="O75" s="7" t="str">
        <f>IF(14&gt;=15,('Testes estatísticos'!$D$58+'Testes estatísticos'!$D$57)/2,"")</f>
        <v/>
      </c>
      <c r="P75" s="7">
        <f>IF(15&gt;=15,('Testes estatísticos'!$D$58+'Testes estatísticos'!$D$58)/2,"")</f>
        <v>0.40675500000000397</v>
      </c>
      <c r="Q75" s="7">
        <f>IF(16&gt;=15,('Testes estatísticos'!$D$58+'Testes estatísticos'!$D$59)/2,"")</f>
        <v>-0.51288749999999794</v>
      </c>
      <c r="R75" s="7">
        <f>IF(17&gt;=15,('Testes estatísticos'!$D$58+'Testes estatísticos'!$D$60)/2,"")</f>
        <v>2.5827835000000015</v>
      </c>
    </row>
    <row r="76" spans="1:18" x14ac:dyDescent="0.3">
      <c r="B76" s="7" t="str">
        <f>IF(1&gt;=16,('Testes estatísticos'!$D$59+'Testes estatísticos'!$D$44)/2,"")</f>
        <v/>
      </c>
      <c r="C76" s="7" t="str">
        <f>IF(2&gt;=16,('Testes estatísticos'!$D$59+'Testes estatísticos'!$D$45)/2,"")</f>
        <v/>
      </c>
      <c r="D76" s="7" t="str">
        <f>IF(3&gt;=16,('Testes estatísticos'!$D$59+'Testes estatísticos'!$D$46)/2,"")</f>
        <v/>
      </c>
      <c r="E76" s="7" t="str">
        <f>IF(4&gt;=16,('Testes estatísticos'!$D$59+'Testes estatísticos'!$D$47)/2,"")</f>
        <v/>
      </c>
      <c r="F76" s="7" t="str">
        <f>IF(5&gt;=16,('Testes estatísticos'!$D$59+'Testes estatísticos'!$D$48)/2,"")</f>
        <v/>
      </c>
      <c r="G76" s="7" t="str">
        <f>IF(6&gt;=16,('Testes estatísticos'!$D$59+'Testes estatísticos'!$D$49)/2,"")</f>
        <v/>
      </c>
      <c r="H76" s="7" t="str">
        <f>IF(7&gt;=16,('Testes estatísticos'!$D$59+'Testes estatísticos'!$D$50)/2,"")</f>
        <v/>
      </c>
      <c r="I76" s="7" t="str">
        <f>IF(8&gt;=16,('Testes estatísticos'!$D$59+'Testes estatísticos'!$D$51)/2,"")</f>
        <v/>
      </c>
      <c r="J76" s="7" t="str">
        <f>IF(9&gt;=16,('Testes estatísticos'!$D$59+'Testes estatísticos'!$D$52)/2,"")</f>
        <v/>
      </c>
      <c r="K76" s="7" t="str">
        <f>IF(10&gt;=16,('Testes estatísticos'!$D$59+'Testes estatísticos'!$D$53)/2,"")</f>
        <v/>
      </c>
      <c r="L76" s="7" t="str">
        <f>IF(11&gt;=16,('Testes estatísticos'!$D$59+'Testes estatísticos'!$D$54)/2,"")</f>
        <v/>
      </c>
      <c r="M76" s="7" t="str">
        <f>IF(12&gt;=16,('Testes estatísticos'!$D$59+'Testes estatísticos'!$D$55)/2,"")</f>
        <v/>
      </c>
      <c r="N76" s="7" t="str">
        <f>IF(13&gt;=16,('Testes estatísticos'!$D$59+'Testes estatísticos'!$D$56)/2,"")</f>
        <v/>
      </c>
      <c r="O76" s="7" t="str">
        <f>IF(14&gt;=16,('Testes estatísticos'!$D$59+'Testes estatísticos'!$D$57)/2,"")</f>
        <v/>
      </c>
      <c r="P76" s="7" t="str">
        <f>IF(15&gt;=16,('Testes estatísticos'!$D$59+'Testes estatísticos'!$D$58)/2,"")</f>
        <v/>
      </c>
      <c r="Q76" s="7">
        <f>IF(16&gt;=16,('Testes estatísticos'!$D$59+'Testes estatísticos'!$D$59)/2,"")</f>
        <v>-1.4325299999999999</v>
      </c>
      <c r="R76" s="7">
        <f>IF(17&gt;=16,('Testes estatísticos'!$D$59+'Testes estatísticos'!$D$60)/2,"")</f>
        <v>1.6631409999999995</v>
      </c>
    </row>
    <row r="77" spans="1:18" x14ac:dyDescent="0.3">
      <c r="B77" s="7" t="str">
        <f>IF(1&gt;=17,('Testes estatísticos'!$D$60+'Testes estatísticos'!$D$44)/2,"")</f>
        <v/>
      </c>
      <c r="C77" s="7" t="str">
        <f>IF(2&gt;=17,('Testes estatísticos'!$D$60+'Testes estatísticos'!$D$45)/2,"")</f>
        <v/>
      </c>
      <c r="D77" s="7" t="str">
        <f>IF(3&gt;=17,('Testes estatísticos'!$D$60+'Testes estatísticos'!$D$46)/2,"")</f>
        <v/>
      </c>
      <c r="E77" s="7" t="str">
        <f>IF(4&gt;=17,('Testes estatísticos'!$D$60+'Testes estatísticos'!$D$47)/2,"")</f>
        <v/>
      </c>
      <c r="F77" s="7" t="str">
        <f>IF(5&gt;=17,('Testes estatísticos'!$D$60+'Testes estatísticos'!$D$48)/2,"")</f>
        <v/>
      </c>
      <c r="G77" s="7" t="str">
        <f>IF(6&gt;=17,('Testes estatísticos'!$D$60+'Testes estatísticos'!$D$49)/2,"")</f>
        <v/>
      </c>
      <c r="H77" s="7" t="str">
        <f>IF(7&gt;=17,('Testes estatísticos'!$D$60+'Testes estatísticos'!$D$50)/2,"")</f>
        <v/>
      </c>
      <c r="I77" s="7" t="str">
        <f>IF(8&gt;=17,('Testes estatísticos'!$D$60+'Testes estatísticos'!$D$51)/2,"")</f>
        <v/>
      </c>
      <c r="J77" s="7" t="str">
        <f>IF(9&gt;=17,('Testes estatísticos'!$D$60+'Testes estatísticos'!$D$52)/2,"")</f>
        <v/>
      </c>
      <c r="K77" s="7" t="str">
        <f>IF(10&gt;=17,('Testes estatísticos'!$D$60+'Testes estatísticos'!$D$53)/2,"")</f>
        <v/>
      </c>
      <c r="L77" s="7" t="str">
        <f>IF(11&gt;=17,('Testes estatísticos'!$D$60+'Testes estatísticos'!$D$54)/2,"")</f>
        <v/>
      </c>
      <c r="M77" s="7" t="str">
        <f>IF(12&gt;=17,('Testes estatísticos'!$D$60+'Testes estatísticos'!$D$55)/2,"")</f>
        <v/>
      </c>
      <c r="N77" s="7" t="str">
        <f>IF(13&gt;=17,('Testes estatísticos'!$D$60+'Testes estatísticos'!$D$56)/2,"")</f>
        <v/>
      </c>
      <c r="O77" s="7" t="str">
        <f>IF(14&gt;=17,('Testes estatísticos'!$D$60+'Testes estatísticos'!$D$57)/2,"")</f>
        <v/>
      </c>
      <c r="P77" s="7" t="str">
        <f>IF(15&gt;=17,('Testes estatísticos'!$D$60+'Testes estatísticos'!$D$58)/2,"")</f>
        <v/>
      </c>
      <c r="Q77" s="7" t="str">
        <f>IF(16&gt;=17,('Testes estatísticos'!$D$60+'Testes estatísticos'!$D$59)/2,"")</f>
        <v/>
      </c>
      <c r="R77" s="7">
        <f>IF(17&gt;=17,('Testes estatísticos'!$D$60+'Testes estatísticos'!$D$60)/2,"")</f>
        <v>4.7588119999999989</v>
      </c>
    </row>
    <row r="80" spans="1:18" x14ac:dyDescent="0.3">
      <c r="A80" s="35" t="s">
        <v>340</v>
      </c>
    </row>
    <row r="81" spans="2:17" x14ac:dyDescent="0.3">
      <c r="B81" s="7">
        <f>IF(1&gt;=1,('Testes estatísticos'!$D$61+'Testes estatísticos'!$D$61)/2,"")</f>
        <v>-0.50112499999999471</v>
      </c>
      <c r="C81" s="7">
        <f>IF(2&gt;=1,('Testes estatísticos'!$D$61+'Testes estatísticos'!$D$62)/2,"")</f>
        <v>-3.9013150000000003</v>
      </c>
      <c r="D81" s="7">
        <f>IF(3&gt;=1,('Testes estatísticos'!$D$61+'Testes estatísticos'!$D$63)/2,"")</f>
        <v>1.3645800000000037</v>
      </c>
      <c r="E81" s="7">
        <f>IF(4&gt;=1,('Testes estatísticos'!$D$61+'Testes estatísticos'!$D$64)/2,"")</f>
        <v>-4.4790324999999989</v>
      </c>
      <c r="F81" s="7">
        <f>IF(5&gt;=1,('Testes estatísticos'!$D$61+'Testes estatísticos'!$D$65)/2,"")</f>
        <v>-2.7314414999999954</v>
      </c>
      <c r="G81" s="7">
        <f>IF(6&gt;=1,('Testes estatísticos'!$D$61+'Testes estatísticos'!$D$66)/2,"")</f>
        <v>-9.638649999999771E-2</v>
      </c>
      <c r="H81" s="7">
        <f>IF(7&gt;=1,('Testes estatísticos'!$D$61+'Testes estatísticos'!$D$67)/2,"")</f>
        <v>-0.60518149999999693</v>
      </c>
      <c r="I81" s="7">
        <f>IF(8&gt;=1,('Testes estatísticos'!$D$61+'Testes estatísticos'!$D$68)/2,"")</f>
        <v>0.2941330000000022</v>
      </c>
      <c r="J81" s="7">
        <f>IF(9&gt;=1,('Testes estatísticos'!$D$61+'Testes estatísticos'!$D$69)/2,"")</f>
        <v>0.34497500000000159</v>
      </c>
      <c r="K81" s="7">
        <f>IF(10&gt;=1,('Testes estatísticos'!$D$61+'Testes estatísticos'!$D$70)/2,"")</f>
        <v>-1.8008314999999975</v>
      </c>
      <c r="L81" s="7">
        <f>IF(11&gt;=1,('Testes estatísticos'!$D$61+'Testes estatísticos'!$D$71)/2,"")</f>
        <v>-0.90497899999999731</v>
      </c>
      <c r="M81" s="7">
        <f>IF(12&gt;=1,('Testes estatísticos'!$D$61+'Testes estatísticos'!$D$72)/2,"")</f>
        <v>-3.7954379999999972</v>
      </c>
      <c r="N81" s="7">
        <f>IF(13&gt;=1,('Testes estatísticos'!$D$61+'Testes estatísticos'!$D$73)/2,"")</f>
        <v>0.86779500000000098</v>
      </c>
      <c r="O81" s="7">
        <f>IF(14&gt;=1,('Testes estatísticos'!$D$61+'Testes estatísticos'!$D$74)/2,"")</f>
        <v>1.4999770000000012</v>
      </c>
      <c r="P81" s="7">
        <f>IF(15&gt;=1,('Testes estatísticos'!$D$61+'Testes estatísticos'!$D$75)/2,"")</f>
        <v>0.49551250000000024</v>
      </c>
      <c r="Q81" s="7"/>
    </row>
    <row r="82" spans="2:17" x14ac:dyDescent="0.3">
      <c r="B82" s="7" t="str">
        <f>IF(1&gt;=2,('Testes estatísticos'!$D$62+'Testes estatísticos'!$D$61)/2,"")</f>
        <v/>
      </c>
      <c r="C82" s="7">
        <f>IF(2&gt;=2,('Testes estatísticos'!$D$62+'Testes estatísticos'!$D$62)/2,"")</f>
        <v>-7.3015050000000059</v>
      </c>
      <c r="D82" s="7">
        <f>IF(3&gt;=2,('Testes estatísticos'!$D$62+'Testes estatísticos'!$D$63)/2,"")</f>
        <v>-2.0356100000000019</v>
      </c>
      <c r="E82" s="7">
        <f>IF(4&gt;=2,('Testes estatísticos'!$D$62+'Testes estatísticos'!$D$64)/2,"")</f>
        <v>-7.8792225000000045</v>
      </c>
      <c r="F82" s="7">
        <f>IF(5&gt;=2,('Testes estatísticos'!$D$62+'Testes estatísticos'!$D$65)/2,"")</f>
        <v>-6.131631500000001</v>
      </c>
      <c r="G82" s="7">
        <f>IF(6&gt;=2,('Testes estatísticos'!$D$62+'Testes estatísticos'!$D$66)/2,"")</f>
        <v>-3.4965765000000033</v>
      </c>
      <c r="H82" s="7">
        <f>IF(7&gt;=2,('Testes estatísticos'!$D$62+'Testes estatísticos'!$D$67)/2,"")</f>
        <v>-4.0053715000000025</v>
      </c>
      <c r="I82" s="7">
        <f>IF(8&gt;=2,('Testes estatísticos'!$D$62+'Testes estatísticos'!$D$68)/2,"")</f>
        <v>-3.1060570000000034</v>
      </c>
      <c r="J82" s="7">
        <f>IF(9&gt;=2,('Testes estatísticos'!$D$62+'Testes estatísticos'!$D$69)/2,"")</f>
        <v>-3.055215000000004</v>
      </c>
      <c r="K82" s="7">
        <f>IF(10&gt;=2,('Testes estatísticos'!$D$62+'Testes estatísticos'!$D$70)/2,"")</f>
        <v>-5.2010215000000031</v>
      </c>
      <c r="L82" s="7">
        <f>IF(11&gt;=2,('Testes estatísticos'!$D$62+'Testes estatísticos'!$D$71)/2,"")</f>
        <v>-4.3051690000000029</v>
      </c>
      <c r="M82" s="7">
        <f>IF(12&gt;=2,('Testes estatísticos'!$D$62+'Testes estatísticos'!$D$72)/2,"")</f>
        <v>-7.1956280000000028</v>
      </c>
      <c r="N82" s="7">
        <f>IF(13&gt;=2,('Testes estatísticos'!$D$62+'Testes estatísticos'!$D$73)/2,"")</f>
        <v>-2.5323950000000046</v>
      </c>
      <c r="O82" s="7">
        <f>IF(14&gt;=2,('Testes estatísticos'!$D$62+'Testes estatísticos'!$D$74)/2,"")</f>
        <v>-1.9002130000000044</v>
      </c>
      <c r="P82" s="7">
        <f>IF(15&gt;=2,('Testes estatísticos'!$D$62+'Testes estatísticos'!$D$75)/2,"")</f>
        <v>-2.9046775000000054</v>
      </c>
      <c r="Q82" s="7"/>
    </row>
    <row r="83" spans="2:17" x14ac:dyDescent="0.3">
      <c r="B83" s="7" t="str">
        <f>IF(1&gt;=3,('Testes estatísticos'!$D$63+'Testes estatísticos'!$D$61)/2,"")</f>
        <v/>
      </c>
      <c r="C83" s="7" t="str">
        <f>IF(2&gt;=3,('Testes estatísticos'!$D$63+'Testes estatísticos'!$D$62)/2,"")</f>
        <v/>
      </c>
      <c r="D83" s="7">
        <f>IF(3&gt;=3,('Testes estatísticos'!$D$63+'Testes estatísticos'!$D$63)/2,"")</f>
        <v>3.2302850000000021</v>
      </c>
      <c r="E83" s="7">
        <f>IF(4&gt;=3,('Testes estatísticos'!$D$63+'Testes estatísticos'!$D$64)/2,"")</f>
        <v>-2.6133275000000005</v>
      </c>
      <c r="F83" s="7">
        <f>IF(5&gt;=3,('Testes estatísticos'!$D$63+'Testes estatísticos'!$D$65)/2,"")</f>
        <v>-0.86573649999999702</v>
      </c>
      <c r="G83" s="7">
        <f>IF(6&gt;=3,('Testes estatísticos'!$D$63+'Testes estatísticos'!$D$66)/2,"")</f>
        <v>1.7693185000000007</v>
      </c>
      <c r="H83" s="7">
        <f>IF(7&gt;=3,('Testes estatísticos'!$D$63+'Testes estatísticos'!$D$67)/2,"")</f>
        <v>1.2605235000000015</v>
      </c>
      <c r="I83" s="7">
        <f>IF(8&gt;=3,('Testes estatísticos'!$D$63+'Testes estatísticos'!$D$68)/2,"")</f>
        <v>2.1598380000000006</v>
      </c>
      <c r="J83" s="7">
        <f>IF(9&gt;=3,('Testes estatísticos'!$D$63+'Testes estatísticos'!$D$69)/2,"")</f>
        <v>2.21068</v>
      </c>
      <c r="K83" s="7">
        <f>IF(10&gt;=3,('Testes estatísticos'!$D$63+'Testes estatísticos'!$D$70)/2,"")</f>
        <v>6.4873500000000917E-2</v>
      </c>
      <c r="L83" s="7">
        <f>IF(11&gt;=3,('Testes estatísticos'!$D$63+'Testes estatísticos'!$D$71)/2,"")</f>
        <v>0.96072600000000108</v>
      </c>
      <c r="M83" s="7">
        <f>IF(12&gt;=3,('Testes estatísticos'!$D$63+'Testes estatísticos'!$D$72)/2,"")</f>
        <v>-1.9297329999999988</v>
      </c>
      <c r="N83" s="7">
        <f>IF(13&gt;=3,('Testes estatísticos'!$D$63+'Testes estatísticos'!$D$73)/2,"")</f>
        <v>2.7334999999999994</v>
      </c>
      <c r="O83" s="7">
        <f>IF(14&gt;=3,('Testes estatísticos'!$D$63+'Testes estatísticos'!$D$74)/2,"")</f>
        <v>3.3656819999999996</v>
      </c>
      <c r="P83" s="7">
        <f>IF(15&gt;=3,('Testes estatísticos'!$D$63+'Testes estatísticos'!$D$75)/2,"")</f>
        <v>2.3612174999999986</v>
      </c>
      <c r="Q83" s="7"/>
    </row>
    <row r="84" spans="2:17" x14ac:dyDescent="0.3">
      <c r="B84" s="7" t="str">
        <f>IF(1&gt;=4,('Testes estatísticos'!$D$64+'Testes estatísticos'!$D$61)/2,"")</f>
        <v/>
      </c>
      <c r="C84" s="7" t="str">
        <f>IF(2&gt;=4,('Testes estatísticos'!$D$64+'Testes estatísticos'!$D$62)/2,"")</f>
        <v/>
      </c>
      <c r="D84" s="7" t="str">
        <f>IF(3&gt;=4,('Testes estatísticos'!$D$64+'Testes estatísticos'!$D$63)/2,"")</f>
        <v/>
      </c>
      <c r="E84" s="7">
        <f>IF(4&gt;=4,('Testes estatísticos'!$D$64+'Testes estatísticos'!$D$64)/2,"")</f>
        <v>-8.456940000000003</v>
      </c>
      <c r="F84" s="7">
        <f>IF(5&gt;=4,('Testes estatísticos'!$D$64+'Testes estatísticos'!$D$65)/2,"")</f>
        <v>-6.7093489999999996</v>
      </c>
      <c r="G84" s="7">
        <f>IF(6&gt;=4,('Testes estatísticos'!$D$64+'Testes estatísticos'!$D$66)/2,"")</f>
        <v>-4.0742940000000019</v>
      </c>
      <c r="H84" s="7">
        <f>IF(7&gt;=4,('Testes estatísticos'!$D$64+'Testes estatísticos'!$D$67)/2,"")</f>
        <v>-4.5830890000000011</v>
      </c>
      <c r="I84" s="7">
        <f>IF(8&gt;=4,('Testes estatísticos'!$D$64+'Testes estatísticos'!$D$68)/2,"")</f>
        <v>-3.683774500000002</v>
      </c>
      <c r="J84" s="7">
        <f>IF(9&gt;=4,('Testes estatísticos'!$D$64+'Testes estatísticos'!$D$69)/2,"")</f>
        <v>-3.6329325000000026</v>
      </c>
      <c r="K84" s="7">
        <f>IF(10&gt;=4,('Testes estatísticos'!$D$64+'Testes estatísticos'!$D$70)/2,"")</f>
        <v>-5.7787390000000016</v>
      </c>
      <c r="L84" s="7">
        <f>IF(11&gt;=4,('Testes estatísticos'!$D$64+'Testes estatísticos'!$D$71)/2,"")</f>
        <v>-4.8828865000000015</v>
      </c>
      <c r="M84" s="7">
        <f>IF(12&gt;=4,('Testes estatísticos'!$D$64+'Testes estatísticos'!$D$72)/2,"")</f>
        <v>-7.7733455000000014</v>
      </c>
      <c r="N84" s="7">
        <f>IF(13&gt;=4,('Testes estatísticos'!$D$64+'Testes estatísticos'!$D$73)/2,"")</f>
        <v>-3.1101125000000032</v>
      </c>
      <c r="O84" s="7">
        <f>IF(14&gt;=4,('Testes estatísticos'!$D$64+'Testes estatísticos'!$D$74)/2,"")</f>
        <v>-2.4779305000000029</v>
      </c>
      <c r="P84" s="7">
        <f>IF(15&gt;=4,('Testes estatísticos'!$D$64+'Testes estatísticos'!$D$75)/2,"")</f>
        <v>-3.4823950000000039</v>
      </c>
      <c r="Q84" s="7"/>
    </row>
    <row r="85" spans="2:17" x14ac:dyDescent="0.3">
      <c r="B85" s="7" t="str">
        <f>IF(1&gt;=5,('Testes estatísticos'!$D$65+'Testes estatísticos'!$D$61)/2,"")</f>
        <v/>
      </c>
      <c r="C85" s="7" t="str">
        <f>IF(2&gt;=5,('Testes estatísticos'!$D$65+'Testes estatísticos'!$D$62)/2,"")</f>
        <v/>
      </c>
      <c r="D85" s="7" t="str">
        <f>IF(3&gt;=5,('Testes estatísticos'!$D$65+'Testes estatísticos'!$D$63)/2,"")</f>
        <v/>
      </c>
      <c r="E85" s="7" t="str">
        <f>IF(4&gt;=5,('Testes estatísticos'!$D$65+'Testes estatísticos'!$D$64)/2,"")</f>
        <v/>
      </c>
      <c r="F85" s="7">
        <f>IF(5&gt;=5,('Testes estatísticos'!$D$65+'Testes estatísticos'!$D$65)/2,"")</f>
        <v>-4.9617579999999961</v>
      </c>
      <c r="G85" s="7">
        <f>IF(6&gt;=5,('Testes estatísticos'!$D$65+'Testes estatísticos'!$D$66)/2,"")</f>
        <v>-2.3267029999999984</v>
      </c>
      <c r="H85" s="7">
        <f>IF(7&gt;=5,('Testes estatísticos'!$D$65+'Testes estatísticos'!$D$67)/2,"")</f>
        <v>-2.8354979999999976</v>
      </c>
      <c r="I85" s="7">
        <f>IF(8&gt;=5,('Testes estatísticos'!$D$65+'Testes estatísticos'!$D$68)/2,"")</f>
        <v>-1.9361834999999985</v>
      </c>
      <c r="J85" s="7">
        <f>IF(9&gt;=5,('Testes estatísticos'!$D$65+'Testes estatísticos'!$D$69)/2,"")</f>
        <v>-1.8853414999999991</v>
      </c>
      <c r="K85" s="7">
        <f>IF(10&gt;=5,('Testes estatísticos'!$D$65+'Testes estatísticos'!$D$70)/2,"")</f>
        <v>-4.0311479999999982</v>
      </c>
      <c r="L85" s="7">
        <f>IF(11&gt;=5,('Testes estatísticos'!$D$65+'Testes estatísticos'!$D$71)/2,"")</f>
        <v>-3.135295499999998</v>
      </c>
      <c r="M85" s="7">
        <f>IF(12&gt;=5,('Testes estatísticos'!$D$65+'Testes estatísticos'!$D$72)/2,"")</f>
        <v>-6.0257544999999979</v>
      </c>
      <c r="N85" s="7">
        <f>IF(13&gt;=5,('Testes estatísticos'!$D$65+'Testes estatísticos'!$D$73)/2,"")</f>
        <v>-1.3625214999999997</v>
      </c>
      <c r="O85" s="7">
        <f>IF(14&gt;=5,('Testes estatísticos'!$D$65+'Testes estatísticos'!$D$74)/2,"")</f>
        <v>-0.73033949999999948</v>
      </c>
      <c r="P85" s="7">
        <f>IF(15&gt;=5,('Testes estatísticos'!$D$65+'Testes estatísticos'!$D$75)/2,"")</f>
        <v>-1.7348040000000005</v>
      </c>
      <c r="Q85" s="7"/>
    </row>
    <row r="86" spans="2:17" x14ac:dyDescent="0.3">
      <c r="B86" s="7" t="str">
        <f>IF(1&gt;=6,('Testes estatísticos'!$D$66+'Testes estatísticos'!$D$61)/2,"")</f>
        <v/>
      </c>
      <c r="C86" s="7" t="str">
        <f>IF(2&gt;=6,('Testes estatísticos'!$D$66+'Testes estatísticos'!$D$62)/2,"")</f>
        <v/>
      </c>
      <c r="D86" s="7" t="str">
        <f>IF(3&gt;=6,('Testes estatísticos'!$D$66+'Testes estatísticos'!$D$63)/2,"")</f>
        <v/>
      </c>
      <c r="E86" s="7" t="str">
        <f>IF(4&gt;=6,('Testes estatísticos'!$D$66+'Testes estatísticos'!$D$64)/2,"")</f>
        <v/>
      </c>
      <c r="F86" s="7" t="str">
        <f>IF(5&gt;=6,('Testes estatísticos'!$D$66+'Testes estatísticos'!$D$65)/2,"")</f>
        <v/>
      </c>
      <c r="G86" s="7">
        <f>IF(6&gt;=6,('Testes estatísticos'!$D$66+'Testes estatísticos'!$D$66)/2,"")</f>
        <v>0.30835199999999929</v>
      </c>
      <c r="H86" s="7">
        <f>IF(7&gt;=6,('Testes estatísticos'!$D$66+'Testes estatísticos'!$D$67)/2,"")</f>
        <v>-0.20044299999999993</v>
      </c>
      <c r="I86" s="7">
        <f>IF(8&gt;=6,('Testes estatísticos'!$D$66+'Testes estatísticos'!$D$68)/2,"")</f>
        <v>0.6988714999999992</v>
      </c>
      <c r="J86" s="7">
        <f>IF(9&gt;=6,('Testes estatísticos'!$D$66+'Testes estatísticos'!$D$69)/2,"")</f>
        <v>0.74971349999999859</v>
      </c>
      <c r="K86" s="7">
        <f>IF(10&gt;=6,('Testes estatísticos'!$D$66+'Testes estatísticos'!$D$70)/2,"")</f>
        <v>-1.3960930000000005</v>
      </c>
      <c r="L86" s="7">
        <f>IF(11&gt;=6,('Testes estatísticos'!$D$66+'Testes estatísticos'!$D$71)/2,"")</f>
        <v>-0.50024050000000031</v>
      </c>
      <c r="M86" s="7">
        <f>IF(12&gt;=6,('Testes estatísticos'!$D$66+'Testes estatísticos'!$D$72)/2,"")</f>
        <v>-3.3906995000000002</v>
      </c>
      <c r="N86" s="7">
        <f>IF(13&gt;=6,('Testes estatísticos'!$D$66+'Testes estatísticos'!$D$73)/2,"")</f>
        <v>1.272533499999998</v>
      </c>
      <c r="O86" s="7">
        <f>IF(14&gt;=6,('Testes estatísticos'!$D$66+'Testes estatísticos'!$D$74)/2,"")</f>
        <v>1.9047154999999982</v>
      </c>
      <c r="P86" s="7">
        <f>IF(15&gt;=6,('Testes estatísticos'!$D$66+'Testes estatísticos'!$D$75)/2,"")</f>
        <v>0.90025099999999725</v>
      </c>
      <c r="Q86" s="7"/>
    </row>
    <row r="87" spans="2:17" x14ac:dyDescent="0.3">
      <c r="B87" s="7" t="str">
        <f>IF(1&gt;=7,('Testes estatísticos'!$D$67+'Testes estatísticos'!$D$61)/2,"")</f>
        <v/>
      </c>
      <c r="C87" s="7" t="str">
        <f>IF(2&gt;=7,('Testes estatísticos'!$D$67+'Testes estatísticos'!$D$62)/2,"")</f>
        <v/>
      </c>
      <c r="D87" s="7" t="str">
        <f>IF(3&gt;=7,('Testes estatísticos'!$D$67+'Testes estatísticos'!$D$63)/2,"")</f>
        <v/>
      </c>
      <c r="E87" s="7" t="str">
        <f>IF(4&gt;=7,('Testes estatísticos'!$D$67+'Testes estatísticos'!$D$64)/2,"")</f>
        <v/>
      </c>
      <c r="F87" s="7" t="str">
        <f>IF(5&gt;=7,('Testes estatísticos'!$D$67+'Testes estatísticos'!$D$65)/2,"")</f>
        <v/>
      </c>
      <c r="G87" s="7" t="str">
        <f>IF(6&gt;=7,('Testes estatísticos'!$D$67+'Testes estatísticos'!$D$66)/2,"")</f>
        <v/>
      </c>
      <c r="H87" s="7">
        <f>IF(7&gt;=7,('Testes estatísticos'!$D$67+'Testes estatísticos'!$D$67)/2,"")</f>
        <v>-0.70923799999999915</v>
      </c>
      <c r="I87" s="7">
        <f>IF(8&gt;=7,('Testes estatísticos'!$D$67+'Testes estatísticos'!$D$68)/2,"")</f>
        <v>0.19007649999999998</v>
      </c>
      <c r="J87" s="7">
        <f>IF(9&gt;=7,('Testes estatísticos'!$D$67+'Testes estatísticos'!$D$69)/2,"")</f>
        <v>0.24091849999999937</v>
      </c>
      <c r="K87" s="7">
        <f>IF(10&gt;=7,('Testes estatísticos'!$D$67+'Testes estatísticos'!$D$70)/2,"")</f>
        <v>-1.9048879999999997</v>
      </c>
      <c r="L87" s="7">
        <f>IF(11&gt;=7,('Testes estatísticos'!$D$67+'Testes estatísticos'!$D$71)/2,"")</f>
        <v>-1.0090354999999995</v>
      </c>
      <c r="M87" s="7">
        <f>IF(12&gt;=7,('Testes estatísticos'!$D$67+'Testes estatísticos'!$D$72)/2,"")</f>
        <v>-3.8994944999999994</v>
      </c>
      <c r="N87" s="7">
        <f>IF(13&gt;=7,('Testes estatísticos'!$D$67+'Testes estatísticos'!$D$73)/2,"")</f>
        <v>0.76373849999999877</v>
      </c>
      <c r="O87" s="7">
        <f>IF(14&gt;=7,('Testes estatísticos'!$D$67+'Testes estatísticos'!$D$74)/2,"")</f>
        <v>1.395920499999999</v>
      </c>
      <c r="P87" s="7">
        <f>IF(15&gt;=7,('Testes estatísticos'!$D$67+'Testes estatísticos'!$D$75)/2,"")</f>
        <v>0.39145599999999803</v>
      </c>
      <c r="Q87" s="7"/>
    </row>
    <row r="88" spans="2:17" x14ac:dyDescent="0.3">
      <c r="B88" s="7" t="str">
        <f>IF(1&gt;=8,('Testes estatísticos'!$D$68+'Testes estatísticos'!$D$61)/2,"")</f>
        <v/>
      </c>
      <c r="C88" s="7" t="str">
        <f>IF(2&gt;=8,('Testes estatísticos'!$D$68+'Testes estatísticos'!$D$62)/2,"")</f>
        <v/>
      </c>
      <c r="D88" s="7" t="str">
        <f>IF(3&gt;=8,('Testes estatísticos'!$D$68+'Testes estatísticos'!$D$63)/2,"")</f>
        <v/>
      </c>
      <c r="E88" s="7" t="str">
        <f>IF(4&gt;=8,('Testes estatísticos'!$D$68+'Testes estatísticos'!$D$64)/2,"")</f>
        <v/>
      </c>
      <c r="F88" s="7" t="str">
        <f>IF(5&gt;=8,('Testes estatísticos'!$D$68+'Testes estatísticos'!$D$65)/2,"")</f>
        <v/>
      </c>
      <c r="G88" s="7" t="str">
        <f>IF(6&gt;=8,('Testes estatísticos'!$D$68+'Testes estatísticos'!$D$66)/2,"")</f>
        <v/>
      </c>
      <c r="H88" s="7" t="str">
        <f>IF(7&gt;=8,('Testes estatísticos'!$D$68+'Testes estatísticos'!$D$67)/2,"")</f>
        <v/>
      </c>
      <c r="I88" s="7">
        <f>IF(8&gt;=8,('Testes estatísticos'!$D$68+'Testes estatísticos'!$D$68)/2,"")</f>
        <v>1.0893909999999991</v>
      </c>
      <c r="J88" s="7">
        <f>IF(9&gt;=8,('Testes estatísticos'!$D$68+'Testes estatísticos'!$D$69)/2,"")</f>
        <v>1.1402329999999985</v>
      </c>
      <c r="K88" s="7">
        <f>IF(10&gt;=8,('Testes estatísticos'!$D$68+'Testes estatísticos'!$D$70)/2,"")</f>
        <v>-1.0055735000000006</v>
      </c>
      <c r="L88" s="7">
        <f>IF(11&gt;=8,('Testes estatísticos'!$D$68+'Testes estatísticos'!$D$71)/2,"")</f>
        <v>-0.1097210000000004</v>
      </c>
      <c r="M88" s="7">
        <f>IF(12&gt;=8,('Testes estatísticos'!$D$68+'Testes estatísticos'!$D$72)/2,"")</f>
        <v>-3.0001800000000003</v>
      </c>
      <c r="N88" s="7">
        <f>IF(13&gt;=8,('Testes estatísticos'!$D$68+'Testes estatísticos'!$D$73)/2,"")</f>
        <v>1.6630529999999979</v>
      </c>
      <c r="O88" s="7">
        <f>IF(14&gt;=8,('Testes estatísticos'!$D$68+'Testes estatísticos'!$D$74)/2,"")</f>
        <v>2.2952349999999981</v>
      </c>
      <c r="P88" s="7">
        <f>IF(15&gt;=8,('Testes estatísticos'!$D$68+'Testes estatísticos'!$D$75)/2,"")</f>
        <v>1.2907704999999972</v>
      </c>
      <c r="Q88" s="7"/>
    </row>
    <row r="89" spans="2:17" x14ac:dyDescent="0.3">
      <c r="B89" s="7" t="str">
        <f>IF(1&gt;=9,('Testes estatísticos'!$D$69+'Testes estatísticos'!$D$61)/2,"")</f>
        <v/>
      </c>
      <c r="C89" s="7" t="str">
        <f>IF(2&gt;=9,('Testes estatísticos'!$D$69+'Testes estatísticos'!$D$62)/2,"")</f>
        <v/>
      </c>
      <c r="D89" s="7" t="str">
        <f>IF(3&gt;=9,('Testes estatísticos'!$D$69+'Testes estatísticos'!$D$63)/2,"")</f>
        <v/>
      </c>
      <c r="E89" s="7" t="str">
        <f>IF(4&gt;=9,('Testes estatísticos'!$D$69+'Testes estatísticos'!$D$64)/2,"")</f>
        <v/>
      </c>
      <c r="F89" s="7" t="str">
        <f>IF(5&gt;=9,('Testes estatísticos'!$D$69+'Testes estatísticos'!$D$65)/2,"")</f>
        <v/>
      </c>
      <c r="G89" s="7" t="str">
        <f>IF(6&gt;=9,('Testes estatísticos'!$D$69+'Testes estatísticos'!$D$66)/2,"")</f>
        <v/>
      </c>
      <c r="H89" s="7" t="str">
        <f>IF(7&gt;=9,('Testes estatísticos'!$D$69+'Testes estatísticos'!$D$67)/2,"")</f>
        <v/>
      </c>
      <c r="I89" s="7" t="str">
        <f>IF(8&gt;=9,('Testes estatísticos'!$D$69+'Testes estatísticos'!$D$68)/2,"")</f>
        <v/>
      </c>
      <c r="J89" s="7">
        <f>IF(9&gt;=9,('Testes estatísticos'!$D$69+'Testes estatísticos'!$D$69)/2,"")</f>
        <v>1.1910749999999979</v>
      </c>
      <c r="K89" s="7">
        <f>IF(10&gt;=9,('Testes estatísticos'!$D$69+'Testes estatísticos'!$D$70)/2,"")</f>
        <v>-0.95473150000000118</v>
      </c>
      <c r="L89" s="7">
        <f>IF(11&gt;=9,('Testes estatísticos'!$D$69+'Testes estatísticos'!$D$71)/2,"")</f>
        <v>-5.8879000000001014E-2</v>
      </c>
      <c r="M89" s="7">
        <f>IF(12&gt;=9,('Testes estatísticos'!$D$69+'Testes estatísticos'!$D$72)/2,"")</f>
        <v>-2.9493380000000009</v>
      </c>
      <c r="N89" s="7">
        <f>IF(13&gt;=9,('Testes estatísticos'!$D$69+'Testes estatísticos'!$D$73)/2,"")</f>
        <v>1.7138949999999973</v>
      </c>
      <c r="O89" s="7">
        <f>IF(14&gt;=9,('Testes estatísticos'!$D$69+'Testes estatísticos'!$D$74)/2,"")</f>
        <v>2.3460769999999975</v>
      </c>
      <c r="P89" s="7">
        <f>IF(15&gt;=9,('Testes estatísticos'!$D$69+'Testes estatísticos'!$D$75)/2,"")</f>
        <v>1.3416124999999965</v>
      </c>
      <c r="Q89" s="7"/>
    </row>
    <row r="90" spans="2:17" x14ac:dyDescent="0.3">
      <c r="B90" s="7" t="str">
        <f>IF(1&gt;=10,('Testes estatísticos'!$D$70+'Testes estatísticos'!$D$61)/2,"")</f>
        <v/>
      </c>
      <c r="C90" s="7" t="str">
        <f>IF(2&gt;=10,('Testes estatísticos'!$D$70+'Testes estatísticos'!$D$62)/2,"")</f>
        <v/>
      </c>
      <c r="D90" s="7" t="str">
        <f>IF(3&gt;=10,('Testes estatísticos'!$D$70+'Testes estatísticos'!$D$63)/2,"")</f>
        <v/>
      </c>
      <c r="E90" s="7" t="str">
        <f>IF(4&gt;=10,('Testes estatísticos'!$D$70+'Testes estatísticos'!$D$64)/2,"")</f>
        <v/>
      </c>
      <c r="F90" s="7" t="str">
        <f>IF(5&gt;=10,('Testes estatísticos'!$D$70+'Testes estatísticos'!$D$65)/2,"")</f>
        <v/>
      </c>
      <c r="G90" s="7" t="str">
        <f>IF(6&gt;=10,('Testes estatísticos'!$D$70+'Testes estatísticos'!$D$66)/2,"")</f>
        <v/>
      </c>
      <c r="H90" s="7" t="str">
        <f>IF(7&gt;=10,('Testes estatísticos'!$D$70+'Testes estatísticos'!$D$67)/2,"")</f>
        <v/>
      </c>
      <c r="I90" s="7" t="str">
        <f>IF(8&gt;=10,('Testes estatísticos'!$D$70+'Testes estatísticos'!$D$68)/2,"")</f>
        <v/>
      </c>
      <c r="J90" s="7" t="str">
        <f>IF(9&gt;=10,('Testes estatísticos'!$D$70+'Testes estatísticos'!$D$69)/2,"")</f>
        <v/>
      </c>
      <c r="K90" s="7">
        <f>IF(10&gt;=10,('Testes estatísticos'!$D$70+'Testes estatísticos'!$D$70)/2,"")</f>
        <v>-3.1005380000000002</v>
      </c>
      <c r="L90" s="7">
        <f>IF(11&gt;=10,('Testes estatísticos'!$D$70+'Testes estatísticos'!$D$71)/2,"")</f>
        <v>-2.2046855000000001</v>
      </c>
      <c r="M90" s="7">
        <f>IF(12&gt;=10,('Testes estatísticos'!$D$70+'Testes estatísticos'!$D$72)/2,"")</f>
        <v>-5.0951445</v>
      </c>
      <c r="N90" s="7">
        <f>IF(13&gt;=10,('Testes estatísticos'!$D$70+'Testes estatísticos'!$D$73)/2,"")</f>
        <v>-0.43191150000000178</v>
      </c>
      <c r="O90" s="7">
        <f>IF(14&gt;=10,('Testes estatísticos'!$D$70+'Testes estatísticos'!$D$74)/2,"")</f>
        <v>0.20027049999999846</v>
      </c>
      <c r="P90" s="7">
        <f>IF(15&gt;=10,('Testes estatísticos'!$D$70+'Testes estatísticos'!$D$75)/2,"")</f>
        <v>-0.80419400000000252</v>
      </c>
      <c r="Q90" s="7"/>
    </row>
    <row r="91" spans="2:17" x14ac:dyDescent="0.3">
      <c r="B91" s="7" t="str">
        <f>IF(1&gt;=11,('Testes estatísticos'!$D$71+'Testes estatísticos'!$D$61)/2,"")</f>
        <v/>
      </c>
      <c r="C91" s="7" t="str">
        <f>IF(2&gt;=11,('Testes estatísticos'!$D$71+'Testes estatísticos'!$D$62)/2,"")</f>
        <v/>
      </c>
      <c r="D91" s="7" t="str">
        <f>IF(3&gt;=11,('Testes estatísticos'!$D$71+'Testes estatísticos'!$D$63)/2,"")</f>
        <v/>
      </c>
      <c r="E91" s="7" t="str">
        <f>IF(4&gt;=11,('Testes estatísticos'!$D$71+'Testes estatísticos'!$D$64)/2,"")</f>
        <v/>
      </c>
      <c r="F91" s="7" t="str">
        <f>IF(5&gt;=11,('Testes estatísticos'!$D$71+'Testes estatísticos'!$D$65)/2,"")</f>
        <v/>
      </c>
      <c r="G91" s="7" t="str">
        <f>IF(6&gt;=11,('Testes estatísticos'!$D$71+'Testes estatísticos'!$D$66)/2,"")</f>
        <v/>
      </c>
      <c r="H91" s="7" t="str">
        <f>IF(7&gt;=11,('Testes estatísticos'!$D$71+'Testes estatísticos'!$D$67)/2,"")</f>
        <v/>
      </c>
      <c r="I91" s="7" t="str">
        <f>IF(8&gt;=11,('Testes estatísticos'!$D$71+'Testes estatísticos'!$D$68)/2,"")</f>
        <v/>
      </c>
      <c r="J91" s="7" t="str">
        <f>IF(9&gt;=11,('Testes estatísticos'!$D$71+'Testes estatísticos'!$D$69)/2,"")</f>
        <v/>
      </c>
      <c r="K91" s="7" t="str">
        <f>IF(10&gt;=11,('Testes estatísticos'!$D$71+'Testes estatísticos'!$D$70)/2,"")</f>
        <v/>
      </c>
      <c r="L91" s="7">
        <f>IF(11&gt;=11,('Testes estatísticos'!$D$71+'Testes estatísticos'!$D$71)/2,"")</f>
        <v>-1.3088329999999999</v>
      </c>
      <c r="M91" s="7">
        <f>IF(12&gt;=11,('Testes estatísticos'!$D$71+'Testes estatísticos'!$D$72)/2,"")</f>
        <v>-4.1992919999999998</v>
      </c>
      <c r="N91" s="7">
        <f>IF(13&gt;=11,('Testes estatísticos'!$D$71+'Testes estatísticos'!$D$73)/2,"")</f>
        <v>0.46394099999999838</v>
      </c>
      <c r="O91" s="7">
        <f>IF(14&gt;=11,('Testes estatísticos'!$D$71+'Testes estatísticos'!$D$74)/2,"")</f>
        <v>1.0961229999999986</v>
      </c>
      <c r="P91" s="7">
        <f>IF(15&gt;=11,('Testes estatísticos'!$D$71+'Testes estatísticos'!$D$75)/2,"")</f>
        <v>9.1658499999997645E-2</v>
      </c>
      <c r="Q91" s="7"/>
    </row>
    <row r="92" spans="2:17" x14ac:dyDescent="0.3">
      <c r="B92" s="7" t="str">
        <f>IF(1&gt;=12,('Testes estatísticos'!$D$72+'Testes estatísticos'!$D$61)/2,"")</f>
        <v/>
      </c>
      <c r="C92" s="7" t="str">
        <f>IF(2&gt;=12,('Testes estatísticos'!$D$72+'Testes estatísticos'!$D$62)/2,"")</f>
        <v/>
      </c>
      <c r="D92" s="7" t="str">
        <f>IF(3&gt;=12,('Testes estatísticos'!$D$72+'Testes estatísticos'!$D$63)/2,"")</f>
        <v/>
      </c>
      <c r="E92" s="7" t="str">
        <f>IF(4&gt;=12,('Testes estatísticos'!$D$72+'Testes estatísticos'!$D$64)/2,"")</f>
        <v/>
      </c>
      <c r="F92" s="7" t="str">
        <f>IF(5&gt;=12,('Testes estatísticos'!$D$72+'Testes estatísticos'!$D$65)/2,"")</f>
        <v/>
      </c>
      <c r="G92" s="7" t="str">
        <f>IF(6&gt;=12,('Testes estatísticos'!$D$72+'Testes estatísticos'!$D$66)/2,"")</f>
        <v/>
      </c>
      <c r="H92" s="7" t="str">
        <f>IF(7&gt;=12,('Testes estatísticos'!$D$72+'Testes estatísticos'!$D$67)/2,"")</f>
        <v/>
      </c>
      <c r="I92" s="7" t="str">
        <f>IF(8&gt;=12,('Testes estatísticos'!$D$72+'Testes estatísticos'!$D$68)/2,"")</f>
        <v/>
      </c>
      <c r="J92" s="7" t="str">
        <f>IF(9&gt;=12,('Testes estatísticos'!$D$72+'Testes estatísticos'!$D$69)/2,"")</f>
        <v/>
      </c>
      <c r="K92" s="7" t="str">
        <f>IF(10&gt;=12,('Testes estatísticos'!$D$72+'Testes estatísticos'!$D$70)/2,"")</f>
        <v/>
      </c>
      <c r="L92" s="7" t="str">
        <f>IF(11&gt;=12,('Testes estatísticos'!$D$72+'Testes estatísticos'!$D$71)/2,"")</f>
        <v/>
      </c>
      <c r="M92" s="7">
        <f>IF(12&gt;=12,('Testes estatísticos'!$D$72+'Testes estatísticos'!$D$72)/2,"")</f>
        <v>-7.0897509999999997</v>
      </c>
      <c r="N92" s="7">
        <f>IF(13&gt;=12,('Testes estatísticos'!$D$72+'Testes estatísticos'!$D$73)/2,"")</f>
        <v>-2.4265180000000015</v>
      </c>
      <c r="O92" s="7">
        <f>IF(14&gt;=12,('Testes estatísticos'!$D$72+'Testes estatísticos'!$D$74)/2,"")</f>
        <v>-1.7943360000000013</v>
      </c>
      <c r="P92" s="7">
        <f>IF(15&gt;=12,('Testes estatísticos'!$D$72+'Testes estatísticos'!$D$75)/2,"")</f>
        <v>-2.7988005000000022</v>
      </c>
      <c r="Q92" s="7"/>
    </row>
    <row r="93" spans="2:17" x14ac:dyDescent="0.3">
      <c r="B93" s="7" t="str">
        <f>IF(1&gt;=13,('Testes estatísticos'!$D$73+'Testes estatísticos'!$D$61)/2,"")</f>
        <v/>
      </c>
      <c r="C93" s="7" t="str">
        <f>IF(2&gt;=13,('Testes estatísticos'!$D$73+'Testes estatísticos'!$D$62)/2,"")</f>
        <v/>
      </c>
      <c r="D93" s="7" t="str">
        <f>IF(3&gt;=13,('Testes estatísticos'!$D$73+'Testes estatísticos'!$D$63)/2,"")</f>
        <v/>
      </c>
      <c r="E93" s="7" t="str">
        <f>IF(4&gt;=13,('Testes estatísticos'!$D$73+'Testes estatísticos'!$D$64)/2,"")</f>
        <v/>
      </c>
      <c r="F93" s="7" t="str">
        <f>IF(5&gt;=13,('Testes estatísticos'!$D$73+'Testes estatísticos'!$D$65)/2,"")</f>
        <v/>
      </c>
      <c r="G93" s="7" t="str">
        <f>IF(6&gt;=13,('Testes estatísticos'!$D$73+'Testes estatísticos'!$D$66)/2,"")</f>
        <v/>
      </c>
      <c r="H93" s="7" t="str">
        <f>IF(7&gt;=13,('Testes estatísticos'!$D$73+'Testes estatísticos'!$D$67)/2,"")</f>
        <v/>
      </c>
      <c r="I93" s="7" t="str">
        <f>IF(8&gt;=13,('Testes estatísticos'!$D$73+'Testes estatísticos'!$D$68)/2,"")</f>
        <v/>
      </c>
      <c r="J93" s="7" t="str">
        <f>IF(9&gt;=13,('Testes estatísticos'!$D$73+'Testes estatísticos'!$D$69)/2,"")</f>
        <v/>
      </c>
      <c r="K93" s="7" t="str">
        <f>IF(10&gt;=13,('Testes estatísticos'!$D$73+'Testes estatísticos'!$D$70)/2,"")</f>
        <v/>
      </c>
      <c r="L93" s="7" t="str">
        <f>IF(11&gt;=13,('Testes estatísticos'!$D$73+'Testes estatísticos'!$D$71)/2,"")</f>
        <v/>
      </c>
      <c r="M93" s="7" t="str">
        <f>IF(12&gt;=13,('Testes estatísticos'!$D$73+'Testes estatísticos'!$D$72)/2,"")</f>
        <v/>
      </c>
      <c r="N93" s="7">
        <f>IF(13&gt;=13,('Testes estatísticos'!$D$73+'Testes estatísticos'!$D$73)/2,"")</f>
        <v>2.2367149999999967</v>
      </c>
      <c r="O93" s="7">
        <f>IF(14&gt;=13,('Testes estatísticos'!$D$73+'Testes estatísticos'!$D$74)/2,"")</f>
        <v>2.8688969999999969</v>
      </c>
      <c r="P93" s="7">
        <f>IF(15&gt;=13,('Testes estatísticos'!$D$73+'Testes estatísticos'!$D$75)/2,"")</f>
        <v>1.8644324999999959</v>
      </c>
      <c r="Q93" s="7"/>
    </row>
    <row r="94" spans="2:17" x14ac:dyDescent="0.3">
      <c r="B94" s="7" t="str">
        <f>IF(1&gt;=14,('Testes estatísticos'!$D$74+'Testes estatísticos'!$D$61)/2,"")</f>
        <v/>
      </c>
      <c r="C94" s="7" t="str">
        <f>IF(2&gt;=14,('Testes estatísticos'!$D$74+'Testes estatísticos'!$D$62)/2,"")</f>
        <v/>
      </c>
      <c r="D94" s="7" t="str">
        <f>IF(3&gt;=14,('Testes estatísticos'!$D$74+'Testes estatísticos'!$D$63)/2,"")</f>
        <v/>
      </c>
      <c r="E94" s="7" t="str">
        <f>IF(4&gt;=14,('Testes estatísticos'!$D$74+'Testes estatísticos'!$D$64)/2,"")</f>
        <v/>
      </c>
      <c r="F94" s="7" t="str">
        <f>IF(5&gt;=14,('Testes estatísticos'!$D$74+'Testes estatísticos'!$D$65)/2,"")</f>
        <v/>
      </c>
      <c r="G94" s="7" t="str">
        <f>IF(6&gt;=14,('Testes estatísticos'!$D$74+'Testes estatísticos'!$D$66)/2,"")</f>
        <v/>
      </c>
      <c r="H94" s="7" t="str">
        <f>IF(7&gt;=14,('Testes estatísticos'!$D$74+'Testes estatísticos'!$D$67)/2,"")</f>
        <v/>
      </c>
      <c r="I94" s="7" t="str">
        <f>IF(8&gt;=14,('Testes estatísticos'!$D$74+'Testes estatísticos'!$D$68)/2,"")</f>
        <v/>
      </c>
      <c r="J94" s="7" t="str">
        <f>IF(9&gt;=14,('Testes estatísticos'!$D$74+'Testes estatísticos'!$D$69)/2,"")</f>
        <v/>
      </c>
      <c r="K94" s="7" t="str">
        <f>IF(10&gt;=14,('Testes estatísticos'!$D$74+'Testes estatísticos'!$D$70)/2,"")</f>
        <v/>
      </c>
      <c r="L94" s="7" t="str">
        <f>IF(11&gt;=14,('Testes estatísticos'!$D$74+'Testes estatísticos'!$D$71)/2,"")</f>
        <v/>
      </c>
      <c r="M94" s="7" t="str">
        <f>IF(12&gt;=14,('Testes estatísticos'!$D$74+'Testes estatísticos'!$D$72)/2,"")</f>
        <v/>
      </c>
      <c r="N94" s="7" t="str">
        <f>IF(13&gt;=14,('Testes estatísticos'!$D$74+'Testes estatísticos'!$D$73)/2,"")</f>
        <v/>
      </c>
      <c r="O94" s="7">
        <f>IF(14&gt;=14,('Testes estatísticos'!$D$74+'Testes estatísticos'!$D$74)/2,"")</f>
        <v>3.5010789999999972</v>
      </c>
      <c r="P94" s="7">
        <f>IF(15&gt;=14,('Testes estatísticos'!$D$74+'Testes estatísticos'!$D$75)/2,"")</f>
        <v>2.4966144999999962</v>
      </c>
      <c r="Q94" s="7"/>
    </row>
    <row r="95" spans="2:17" x14ac:dyDescent="0.3">
      <c r="B95" s="7" t="str">
        <f>IF(1&gt;=15,('Testes estatísticos'!$D$75+'Testes estatísticos'!$D$61)/2,"")</f>
        <v/>
      </c>
      <c r="C95" s="7" t="str">
        <f>IF(2&gt;=15,('Testes estatísticos'!$D$75+'Testes estatísticos'!$D$62)/2,"")</f>
        <v/>
      </c>
      <c r="D95" s="7" t="str">
        <f>IF(3&gt;=15,('Testes estatísticos'!$D$75+'Testes estatísticos'!$D$63)/2,"")</f>
        <v/>
      </c>
      <c r="E95" s="7" t="str">
        <f>IF(4&gt;=15,('Testes estatísticos'!$D$75+'Testes estatísticos'!$D$64)/2,"")</f>
        <v/>
      </c>
      <c r="F95" s="7" t="str">
        <f>IF(5&gt;=15,('Testes estatísticos'!$D$75+'Testes estatísticos'!$D$65)/2,"")</f>
        <v/>
      </c>
      <c r="G95" s="7" t="str">
        <f>IF(6&gt;=15,('Testes estatísticos'!$D$75+'Testes estatísticos'!$D$66)/2,"")</f>
        <v/>
      </c>
      <c r="H95" s="7" t="str">
        <f>IF(7&gt;=15,('Testes estatísticos'!$D$75+'Testes estatísticos'!$D$67)/2,"")</f>
        <v/>
      </c>
      <c r="I95" s="7" t="str">
        <f>IF(8&gt;=15,('Testes estatísticos'!$D$75+'Testes estatísticos'!$D$68)/2,"")</f>
        <v/>
      </c>
      <c r="J95" s="7" t="str">
        <f>IF(9&gt;=15,('Testes estatísticos'!$D$75+'Testes estatísticos'!$D$69)/2,"")</f>
        <v/>
      </c>
      <c r="K95" s="7" t="str">
        <f>IF(10&gt;=15,('Testes estatísticos'!$D$75+'Testes estatísticos'!$D$70)/2,"")</f>
        <v/>
      </c>
      <c r="L95" s="7" t="str">
        <f>IF(11&gt;=15,('Testes estatísticos'!$D$75+'Testes estatísticos'!$D$71)/2,"")</f>
        <v/>
      </c>
      <c r="M95" s="7" t="str">
        <f>IF(12&gt;=15,('Testes estatísticos'!$D$75+'Testes estatísticos'!$D$72)/2,"")</f>
        <v/>
      </c>
      <c r="N95" s="7" t="str">
        <f>IF(13&gt;=15,('Testes estatísticos'!$D$75+'Testes estatísticos'!$D$73)/2,"")</f>
        <v/>
      </c>
      <c r="O95" s="7" t="str">
        <f>IF(14&gt;=15,('Testes estatísticos'!$D$75+'Testes estatísticos'!$D$74)/2,"")</f>
        <v/>
      </c>
      <c r="P95" s="7">
        <f>IF(15&gt;=15,('Testes estatísticos'!$D$75+'Testes estatísticos'!$D$75)/2,"")</f>
        <v>1.4921499999999952</v>
      </c>
      <c r="Q95" s="7"/>
    </row>
    <row r="96" spans="2:17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8" spans="1:21" x14ac:dyDescent="0.3">
      <c r="A98" s="35" t="s">
        <v>341</v>
      </c>
    </row>
    <row r="99" spans="1:21" x14ac:dyDescent="0.3">
      <c r="A99" s="35"/>
      <c r="B99" s="7">
        <f>IF(1&gt;=1,('Testes estatísticos'!$D$76+'Testes estatísticos'!$D$76)/2,"")</f>
        <v>4.6408799999999957</v>
      </c>
      <c r="C99" s="7">
        <f>IF(2&gt;=1,('Testes estatísticos'!$D$76+'Testes estatísticos'!$D$77)/2,"")</f>
        <v>-0.95881700000000336</v>
      </c>
      <c r="D99" s="7">
        <f>IF(3&gt;=1,('Testes estatísticos'!$D$76+'Testes estatísticos'!$D$78)/2,"")</f>
        <v>1.1146574999999963</v>
      </c>
      <c r="E99" s="7">
        <f>IF(4&gt;=1,('Testes estatísticos'!$D$76+'Testes estatísticos'!$D$79)/2,"")</f>
        <v>0.4313389999999977</v>
      </c>
      <c r="F99" s="7">
        <f>IF(5&gt;=1,('Testes estatísticos'!$D$76+'Testes estatísticos'!$D$80)/2,"")</f>
        <v>0.40956099999999651</v>
      </c>
      <c r="G99" s="7">
        <f>IF(6&gt;=1,('Testes estatísticos'!$D$76+'Testes estatísticos'!$D$81)/2,"")</f>
        <v>4.5410189999999986</v>
      </c>
      <c r="H99" s="7">
        <f>IF(7&gt;=1,('Testes estatísticos'!$D$76+'Testes estatísticos'!$D$82)/2,"")</f>
        <v>-0.72057050000000089</v>
      </c>
      <c r="I99" s="7">
        <f>IF(8&gt;=1,('Testes estatísticos'!$D$76+'Testes estatísticos'!$D$83)/2,"")</f>
        <v>1.0396885000000005</v>
      </c>
      <c r="J99" s="7">
        <f>IF(9&gt;=1,('Testes estatísticos'!$D$76+'Testes estatísticos'!$D$84)/2,"")</f>
        <v>1.0914109999999972</v>
      </c>
      <c r="K99" s="7">
        <f>IF(10&gt;=1,('Testes estatísticos'!$D$76+'Testes estatísticos'!$D$85)/2,"")</f>
        <v>-0.71560550000000234</v>
      </c>
      <c r="L99" s="7">
        <f>IF(11&gt;=1,('Testes estatísticos'!$D$76+'Testes estatísticos'!$D$86)/2,"")</f>
        <v>-0.76575050000000289</v>
      </c>
      <c r="M99" s="7">
        <f>IF(12&gt;=1,('Testes estatísticos'!$D$76+'Testes estatísticos'!$D$87)/2,"")</f>
        <v>1.3120399999999961</v>
      </c>
      <c r="N99" s="7">
        <f>IF(13&gt;=1,('Testes estatísticos'!$D$76+'Testes estatísticos'!$D$88)/2,"")</f>
        <v>0.78323299999999563</v>
      </c>
      <c r="O99" s="7">
        <f>IF(14&gt;=1,('Testes estatísticos'!$D$76+'Testes estatísticos'!$D$89)/2,"")</f>
        <v>0.45132599999999812</v>
      </c>
      <c r="P99" s="7">
        <f>IF(15&gt;=1,('Testes estatísticos'!$D$76+'Testes estatísticos'!$D$90)/2,"")</f>
        <v>2.2668729999999968</v>
      </c>
      <c r="Q99" s="7">
        <f>IF(16&gt;=1,('Testes estatísticos'!$D$76+'Testes estatísticos'!$D$91)/2,"")</f>
        <v>-0.42328649999999968</v>
      </c>
      <c r="R99" s="7">
        <f>IF(17&gt;=1,('Testes estatísticos'!$D$76+'Testes estatísticos'!$D$92)/2,"")</f>
        <v>0.81891999999999854</v>
      </c>
      <c r="S99" s="7">
        <f>IF(18&gt;=1,('Testes estatísticos'!$D$76+'Testes estatísticos'!$D$93)/2,"")</f>
        <v>1.0630034999999971</v>
      </c>
      <c r="T99" s="7">
        <f>IF(19&gt;=1,('Testes estatísticos'!$D$76+'Testes estatísticos'!$D$94)/2,"")</f>
        <v>0.45141149999999541</v>
      </c>
      <c r="U99" s="7">
        <f>IF(20&gt;=1,('Testes estatísticos'!$D$76+'Testes estatísticos'!$D$95)/2,"")</f>
        <v>-1.8827205000000014</v>
      </c>
    </row>
    <row r="100" spans="1:21" x14ac:dyDescent="0.3">
      <c r="B100" s="7" t="str">
        <f>IF(1&gt;=2,('Testes estatísticos'!$D$77+'Testes estatísticos'!$D$76)/2,"")</f>
        <v/>
      </c>
      <c r="C100" s="7">
        <f>IF(2&gt;=2,('Testes estatísticos'!$D$77+'Testes estatísticos'!$D$77)/2,"")</f>
        <v>-6.5585140000000024</v>
      </c>
      <c r="D100" s="7">
        <f>IF(3&gt;=2,('Testes estatísticos'!$D$77+'Testes estatísticos'!$D$78)/2,"")</f>
        <v>-4.4850395000000027</v>
      </c>
      <c r="E100" s="7">
        <f>IF(4&gt;=2,('Testes estatísticos'!$D$77+'Testes estatísticos'!$D$79)/2,"")</f>
        <v>-5.1683580000000013</v>
      </c>
      <c r="F100" s="7">
        <f>IF(5&gt;=2,('Testes estatísticos'!$D$77+'Testes estatísticos'!$D$80)/2,"")</f>
        <v>-5.1901360000000025</v>
      </c>
      <c r="G100" s="7">
        <f>IF(6&gt;=2,('Testes estatísticos'!$D$77+'Testes estatísticos'!$D$81)/2,"")</f>
        <v>-1.0586780000000005</v>
      </c>
      <c r="H100" s="7">
        <f>IF(7&gt;=2,('Testes estatísticos'!$D$77+'Testes estatísticos'!$D$82)/2,"")</f>
        <v>-6.3202674999999999</v>
      </c>
      <c r="I100" s="7">
        <f>IF(8&gt;=2,('Testes estatísticos'!$D$77+'Testes estatísticos'!$D$83)/2,"")</f>
        <v>-4.5600084999999986</v>
      </c>
      <c r="J100" s="7">
        <f>IF(9&gt;=2,('Testes estatísticos'!$D$77+'Testes estatísticos'!$D$84)/2,"")</f>
        <v>-4.5082860000000018</v>
      </c>
      <c r="K100" s="7">
        <f>IF(10&gt;=2,('Testes estatísticos'!$D$77+'Testes estatísticos'!$D$85)/2,"")</f>
        <v>-6.3153025000000014</v>
      </c>
      <c r="L100" s="7">
        <f>IF(11&gt;=2,('Testes estatísticos'!$D$77+'Testes estatísticos'!$D$86)/2,"")</f>
        <v>-6.3654475000000019</v>
      </c>
      <c r="M100" s="7">
        <f>IF(12&gt;=2,('Testes estatísticos'!$D$77+'Testes estatísticos'!$D$87)/2,"")</f>
        <v>-4.2876570000000029</v>
      </c>
      <c r="N100" s="7">
        <f>IF(13&gt;=2,('Testes estatísticos'!$D$77+'Testes estatísticos'!$D$88)/2,"")</f>
        <v>-4.8164640000000034</v>
      </c>
      <c r="O100" s="7">
        <f>IF(14&gt;=2,('Testes estatísticos'!$D$77+'Testes estatísticos'!$D$89)/2,"")</f>
        <v>-5.1483710000000009</v>
      </c>
      <c r="P100" s="7">
        <f>IF(15&gt;=2,('Testes estatísticos'!$D$77+'Testes estatísticos'!$D$90)/2,"")</f>
        <v>-3.3328240000000022</v>
      </c>
      <c r="Q100" s="7">
        <f>IF(16&gt;=2,('Testes estatísticos'!$D$77+'Testes estatísticos'!$D$91)/2,"")</f>
        <v>-6.0229834999999987</v>
      </c>
      <c r="R100" s="7">
        <f>IF(17&gt;=2,('Testes estatísticos'!$D$77+'Testes estatísticos'!$D$92)/2,"")</f>
        <v>-4.7807770000000005</v>
      </c>
      <c r="S100" s="7">
        <f>IF(18&gt;=2,('Testes estatísticos'!$D$77+'Testes estatísticos'!$D$93)/2,"")</f>
        <v>-4.5366935000000019</v>
      </c>
      <c r="T100" s="7">
        <f>IF(19&gt;=2,('Testes estatísticos'!$D$77+'Testes estatísticos'!$D$94)/2,"")</f>
        <v>-5.1482855000000036</v>
      </c>
      <c r="U100" s="7">
        <f>IF(20&gt;=2,('Testes estatísticos'!$D$77+'Testes estatísticos'!$D$95)/2,"")</f>
        <v>-7.4824175000000004</v>
      </c>
    </row>
    <row r="101" spans="1:21" x14ac:dyDescent="0.3">
      <c r="B101" s="7" t="str">
        <f>IF(1&gt;=3,('Testes estatísticos'!$D$78+'Testes estatísticos'!$D$76)/2,"")</f>
        <v/>
      </c>
      <c r="C101" s="7" t="str">
        <f>IF(2&gt;=3,('Testes estatísticos'!$D$78+'Testes estatísticos'!$D$77)/2,"")</f>
        <v/>
      </c>
      <c r="D101" s="7">
        <f>IF(3&gt;=3,('Testes estatísticos'!$D$78+'Testes estatísticos'!$D$78)/2,"")</f>
        <v>-2.4115650000000031</v>
      </c>
      <c r="E101" s="7">
        <f>IF(4&gt;=3,('Testes estatísticos'!$D$78+'Testes estatísticos'!$D$79)/2,"")</f>
        <v>-3.0948835000000017</v>
      </c>
      <c r="F101" s="7">
        <f>IF(5&gt;=3,('Testes estatísticos'!$D$78+'Testes estatísticos'!$D$80)/2,"")</f>
        <v>-3.1166615000000029</v>
      </c>
      <c r="G101" s="7">
        <f>IF(6&gt;=3,('Testes estatísticos'!$D$78+'Testes estatísticos'!$D$81)/2,"")</f>
        <v>1.0147964999999992</v>
      </c>
      <c r="H101" s="7">
        <f>IF(7&gt;=3,('Testes estatísticos'!$D$78+'Testes estatísticos'!$D$82)/2,"")</f>
        <v>-4.2467930000000003</v>
      </c>
      <c r="I101" s="7">
        <f>IF(8&gt;=3,('Testes estatísticos'!$D$78+'Testes estatísticos'!$D$83)/2,"")</f>
        <v>-2.4865339999999989</v>
      </c>
      <c r="J101" s="7">
        <f>IF(9&gt;=3,('Testes estatísticos'!$D$78+'Testes estatísticos'!$D$84)/2,"")</f>
        <v>-2.4348115000000021</v>
      </c>
      <c r="K101" s="7">
        <f>IF(10&gt;=3,('Testes estatísticos'!$D$78+'Testes estatísticos'!$D$85)/2,"")</f>
        <v>-4.2418280000000017</v>
      </c>
      <c r="L101" s="7">
        <f>IF(11&gt;=3,('Testes estatísticos'!$D$78+'Testes estatísticos'!$D$86)/2,"")</f>
        <v>-4.2919730000000023</v>
      </c>
      <c r="M101" s="7">
        <f>IF(12&gt;=3,('Testes estatísticos'!$D$78+'Testes estatísticos'!$D$87)/2,"")</f>
        <v>-2.2141825000000033</v>
      </c>
      <c r="N101" s="7">
        <f>IF(13&gt;=3,('Testes estatísticos'!$D$78+'Testes estatísticos'!$D$88)/2,"")</f>
        <v>-2.7429895000000037</v>
      </c>
      <c r="O101" s="7">
        <f>IF(14&gt;=3,('Testes estatísticos'!$D$78+'Testes estatísticos'!$D$89)/2,"")</f>
        <v>-3.0748965000000013</v>
      </c>
      <c r="P101" s="7">
        <f>IF(15&gt;=3,('Testes estatísticos'!$D$78+'Testes estatísticos'!$D$90)/2,"")</f>
        <v>-1.2593495000000026</v>
      </c>
      <c r="Q101" s="7">
        <f>IF(16&gt;=3,('Testes estatísticos'!$D$78+'Testes estatísticos'!$D$91)/2,"")</f>
        <v>-3.949508999999999</v>
      </c>
      <c r="R101" s="7">
        <f>IF(17&gt;=3,('Testes estatísticos'!$D$78+'Testes estatísticos'!$D$92)/2,"")</f>
        <v>-2.7073025000000008</v>
      </c>
      <c r="S101" s="7">
        <f>IF(18&gt;=3,('Testes estatísticos'!$D$78+'Testes estatísticos'!$D$93)/2,"")</f>
        <v>-2.4632190000000023</v>
      </c>
      <c r="T101" s="7">
        <f>IF(19&gt;=3,('Testes estatísticos'!$D$78+'Testes estatísticos'!$D$94)/2,"")</f>
        <v>-3.074811000000004</v>
      </c>
      <c r="U101" s="7">
        <f>IF(20&gt;=3,('Testes estatísticos'!$D$78+'Testes estatísticos'!$D$95)/2,"")</f>
        <v>-5.4089430000000007</v>
      </c>
    </row>
    <row r="102" spans="1:21" x14ac:dyDescent="0.3">
      <c r="B102" s="7" t="str">
        <f>IF(1&gt;=4,('Testes estatísticos'!$D$79+'Testes estatísticos'!$D$76)/2,"")</f>
        <v/>
      </c>
      <c r="C102" s="7" t="str">
        <f>IF(2&gt;=4,('Testes estatísticos'!$D$79+'Testes estatísticos'!$D$77)/2,"")</f>
        <v/>
      </c>
      <c r="D102" s="7" t="str">
        <f>IF(3&gt;=4,('Testes estatísticos'!$D$79+'Testes estatísticos'!$D$78)/2,"")</f>
        <v/>
      </c>
      <c r="E102" s="7">
        <f>IF(4&gt;=4,('Testes estatísticos'!$D$79+'Testes estatísticos'!$D$79)/2,"")</f>
        <v>-3.7782020000000003</v>
      </c>
      <c r="F102" s="7">
        <f>IF(5&gt;=4,('Testes estatísticos'!$D$79+'Testes estatísticos'!$D$80)/2,"")</f>
        <v>-3.7999800000000015</v>
      </c>
      <c r="G102" s="7">
        <f>IF(6&gt;=4,('Testes estatísticos'!$D$79+'Testes estatísticos'!$D$81)/2,"")</f>
        <v>0.33147800000000061</v>
      </c>
      <c r="H102" s="7">
        <f>IF(7&gt;=4,('Testes estatísticos'!$D$79+'Testes estatísticos'!$D$82)/2,"")</f>
        <v>-4.9301114999999989</v>
      </c>
      <c r="I102" s="7">
        <f>IF(8&gt;=4,('Testes estatísticos'!$D$79+'Testes estatísticos'!$D$83)/2,"")</f>
        <v>-3.1698524999999975</v>
      </c>
      <c r="J102" s="7">
        <f>IF(9&gt;=4,('Testes estatísticos'!$D$79+'Testes estatísticos'!$D$84)/2,"")</f>
        <v>-3.1181300000000007</v>
      </c>
      <c r="K102" s="7">
        <f>IF(10&gt;=4,('Testes estatísticos'!$D$79+'Testes estatísticos'!$D$85)/2,"")</f>
        <v>-4.9251465000000003</v>
      </c>
      <c r="L102" s="7">
        <f>IF(11&gt;=4,('Testes estatísticos'!$D$79+'Testes estatísticos'!$D$86)/2,"")</f>
        <v>-4.9752915000000009</v>
      </c>
      <c r="M102" s="7">
        <f>IF(12&gt;=4,('Testes estatísticos'!$D$79+'Testes estatísticos'!$D$87)/2,"")</f>
        <v>-2.8975010000000019</v>
      </c>
      <c r="N102" s="7">
        <f>IF(13&gt;=4,('Testes estatísticos'!$D$79+'Testes estatísticos'!$D$88)/2,"")</f>
        <v>-3.4263080000000024</v>
      </c>
      <c r="O102" s="7">
        <f>IF(14&gt;=4,('Testes estatísticos'!$D$79+'Testes estatísticos'!$D$89)/2,"")</f>
        <v>-3.7582149999999999</v>
      </c>
      <c r="P102" s="7">
        <f>IF(15&gt;=4,('Testes estatísticos'!$D$79+'Testes estatísticos'!$D$90)/2,"")</f>
        <v>-1.9426680000000012</v>
      </c>
      <c r="Q102" s="7">
        <f>IF(16&gt;=4,('Testes estatísticos'!$D$79+'Testes estatísticos'!$D$91)/2,"")</f>
        <v>-4.6328274999999977</v>
      </c>
      <c r="R102" s="7">
        <f>IF(17&gt;=4,('Testes estatísticos'!$D$79+'Testes estatísticos'!$D$92)/2,"")</f>
        <v>-3.3906209999999994</v>
      </c>
      <c r="S102" s="7">
        <f>IF(18&gt;=4,('Testes estatísticos'!$D$79+'Testes estatísticos'!$D$93)/2,"")</f>
        <v>-3.1465375000000009</v>
      </c>
      <c r="T102" s="7">
        <f>IF(19&gt;=4,('Testes estatísticos'!$D$79+'Testes estatísticos'!$D$94)/2,"")</f>
        <v>-3.7581295000000026</v>
      </c>
      <c r="U102" s="7">
        <f>IF(20&gt;=4,('Testes estatísticos'!$D$79+'Testes estatísticos'!$D$95)/2,"")</f>
        <v>-6.0922614999999993</v>
      </c>
    </row>
    <row r="103" spans="1:21" x14ac:dyDescent="0.3">
      <c r="B103" s="7" t="str">
        <f>IF(1&gt;=5,('Testes estatísticos'!$D$80+'Testes estatísticos'!$D$76)/2,"")</f>
        <v/>
      </c>
      <c r="C103" s="7" t="str">
        <f>IF(2&gt;=5,('Testes estatísticos'!$D$80+'Testes estatísticos'!$D$77)/2,"")</f>
        <v/>
      </c>
      <c r="D103" s="7" t="str">
        <f>IF(3&gt;=5,('Testes estatísticos'!$D$80+'Testes estatísticos'!$D$78)/2,"")</f>
        <v/>
      </c>
      <c r="E103" s="7" t="str">
        <f>IF(4&gt;=5,('Testes estatísticos'!$D$80+'Testes estatísticos'!$D$79)/2,"")</f>
        <v/>
      </c>
      <c r="F103" s="7">
        <f>IF(5&gt;=5,('Testes estatísticos'!$D$80+'Testes estatísticos'!$D$80)/2,"")</f>
        <v>-3.8217580000000027</v>
      </c>
      <c r="G103" s="7">
        <f>IF(6&gt;=5,('Testes estatísticos'!$D$80+'Testes estatísticos'!$D$81)/2,"")</f>
        <v>0.30969999999999942</v>
      </c>
      <c r="H103" s="7">
        <f>IF(7&gt;=5,('Testes estatísticos'!$D$80+'Testes estatísticos'!$D$82)/2,"")</f>
        <v>-4.9518895000000001</v>
      </c>
      <c r="I103" s="7">
        <f>IF(8&gt;=5,('Testes estatísticos'!$D$80+'Testes estatísticos'!$D$83)/2,"")</f>
        <v>-3.1916304999999987</v>
      </c>
      <c r="J103" s="7">
        <f>IF(9&gt;=5,('Testes estatísticos'!$D$80+'Testes estatísticos'!$D$84)/2,"")</f>
        <v>-3.1399080000000019</v>
      </c>
      <c r="K103" s="7">
        <f>IF(10&gt;=5,('Testes estatísticos'!$D$80+'Testes estatísticos'!$D$85)/2,"")</f>
        <v>-4.9469245000000015</v>
      </c>
      <c r="L103" s="7">
        <f>IF(11&gt;=5,('Testes estatísticos'!$D$80+'Testes estatísticos'!$D$86)/2,"")</f>
        <v>-4.9970695000000021</v>
      </c>
      <c r="M103" s="7">
        <f>IF(12&gt;=5,('Testes estatísticos'!$D$80+'Testes estatísticos'!$D$87)/2,"")</f>
        <v>-2.9192790000000031</v>
      </c>
      <c r="N103" s="7">
        <f>IF(13&gt;=5,('Testes estatísticos'!$D$80+'Testes estatísticos'!$D$88)/2,"")</f>
        <v>-3.4480860000000035</v>
      </c>
      <c r="O103" s="7">
        <f>IF(14&gt;=5,('Testes estatísticos'!$D$80+'Testes estatísticos'!$D$89)/2,"")</f>
        <v>-3.779993000000001</v>
      </c>
      <c r="P103" s="7">
        <f>IF(15&gt;=5,('Testes estatísticos'!$D$80+'Testes estatísticos'!$D$90)/2,"")</f>
        <v>-1.9644460000000024</v>
      </c>
      <c r="Q103" s="7">
        <f>IF(16&gt;=5,('Testes estatísticos'!$D$80+'Testes estatísticos'!$D$91)/2,"")</f>
        <v>-4.6546054999999988</v>
      </c>
      <c r="R103" s="7">
        <f>IF(17&gt;=5,('Testes estatísticos'!$D$80+'Testes estatísticos'!$D$92)/2,"")</f>
        <v>-3.4123990000000006</v>
      </c>
      <c r="S103" s="7">
        <f>IF(18&gt;=5,('Testes estatísticos'!$D$80+'Testes estatísticos'!$D$93)/2,"")</f>
        <v>-3.1683155000000021</v>
      </c>
      <c r="T103" s="7">
        <f>IF(19&gt;=5,('Testes estatísticos'!$D$80+'Testes estatísticos'!$D$94)/2,"")</f>
        <v>-3.7799075000000038</v>
      </c>
      <c r="U103" s="7">
        <f>IF(20&gt;=5,('Testes estatísticos'!$D$80+'Testes estatísticos'!$D$95)/2,"")</f>
        <v>-6.1140395000000005</v>
      </c>
    </row>
    <row r="104" spans="1:21" x14ac:dyDescent="0.3">
      <c r="B104" s="7" t="str">
        <f>IF(1&gt;=6,('Testes estatísticos'!$D$81+'Testes estatísticos'!$D$76)/2,"")</f>
        <v/>
      </c>
      <c r="C104" s="7" t="str">
        <f>IF(2&gt;=6,('Testes estatísticos'!$D$81+'Testes estatísticos'!$D$77)/2,"")</f>
        <v/>
      </c>
      <c r="D104" s="7" t="str">
        <f>IF(3&gt;=6,('Testes estatísticos'!$D$81+'Testes estatísticos'!$D$78)/2,"")</f>
        <v/>
      </c>
      <c r="E104" s="7" t="str">
        <f>IF(4&gt;=6,('Testes estatísticos'!$D$81+'Testes estatísticos'!$D$79)/2,"")</f>
        <v/>
      </c>
      <c r="F104" s="7" t="str">
        <f>IF(5&gt;=6,('Testes estatísticos'!$D$81+'Testes estatísticos'!$D$80)/2,"")</f>
        <v/>
      </c>
      <c r="G104" s="7">
        <f>IF(6&gt;=6,('Testes estatísticos'!$D$81+'Testes estatísticos'!$D$81)/2,"")</f>
        <v>4.4411580000000015</v>
      </c>
      <c r="H104" s="7">
        <f>IF(7&gt;=6,('Testes estatísticos'!$D$81+'Testes estatísticos'!$D$82)/2,"")</f>
        <v>-0.82043149999999798</v>
      </c>
      <c r="I104" s="7">
        <f>IF(8&gt;=6,('Testes estatísticos'!$D$81+'Testes estatísticos'!$D$83)/2,"")</f>
        <v>0.93982750000000337</v>
      </c>
      <c r="J104" s="7">
        <f>IF(9&gt;=6,('Testes estatísticos'!$D$81+'Testes estatísticos'!$D$84)/2,"")</f>
        <v>0.99155000000000015</v>
      </c>
      <c r="K104" s="7">
        <f>IF(10&gt;=6,('Testes estatísticos'!$D$81+'Testes estatísticos'!$D$85)/2,"")</f>
        <v>-0.81546649999999943</v>
      </c>
      <c r="L104" s="7">
        <f>IF(11&gt;=6,('Testes estatísticos'!$D$81+'Testes estatísticos'!$D$86)/2,"")</f>
        <v>-0.86561149999999998</v>
      </c>
      <c r="M104" s="7">
        <f>IF(12&gt;=6,('Testes estatísticos'!$D$81+'Testes estatísticos'!$D$87)/2,"")</f>
        <v>1.212178999999999</v>
      </c>
      <c r="N104" s="7">
        <f>IF(13&gt;=6,('Testes estatísticos'!$D$81+'Testes estatísticos'!$D$88)/2,"")</f>
        <v>0.68337199999999854</v>
      </c>
      <c r="O104" s="7">
        <f>IF(14&gt;=6,('Testes estatísticos'!$D$81+'Testes estatísticos'!$D$89)/2,"")</f>
        <v>0.35146500000000103</v>
      </c>
      <c r="P104" s="7">
        <f>IF(15&gt;=6,('Testes estatísticos'!$D$81+'Testes estatísticos'!$D$90)/2,"")</f>
        <v>2.1670119999999997</v>
      </c>
      <c r="Q104" s="7">
        <f>IF(16&gt;=6,('Testes estatísticos'!$D$81+'Testes estatísticos'!$D$91)/2,"")</f>
        <v>-0.52314749999999677</v>
      </c>
      <c r="R104" s="7">
        <f>IF(17&gt;=6,('Testes estatísticos'!$D$81+'Testes estatísticos'!$D$92)/2,"")</f>
        <v>0.71905900000000145</v>
      </c>
      <c r="S104" s="7">
        <f>IF(18&gt;=6,('Testes estatísticos'!$D$81+'Testes estatísticos'!$D$93)/2,"")</f>
        <v>0.96314250000000001</v>
      </c>
      <c r="T104" s="7">
        <f>IF(19&gt;=6,('Testes estatísticos'!$D$81+'Testes estatísticos'!$D$94)/2,"")</f>
        <v>0.35155049999999832</v>
      </c>
      <c r="U104" s="7">
        <f>IF(20&gt;=6,('Testes estatísticos'!$D$81+'Testes estatísticos'!$D$95)/2,"")</f>
        <v>-1.9825814999999984</v>
      </c>
    </row>
    <row r="105" spans="1:21" x14ac:dyDescent="0.3">
      <c r="B105" s="7" t="str">
        <f>IF(1&gt;=7,('Testes estatísticos'!$D$82+'Testes estatísticos'!$D$76)/2,"")</f>
        <v/>
      </c>
      <c r="C105" s="7" t="str">
        <f>IF(2&gt;=7,('Testes estatísticos'!$D$82+'Testes estatísticos'!$D$77)/2,"")</f>
        <v/>
      </c>
      <c r="D105" s="7" t="str">
        <f>IF(3&gt;=7,('Testes estatísticos'!$D$82+'Testes estatísticos'!$D$78)/2,"")</f>
        <v/>
      </c>
      <c r="E105" s="7" t="str">
        <f>IF(4&gt;=7,('Testes estatísticos'!$D$82+'Testes estatísticos'!$D$79)/2,"")</f>
        <v/>
      </c>
      <c r="F105" s="7" t="str">
        <f>IF(5&gt;=7,('Testes estatísticos'!$D$82+'Testes estatísticos'!$D$80)/2,"")</f>
        <v/>
      </c>
      <c r="G105" s="7" t="str">
        <f>IF(6&gt;=7,('Testes estatísticos'!$D$82+'Testes estatísticos'!$D$81)/2,"")</f>
        <v/>
      </c>
      <c r="H105" s="7">
        <f>IF(7&gt;=7,('Testes estatísticos'!$D$82+'Testes estatísticos'!$D$82)/2,"")</f>
        <v>-6.0820209999999975</v>
      </c>
      <c r="I105" s="7">
        <f>IF(8&gt;=7,('Testes estatísticos'!$D$82+'Testes estatísticos'!$D$83)/2,"")</f>
        <v>-4.3217619999999961</v>
      </c>
      <c r="J105" s="7">
        <f>IF(9&gt;=7,('Testes estatísticos'!$D$82+'Testes estatísticos'!$D$84)/2,"")</f>
        <v>-4.2700394999999993</v>
      </c>
      <c r="K105" s="7">
        <f>IF(10&gt;=7,('Testes estatísticos'!$D$82+'Testes estatísticos'!$D$85)/2,"")</f>
        <v>-6.0770559999999989</v>
      </c>
      <c r="L105" s="7">
        <f>IF(11&gt;=7,('Testes estatísticos'!$D$82+'Testes estatísticos'!$D$86)/2,"")</f>
        <v>-6.1272009999999995</v>
      </c>
      <c r="M105" s="7">
        <f>IF(12&gt;=7,('Testes estatísticos'!$D$82+'Testes estatísticos'!$D$87)/2,"")</f>
        <v>-4.0494105000000005</v>
      </c>
      <c r="N105" s="7">
        <f>IF(13&gt;=7,('Testes estatísticos'!$D$82+'Testes estatísticos'!$D$88)/2,"")</f>
        <v>-4.5782175000000009</v>
      </c>
      <c r="O105" s="7">
        <f>IF(14&gt;=7,('Testes estatísticos'!$D$82+'Testes estatísticos'!$D$89)/2,"")</f>
        <v>-4.9101244999999984</v>
      </c>
      <c r="P105" s="7">
        <f>IF(15&gt;=7,('Testes estatísticos'!$D$82+'Testes estatísticos'!$D$90)/2,"")</f>
        <v>-3.0945774999999998</v>
      </c>
      <c r="Q105" s="7">
        <f>IF(16&gt;=7,('Testes estatísticos'!$D$82+'Testes estatísticos'!$D$91)/2,"")</f>
        <v>-5.7847369999999962</v>
      </c>
      <c r="R105" s="7">
        <f>IF(17&gt;=7,('Testes estatísticos'!$D$82+'Testes estatísticos'!$D$92)/2,"")</f>
        <v>-4.542530499999998</v>
      </c>
      <c r="S105" s="7">
        <f>IF(18&gt;=7,('Testes estatísticos'!$D$82+'Testes estatísticos'!$D$93)/2,"")</f>
        <v>-4.2984469999999995</v>
      </c>
      <c r="T105" s="7">
        <f>IF(19&gt;=7,('Testes estatísticos'!$D$82+'Testes estatísticos'!$D$94)/2,"")</f>
        <v>-4.9100390000000012</v>
      </c>
      <c r="U105" s="7">
        <f>IF(20&gt;=7,('Testes estatísticos'!$D$82+'Testes estatísticos'!$D$95)/2,"")</f>
        <v>-7.2441709999999979</v>
      </c>
    </row>
    <row r="106" spans="1:21" x14ac:dyDescent="0.3">
      <c r="B106" s="7" t="str">
        <f>IF(1&gt;=8,('Testes estatísticos'!$D$83+'Testes estatísticos'!$D$76)/2,"")</f>
        <v/>
      </c>
      <c r="C106" s="7" t="str">
        <f>IF(2&gt;=8,('Testes estatísticos'!$D$83+'Testes estatísticos'!$D$77)/2,"")</f>
        <v/>
      </c>
      <c r="D106" s="7" t="str">
        <f>IF(3&gt;=8,('Testes estatísticos'!$D$83+'Testes estatísticos'!$D$78)/2,"")</f>
        <v/>
      </c>
      <c r="E106" s="7" t="str">
        <f>IF(4&gt;=8,('Testes estatísticos'!$D$83+'Testes estatísticos'!$D$79)/2,"")</f>
        <v/>
      </c>
      <c r="F106" s="7" t="str">
        <f>IF(5&gt;=8,('Testes estatísticos'!$D$83+'Testes estatísticos'!$D$80)/2,"")</f>
        <v/>
      </c>
      <c r="G106" s="7" t="str">
        <f>IF(6&gt;=8,('Testes estatísticos'!$D$83+'Testes estatísticos'!$D$81)/2,"")</f>
        <v/>
      </c>
      <c r="H106" s="7" t="str">
        <f>IF(7&gt;=8,('Testes estatísticos'!$D$83+'Testes estatísticos'!$D$82)/2,"")</f>
        <v/>
      </c>
      <c r="I106" s="7">
        <f>IF(8&gt;=8,('Testes estatísticos'!$D$83+'Testes estatísticos'!$D$83)/2,"")</f>
        <v>-2.5615029999999948</v>
      </c>
      <c r="J106" s="7">
        <f>IF(9&gt;=8,('Testes estatísticos'!$D$83+'Testes estatísticos'!$D$84)/2,"")</f>
        <v>-2.509780499999998</v>
      </c>
      <c r="K106" s="7">
        <f>IF(10&gt;=8,('Testes estatísticos'!$D$83+'Testes estatísticos'!$D$85)/2,"")</f>
        <v>-4.3167969999999976</v>
      </c>
      <c r="L106" s="7">
        <f>IF(11&gt;=8,('Testes estatísticos'!$D$83+'Testes estatísticos'!$D$86)/2,"")</f>
        <v>-4.3669419999999981</v>
      </c>
      <c r="M106" s="7">
        <f>IF(12&gt;=8,('Testes estatísticos'!$D$83+'Testes estatísticos'!$D$87)/2,"")</f>
        <v>-2.2891514999999991</v>
      </c>
      <c r="N106" s="7">
        <f>IF(13&gt;=8,('Testes estatísticos'!$D$83+'Testes estatísticos'!$D$88)/2,"")</f>
        <v>-2.8179584999999996</v>
      </c>
      <c r="O106" s="7">
        <f>IF(14&gt;=8,('Testes estatísticos'!$D$83+'Testes estatísticos'!$D$89)/2,"")</f>
        <v>-3.1498654999999971</v>
      </c>
      <c r="P106" s="7">
        <f>IF(15&gt;=8,('Testes estatísticos'!$D$83+'Testes estatísticos'!$D$90)/2,"")</f>
        <v>-1.3343184999999984</v>
      </c>
      <c r="Q106" s="7">
        <f>IF(16&gt;=8,('Testes estatísticos'!$D$83+'Testes estatísticos'!$D$91)/2,"")</f>
        <v>-4.0244779999999949</v>
      </c>
      <c r="R106" s="7">
        <f>IF(17&gt;=8,('Testes estatísticos'!$D$83+'Testes estatísticos'!$D$92)/2,"")</f>
        <v>-2.7822714999999967</v>
      </c>
      <c r="S106" s="7">
        <f>IF(18&gt;=8,('Testes estatísticos'!$D$83+'Testes estatísticos'!$D$93)/2,"")</f>
        <v>-2.5381879999999981</v>
      </c>
      <c r="T106" s="7">
        <f>IF(19&gt;=8,('Testes estatísticos'!$D$83+'Testes estatísticos'!$D$94)/2,"")</f>
        <v>-3.1497799999999998</v>
      </c>
      <c r="U106" s="7">
        <f>IF(20&gt;=8,('Testes estatísticos'!$D$83+'Testes estatísticos'!$D$95)/2,"")</f>
        <v>-5.4839119999999966</v>
      </c>
    </row>
    <row r="107" spans="1:21" x14ac:dyDescent="0.3">
      <c r="B107" s="7" t="str">
        <f>IF(1&gt;=9,('Testes estatísticos'!$D$84+'Testes estatísticos'!$D$76)/2,"")</f>
        <v/>
      </c>
      <c r="C107" s="7" t="str">
        <f>IF(2&gt;=9,('Testes estatísticos'!$D$84+'Testes estatísticos'!$D$77)/2,"")</f>
        <v/>
      </c>
      <c r="D107" s="7" t="str">
        <f>IF(3&gt;=9,('Testes estatísticos'!$D$84+'Testes estatísticos'!$D$78)/2,"")</f>
        <v/>
      </c>
      <c r="E107" s="7" t="str">
        <f>IF(4&gt;=9,('Testes estatísticos'!$D$84+'Testes estatísticos'!$D$79)/2,"")</f>
        <v/>
      </c>
      <c r="F107" s="7" t="str">
        <f>IF(5&gt;=9,('Testes estatísticos'!$D$84+'Testes estatísticos'!$D$80)/2,"")</f>
        <v/>
      </c>
      <c r="G107" s="7" t="str">
        <f>IF(6&gt;=9,('Testes estatísticos'!$D$84+'Testes estatísticos'!$D$81)/2,"")</f>
        <v/>
      </c>
      <c r="H107" s="7" t="str">
        <f>IF(7&gt;=9,('Testes estatísticos'!$D$84+'Testes estatísticos'!$D$82)/2,"")</f>
        <v/>
      </c>
      <c r="I107" s="7" t="str">
        <f>IF(8&gt;=9,('Testes estatísticos'!$D$84+'Testes estatísticos'!$D$83)/2,"")</f>
        <v/>
      </c>
      <c r="J107" s="7">
        <f>IF(9&gt;=9,('Testes estatísticos'!$D$84+'Testes estatísticos'!$D$84)/2,"")</f>
        <v>-2.4580580000000012</v>
      </c>
      <c r="K107" s="7">
        <f>IF(10&gt;=9,('Testes estatísticos'!$D$84+'Testes estatísticos'!$D$85)/2,"")</f>
        <v>-4.2650745000000008</v>
      </c>
      <c r="L107" s="7">
        <f>IF(11&gt;=9,('Testes estatísticos'!$D$84+'Testes estatísticos'!$D$86)/2,"")</f>
        <v>-4.3152195000000013</v>
      </c>
      <c r="M107" s="7">
        <f>IF(12&gt;=9,('Testes estatísticos'!$D$84+'Testes estatísticos'!$D$87)/2,"")</f>
        <v>-2.2374290000000023</v>
      </c>
      <c r="N107" s="7">
        <f>IF(13&gt;=9,('Testes estatísticos'!$D$84+'Testes estatísticos'!$D$88)/2,"")</f>
        <v>-2.7662360000000028</v>
      </c>
      <c r="O107" s="7">
        <f>IF(14&gt;=9,('Testes estatísticos'!$D$84+'Testes estatísticos'!$D$89)/2,"")</f>
        <v>-3.0981430000000003</v>
      </c>
      <c r="P107" s="7">
        <f>IF(15&gt;=9,('Testes estatísticos'!$D$84+'Testes estatísticos'!$D$90)/2,"")</f>
        <v>-1.2825960000000016</v>
      </c>
      <c r="Q107" s="7">
        <f>IF(16&gt;=9,('Testes estatísticos'!$D$84+'Testes estatísticos'!$D$91)/2,"")</f>
        <v>-3.9727554999999981</v>
      </c>
      <c r="R107" s="7">
        <f>IF(17&gt;=9,('Testes estatísticos'!$D$84+'Testes estatísticos'!$D$92)/2,"")</f>
        <v>-2.7305489999999999</v>
      </c>
      <c r="S107" s="7">
        <f>IF(18&gt;=9,('Testes estatísticos'!$D$84+'Testes estatísticos'!$D$93)/2,"")</f>
        <v>-2.4864655000000013</v>
      </c>
      <c r="T107" s="7">
        <f>IF(19&gt;=9,('Testes estatísticos'!$D$84+'Testes estatísticos'!$D$94)/2,"")</f>
        <v>-3.098057500000003</v>
      </c>
      <c r="U107" s="7">
        <f>IF(20&gt;=9,('Testes estatísticos'!$D$84+'Testes estatísticos'!$D$95)/2,"")</f>
        <v>-5.4321894999999998</v>
      </c>
    </row>
    <row r="108" spans="1:21" x14ac:dyDescent="0.3">
      <c r="B108" s="7" t="str">
        <f>IF(1&gt;=10,('Testes estatísticos'!$D$85+'Testes estatísticos'!$D$76)/2,"")</f>
        <v/>
      </c>
      <c r="C108" s="7" t="str">
        <f>IF(2&gt;=10,('Testes estatísticos'!$D$85+'Testes estatísticos'!$D$77)/2,"")</f>
        <v/>
      </c>
      <c r="D108" s="7" t="str">
        <f>IF(3&gt;=10,('Testes estatísticos'!$D$85+'Testes estatísticos'!$D$78)/2,"")</f>
        <v/>
      </c>
      <c r="E108" s="7" t="str">
        <f>IF(4&gt;=10,('Testes estatísticos'!$D$85+'Testes estatísticos'!$D$79)/2,"")</f>
        <v/>
      </c>
      <c r="F108" s="7" t="str">
        <f>IF(5&gt;=10,('Testes estatísticos'!$D$85+'Testes estatísticos'!$D$80)/2,"")</f>
        <v/>
      </c>
      <c r="G108" s="7" t="str">
        <f>IF(6&gt;=10,('Testes estatísticos'!$D$85+'Testes estatísticos'!$D$81)/2,"")</f>
        <v/>
      </c>
      <c r="H108" s="7" t="str">
        <f>IF(7&gt;=10,('Testes estatísticos'!$D$85+'Testes estatísticos'!$D$82)/2,"")</f>
        <v/>
      </c>
      <c r="I108" s="7" t="str">
        <f>IF(8&gt;=10,('Testes estatísticos'!$D$85+'Testes estatísticos'!$D$83)/2,"")</f>
        <v/>
      </c>
      <c r="J108" s="7" t="str">
        <f>IF(9&gt;=10,('Testes estatísticos'!$D$85+'Testes estatísticos'!$D$84)/2,"")</f>
        <v/>
      </c>
      <c r="K108" s="7">
        <f>IF(10&gt;=10,('Testes estatísticos'!$D$85+'Testes estatísticos'!$D$85)/2,"")</f>
        <v>-6.0720910000000003</v>
      </c>
      <c r="L108" s="7">
        <f>IF(11&gt;=10,('Testes estatísticos'!$D$85+'Testes estatísticos'!$D$86)/2,"")</f>
        <v>-6.1222360000000009</v>
      </c>
      <c r="M108" s="7">
        <f>IF(12&gt;=10,('Testes estatísticos'!$D$85+'Testes estatísticos'!$D$87)/2,"")</f>
        <v>-4.0444455000000019</v>
      </c>
      <c r="N108" s="7">
        <f>IF(13&gt;=10,('Testes estatísticos'!$D$85+'Testes estatísticos'!$D$88)/2,"")</f>
        <v>-4.5732525000000024</v>
      </c>
      <c r="O108" s="7">
        <f>IF(14&gt;=10,('Testes estatísticos'!$D$85+'Testes estatísticos'!$D$89)/2,"")</f>
        <v>-4.9051594999999999</v>
      </c>
      <c r="P108" s="7">
        <f>IF(15&gt;=10,('Testes estatísticos'!$D$85+'Testes estatísticos'!$D$90)/2,"")</f>
        <v>-3.0896125000000012</v>
      </c>
      <c r="Q108" s="7">
        <f>IF(16&gt;=10,('Testes estatísticos'!$D$85+'Testes estatísticos'!$D$91)/2,"")</f>
        <v>-5.7797719999999977</v>
      </c>
      <c r="R108" s="7">
        <f>IF(17&gt;=10,('Testes estatísticos'!$D$85+'Testes estatísticos'!$D$92)/2,"")</f>
        <v>-4.5375654999999995</v>
      </c>
      <c r="S108" s="7">
        <f>IF(18&gt;=10,('Testes estatísticos'!$D$85+'Testes estatísticos'!$D$93)/2,"")</f>
        <v>-4.2934820000000009</v>
      </c>
      <c r="T108" s="7">
        <f>IF(19&gt;=10,('Testes estatísticos'!$D$85+'Testes estatísticos'!$D$94)/2,"")</f>
        <v>-4.9050740000000026</v>
      </c>
      <c r="U108" s="7">
        <f>IF(20&gt;=10,('Testes estatísticos'!$D$85+'Testes estatísticos'!$D$95)/2,"")</f>
        <v>-7.2392059999999994</v>
      </c>
    </row>
    <row r="109" spans="1:21" x14ac:dyDescent="0.3">
      <c r="B109" s="7" t="str">
        <f>IF(1&gt;=11,('Testes estatísticos'!$D$86+'Testes estatísticos'!$D$76)/2,"")</f>
        <v/>
      </c>
      <c r="C109" s="7" t="str">
        <f>IF(2&gt;=11,('Testes estatísticos'!$D$86+'Testes estatísticos'!$D$77)/2,"")</f>
        <v/>
      </c>
      <c r="D109" s="7" t="str">
        <f>IF(3&gt;=11,('Testes estatísticos'!$D$86+'Testes estatísticos'!$D$78)/2,"")</f>
        <v/>
      </c>
      <c r="E109" s="7" t="str">
        <f>IF(4&gt;=11,('Testes estatísticos'!$D$86+'Testes estatísticos'!$D$79)/2,"")</f>
        <v/>
      </c>
      <c r="F109" s="7" t="str">
        <f>IF(5&gt;=11,('Testes estatísticos'!$D$86+'Testes estatísticos'!$D$80)/2,"")</f>
        <v/>
      </c>
      <c r="G109" s="7" t="str">
        <f>IF(6&gt;=11,('Testes estatísticos'!$D$86+'Testes estatísticos'!$D$81)/2,"")</f>
        <v/>
      </c>
      <c r="H109" s="7" t="str">
        <f>IF(7&gt;=11,('Testes estatísticos'!$D$86+'Testes estatísticos'!$D$82)/2,"")</f>
        <v/>
      </c>
      <c r="I109" s="7" t="str">
        <f>IF(8&gt;=11,('Testes estatísticos'!$D$86+'Testes estatísticos'!$D$83)/2,"")</f>
        <v/>
      </c>
      <c r="J109" s="7" t="str">
        <f>IF(9&gt;=11,('Testes estatísticos'!$D$86+'Testes estatísticos'!$D$84)/2,"")</f>
        <v/>
      </c>
      <c r="K109" s="7" t="str">
        <f>IF(10&gt;=11,('Testes estatísticos'!$D$86+'Testes estatísticos'!$D$85)/2,"")</f>
        <v/>
      </c>
      <c r="L109" s="7">
        <f>IF(11&gt;=11,('Testes estatísticos'!$D$86+'Testes estatísticos'!$D$86)/2,"")</f>
        <v>-6.1723810000000014</v>
      </c>
      <c r="M109" s="7">
        <f>IF(12&gt;=11,('Testes estatísticos'!$D$86+'Testes estatísticos'!$D$87)/2,"")</f>
        <v>-4.0945905000000025</v>
      </c>
      <c r="N109" s="7">
        <f>IF(13&gt;=11,('Testes estatísticos'!$D$86+'Testes estatísticos'!$D$88)/2,"")</f>
        <v>-4.6233975000000029</v>
      </c>
      <c r="O109" s="7">
        <f>IF(14&gt;=11,('Testes estatísticos'!$D$86+'Testes estatísticos'!$D$89)/2,"")</f>
        <v>-4.9553045000000004</v>
      </c>
      <c r="P109" s="7">
        <f>IF(15&gt;=11,('Testes estatísticos'!$D$86+'Testes estatísticos'!$D$90)/2,"")</f>
        <v>-3.1397575000000018</v>
      </c>
      <c r="Q109" s="7">
        <f>IF(16&gt;=11,('Testes estatísticos'!$D$86+'Testes estatísticos'!$D$91)/2,"")</f>
        <v>-5.8299169999999982</v>
      </c>
      <c r="R109" s="7">
        <f>IF(17&gt;=11,('Testes estatísticos'!$D$86+'Testes estatísticos'!$D$92)/2,"")</f>
        <v>-4.5877105</v>
      </c>
      <c r="S109" s="7">
        <f>IF(18&gt;=11,('Testes estatísticos'!$D$86+'Testes estatísticos'!$D$93)/2,"")</f>
        <v>-4.3436270000000015</v>
      </c>
      <c r="T109" s="7">
        <f>IF(19&gt;=11,('Testes estatísticos'!$D$86+'Testes estatísticos'!$D$94)/2,"")</f>
        <v>-4.9552190000000031</v>
      </c>
      <c r="U109" s="7">
        <f>IF(20&gt;=11,('Testes estatísticos'!$D$86+'Testes estatísticos'!$D$95)/2,"")</f>
        <v>-7.2893509999999999</v>
      </c>
    </row>
    <row r="110" spans="1:21" x14ac:dyDescent="0.3">
      <c r="B110" s="7" t="str">
        <f>IF(1&gt;=12,('Testes estatísticos'!$D$87+'Testes estatísticos'!$D$76)/2,"")</f>
        <v/>
      </c>
      <c r="C110" s="7" t="str">
        <f>IF(2&gt;=12,('Testes estatísticos'!$D$87+'Testes estatísticos'!$D$77)/2,"")</f>
        <v/>
      </c>
      <c r="D110" s="7" t="str">
        <f>IF(3&gt;=12,('Testes estatísticos'!$D$87+'Testes estatísticos'!$D$78)/2,"")</f>
        <v/>
      </c>
      <c r="E110" s="7" t="str">
        <f>IF(4&gt;=12,('Testes estatísticos'!$D$87+'Testes estatísticos'!$D$79)/2,"")</f>
        <v/>
      </c>
      <c r="F110" s="7" t="str">
        <f>IF(5&gt;=12,('Testes estatísticos'!$D$87+'Testes estatísticos'!$D$80)/2,"")</f>
        <v/>
      </c>
      <c r="G110" s="7" t="str">
        <f>IF(6&gt;=12,('Testes estatísticos'!$D$87+'Testes estatísticos'!$D$81)/2,"")</f>
        <v/>
      </c>
      <c r="H110" s="7" t="str">
        <f>IF(7&gt;=12,('Testes estatísticos'!$D$87+'Testes estatísticos'!$D$82)/2,"")</f>
        <v/>
      </c>
      <c r="I110" s="7" t="str">
        <f>IF(8&gt;=12,('Testes estatísticos'!$D$87+'Testes estatísticos'!$D$83)/2,"")</f>
        <v/>
      </c>
      <c r="J110" s="7" t="str">
        <f>IF(9&gt;=12,('Testes estatísticos'!$D$87+'Testes estatísticos'!$D$84)/2,"")</f>
        <v/>
      </c>
      <c r="K110" s="7" t="str">
        <f>IF(10&gt;=12,('Testes estatísticos'!$D$87+'Testes estatísticos'!$D$85)/2,"")</f>
        <v/>
      </c>
      <c r="L110" s="7" t="str">
        <f>IF(11&gt;=12,('Testes estatísticos'!$D$87+'Testes estatísticos'!$D$86)/2,"")</f>
        <v/>
      </c>
      <c r="M110" s="7">
        <f>IF(12&gt;=12,('Testes estatísticos'!$D$87+'Testes estatísticos'!$D$87)/2,"")</f>
        <v>-2.0168000000000035</v>
      </c>
      <c r="N110" s="7">
        <f>IF(13&gt;=12,('Testes estatísticos'!$D$87+'Testes estatísticos'!$D$88)/2,"")</f>
        <v>-2.5456070000000039</v>
      </c>
      <c r="O110" s="7">
        <f>IF(14&gt;=12,('Testes estatísticos'!$D$87+'Testes estatísticos'!$D$89)/2,"")</f>
        <v>-2.8775140000000015</v>
      </c>
      <c r="P110" s="7">
        <f>IF(15&gt;=12,('Testes estatísticos'!$D$87+'Testes estatísticos'!$D$90)/2,"")</f>
        <v>-1.0619670000000028</v>
      </c>
      <c r="Q110" s="7">
        <f>IF(16&gt;=12,('Testes estatísticos'!$D$87+'Testes estatísticos'!$D$91)/2,"")</f>
        <v>-3.7521264999999993</v>
      </c>
      <c r="R110" s="7">
        <f>IF(17&gt;=12,('Testes estatísticos'!$D$87+'Testes estatísticos'!$D$92)/2,"")</f>
        <v>-2.509920000000001</v>
      </c>
      <c r="S110" s="7">
        <f>IF(18&gt;=12,('Testes estatísticos'!$D$87+'Testes estatísticos'!$D$93)/2,"")</f>
        <v>-2.2658365000000025</v>
      </c>
      <c r="T110" s="7">
        <f>IF(19&gt;=12,('Testes estatísticos'!$D$87+'Testes estatísticos'!$D$94)/2,"")</f>
        <v>-2.8774285000000042</v>
      </c>
      <c r="U110" s="7">
        <f>IF(20&gt;=12,('Testes estatísticos'!$D$87+'Testes estatísticos'!$D$95)/2,"")</f>
        <v>-5.2115605000000009</v>
      </c>
    </row>
    <row r="111" spans="1:21" x14ac:dyDescent="0.3">
      <c r="B111" s="7" t="str">
        <f>IF(1&gt;=13,('Testes estatísticos'!$D$88+'Testes estatísticos'!$D$76)/2,"")</f>
        <v/>
      </c>
      <c r="C111" s="7" t="str">
        <f>IF(2&gt;=13,('Testes estatísticos'!$D$88+'Testes estatísticos'!$D$77)/2,"")</f>
        <v/>
      </c>
      <c r="D111" s="7" t="str">
        <f>IF(3&gt;=13,('Testes estatísticos'!$D$88+'Testes estatísticos'!$D$78)/2,"")</f>
        <v/>
      </c>
      <c r="E111" s="7" t="str">
        <f>IF(4&gt;=13,('Testes estatísticos'!$D$88+'Testes estatísticos'!$D$79)/2,"")</f>
        <v/>
      </c>
      <c r="F111" s="7" t="str">
        <f>IF(5&gt;=13,('Testes estatísticos'!$D$88+'Testes estatísticos'!$D$80)/2,"")</f>
        <v/>
      </c>
      <c r="G111" s="7" t="str">
        <f>IF(6&gt;=13,('Testes estatísticos'!$D$88+'Testes estatísticos'!$D$81)/2,"")</f>
        <v/>
      </c>
      <c r="H111" s="7" t="str">
        <f>IF(7&gt;=13,('Testes estatísticos'!$D$88+'Testes estatísticos'!$D$82)/2,"")</f>
        <v/>
      </c>
      <c r="I111" s="7" t="str">
        <f>IF(8&gt;=13,('Testes estatísticos'!$D$88+'Testes estatísticos'!$D$83)/2,"")</f>
        <v/>
      </c>
      <c r="J111" s="7" t="str">
        <f>IF(9&gt;=13,('Testes estatísticos'!$D$88+'Testes estatísticos'!$D$84)/2,"")</f>
        <v/>
      </c>
      <c r="K111" s="7" t="str">
        <f>IF(10&gt;=13,('Testes estatísticos'!$D$88+'Testes estatísticos'!$D$85)/2,"")</f>
        <v/>
      </c>
      <c r="L111" s="7" t="str">
        <f>IF(11&gt;=13,('Testes estatísticos'!$D$88+'Testes estatísticos'!$D$86)/2,"")</f>
        <v/>
      </c>
      <c r="M111" s="7" t="str">
        <f>IF(12&gt;=13,('Testes estatísticos'!$D$88+'Testes estatísticos'!$D$87)/2,"")</f>
        <v/>
      </c>
      <c r="N111" s="7">
        <f>IF(13&gt;=13,('Testes estatísticos'!$D$88+'Testes estatísticos'!$D$88)/2,"")</f>
        <v>-3.0744140000000044</v>
      </c>
      <c r="O111" s="7">
        <f>IF(14&gt;=13,('Testes estatísticos'!$D$88+'Testes estatísticos'!$D$89)/2,"")</f>
        <v>-3.4063210000000019</v>
      </c>
      <c r="P111" s="7">
        <f>IF(15&gt;=13,('Testes estatísticos'!$D$88+'Testes estatísticos'!$D$90)/2,"")</f>
        <v>-1.5907740000000032</v>
      </c>
      <c r="Q111" s="7">
        <f>IF(16&gt;=13,('Testes estatísticos'!$D$88+'Testes estatísticos'!$D$91)/2,"")</f>
        <v>-4.2809334999999997</v>
      </c>
      <c r="R111" s="7">
        <f>IF(17&gt;=13,('Testes estatísticos'!$D$88+'Testes estatísticos'!$D$92)/2,"")</f>
        <v>-3.0387270000000015</v>
      </c>
      <c r="S111" s="7">
        <f>IF(18&gt;=13,('Testes estatísticos'!$D$88+'Testes estatísticos'!$D$93)/2,"")</f>
        <v>-2.7946435000000029</v>
      </c>
      <c r="T111" s="7">
        <f>IF(19&gt;=13,('Testes estatísticos'!$D$88+'Testes estatísticos'!$D$94)/2,"")</f>
        <v>-3.4062355000000046</v>
      </c>
      <c r="U111" s="7">
        <f>IF(20&gt;=13,('Testes estatísticos'!$D$88+'Testes estatísticos'!$D$95)/2,"")</f>
        <v>-5.7403675000000014</v>
      </c>
    </row>
    <row r="112" spans="1:21" x14ac:dyDescent="0.3">
      <c r="B112" s="7" t="str">
        <f>IF(1&gt;=14,('Testes estatísticos'!$D$89+'Testes estatísticos'!$D$76)/2,"")</f>
        <v/>
      </c>
      <c r="C112" s="7" t="str">
        <f>IF(2&gt;=14,('Testes estatísticos'!$D$89+'Testes estatísticos'!$D$77)/2,"")</f>
        <v/>
      </c>
      <c r="D112" s="7" t="str">
        <f>IF(3&gt;=14,('Testes estatísticos'!$D$89+'Testes estatísticos'!$D$78)/2,"")</f>
        <v/>
      </c>
      <c r="E112" s="7" t="str">
        <f>IF(4&gt;=14,('Testes estatísticos'!$D$89+'Testes estatísticos'!$D$79)/2,"")</f>
        <v/>
      </c>
      <c r="F112" s="7" t="str">
        <f>IF(5&gt;=14,('Testes estatísticos'!$D$89+'Testes estatísticos'!$D$80)/2,"")</f>
        <v/>
      </c>
      <c r="G112" s="7" t="str">
        <f>IF(6&gt;=14,('Testes estatísticos'!$D$89+'Testes estatísticos'!$D$81)/2,"")</f>
        <v/>
      </c>
      <c r="H112" s="7" t="str">
        <f>IF(7&gt;=14,('Testes estatísticos'!$D$89+'Testes estatísticos'!$D$82)/2,"")</f>
        <v/>
      </c>
      <c r="I112" s="7" t="str">
        <f>IF(8&gt;=14,('Testes estatísticos'!$D$89+'Testes estatísticos'!$D$83)/2,"")</f>
        <v/>
      </c>
      <c r="J112" s="7" t="str">
        <f>IF(9&gt;=14,('Testes estatísticos'!$D$89+'Testes estatísticos'!$D$84)/2,"")</f>
        <v/>
      </c>
      <c r="K112" s="7" t="str">
        <f>IF(10&gt;=14,('Testes estatísticos'!$D$89+'Testes estatísticos'!$D$85)/2,"")</f>
        <v/>
      </c>
      <c r="L112" s="7" t="str">
        <f>IF(11&gt;=14,('Testes estatísticos'!$D$89+'Testes estatísticos'!$D$86)/2,"")</f>
        <v/>
      </c>
      <c r="M112" s="7" t="str">
        <f>IF(12&gt;=14,('Testes estatísticos'!$D$89+'Testes estatísticos'!$D$87)/2,"")</f>
        <v/>
      </c>
      <c r="N112" s="7" t="str">
        <f>IF(13&gt;=14,('Testes estatísticos'!$D$89+'Testes estatísticos'!$D$88)/2,"")</f>
        <v/>
      </c>
      <c r="O112" s="7">
        <f>IF(14&gt;=14,('Testes estatísticos'!$D$89+'Testes estatísticos'!$D$89)/2,"")</f>
        <v>-3.7382279999999994</v>
      </c>
      <c r="P112" s="7">
        <f>IF(15&gt;=14,('Testes estatísticos'!$D$89+'Testes estatísticos'!$D$90)/2,"")</f>
        <v>-1.9226810000000008</v>
      </c>
      <c r="Q112" s="7">
        <f>IF(16&gt;=14,('Testes estatísticos'!$D$89+'Testes estatísticos'!$D$91)/2,"")</f>
        <v>-4.6128404999999972</v>
      </c>
      <c r="R112" s="7">
        <f>IF(17&gt;=14,('Testes estatísticos'!$D$89+'Testes estatísticos'!$D$92)/2,"")</f>
        <v>-3.370633999999999</v>
      </c>
      <c r="S112" s="7">
        <f>IF(18&gt;=14,('Testes estatísticos'!$D$89+'Testes estatísticos'!$D$93)/2,"")</f>
        <v>-3.1265505000000005</v>
      </c>
      <c r="T112" s="7">
        <f>IF(19&gt;=14,('Testes estatísticos'!$D$89+'Testes estatísticos'!$D$94)/2,"")</f>
        <v>-3.7381425000000021</v>
      </c>
      <c r="U112" s="7">
        <f>IF(20&gt;=14,('Testes estatísticos'!$D$89+'Testes estatísticos'!$D$95)/2,"")</f>
        <v>-6.0722744999999989</v>
      </c>
    </row>
    <row r="113" spans="1:21" x14ac:dyDescent="0.3">
      <c r="B113" s="7" t="str">
        <f>IF(1&gt;=15,('Testes estatísticos'!$D$90+'Testes estatísticos'!$D$76)/2,"")</f>
        <v/>
      </c>
      <c r="C113" s="7" t="str">
        <f>IF(2&gt;=15,('Testes estatísticos'!$D$90+'Testes estatísticos'!$D$77)/2,"")</f>
        <v/>
      </c>
      <c r="D113" s="7" t="str">
        <f>IF(3&gt;=15,('Testes estatísticos'!$D$90+'Testes estatísticos'!$D$78)/2,"")</f>
        <v/>
      </c>
      <c r="E113" s="7" t="str">
        <f>IF(4&gt;=15,('Testes estatísticos'!$D$90+'Testes estatísticos'!$D$79)/2,"")</f>
        <v/>
      </c>
      <c r="F113" s="7" t="str">
        <f>IF(5&gt;=15,('Testes estatísticos'!$D$90+'Testes estatísticos'!$D$80)/2,"")</f>
        <v/>
      </c>
      <c r="G113" s="7" t="str">
        <f>IF(6&gt;=15,('Testes estatísticos'!$D$90+'Testes estatísticos'!$D$81)/2,"")</f>
        <v/>
      </c>
      <c r="H113" s="7" t="str">
        <f>IF(7&gt;=15,('Testes estatísticos'!$D$90+'Testes estatísticos'!$D$82)/2,"")</f>
        <v/>
      </c>
      <c r="I113" s="7" t="str">
        <f>IF(8&gt;=15,('Testes estatísticos'!$D$90+'Testes estatísticos'!$D$83)/2,"")</f>
        <v/>
      </c>
      <c r="J113" s="7" t="str">
        <f>IF(9&gt;=15,('Testes estatísticos'!$D$90+'Testes estatísticos'!$D$84)/2,"")</f>
        <v/>
      </c>
      <c r="K113" s="7" t="str">
        <f>IF(10&gt;=15,('Testes estatísticos'!$D$90+'Testes estatísticos'!$D$85)/2,"")</f>
        <v/>
      </c>
      <c r="L113" s="7" t="str">
        <f>IF(11&gt;=15,('Testes estatísticos'!$D$90+'Testes estatísticos'!$D$86)/2,"")</f>
        <v/>
      </c>
      <c r="M113" s="7" t="str">
        <f>IF(12&gt;=15,('Testes estatísticos'!$D$90+'Testes estatísticos'!$D$87)/2,"")</f>
        <v/>
      </c>
      <c r="N113" s="7" t="str">
        <f>IF(13&gt;=15,('Testes estatísticos'!$D$90+'Testes estatísticos'!$D$88)/2,"")</f>
        <v/>
      </c>
      <c r="O113" s="7" t="str">
        <f>IF(14&gt;=15,('Testes estatísticos'!$D$90+'Testes estatísticos'!$D$89)/2,"")</f>
        <v/>
      </c>
      <c r="P113" s="7">
        <f>IF(15&gt;=15,('Testes estatísticos'!$D$90+'Testes estatísticos'!$D$90)/2,"")</f>
        <v>-0.10713400000000206</v>
      </c>
      <c r="Q113" s="7">
        <f>IF(16&gt;=15,('Testes estatísticos'!$D$90+'Testes estatísticos'!$D$91)/2,"")</f>
        <v>-2.7972934999999985</v>
      </c>
      <c r="R113" s="7">
        <f>IF(17&gt;=15,('Testes estatísticos'!$D$90+'Testes estatísticos'!$D$92)/2,"")</f>
        <v>-1.5550870000000003</v>
      </c>
      <c r="S113" s="7">
        <f>IF(18&gt;=15,('Testes estatísticos'!$D$90+'Testes estatísticos'!$D$93)/2,"")</f>
        <v>-1.3110035000000018</v>
      </c>
      <c r="T113" s="7">
        <f>IF(19&gt;=15,('Testes estatísticos'!$D$90+'Testes estatísticos'!$D$94)/2,"")</f>
        <v>-1.9225955000000035</v>
      </c>
      <c r="U113" s="7">
        <f>IF(20&gt;=15,('Testes estatísticos'!$D$90+'Testes estatísticos'!$D$95)/2,"")</f>
        <v>-4.2567275000000002</v>
      </c>
    </row>
    <row r="114" spans="1:21" x14ac:dyDescent="0.3">
      <c r="B114" s="7" t="str">
        <f>IF(1&gt;=16,('Testes estatísticos'!$D$91+'Testes estatísticos'!$D$76)/2,"")</f>
        <v/>
      </c>
      <c r="C114" s="7" t="str">
        <f>IF(2&gt;=16,('Testes estatísticos'!$D$91+'Testes estatísticos'!$D$77)/2,"")</f>
        <v/>
      </c>
      <c r="D114" s="7" t="str">
        <f>IF(3&gt;=16,('Testes estatísticos'!$D$91+'Testes estatísticos'!$D$78)/2,"")</f>
        <v/>
      </c>
      <c r="E114" s="7" t="str">
        <f>IF(4&gt;=16,('Testes estatísticos'!$D$91+'Testes estatísticos'!$D$79)/2,"")</f>
        <v/>
      </c>
      <c r="F114" s="7" t="str">
        <f>IF(5&gt;=16,('Testes estatísticos'!$D$91+'Testes estatísticos'!$D$80)/2,"")</f>
        <v/>
      </c>
      <c r="G114" s="7" t="str">
        <f>IF(6&gt;=16,('Testes estatísticos'!$D$91+'Testes estatísticos'!$D$81)/2,"")</f>
        <v/>
      </c>
      <c r="H114" s="7" t="str">
        <f>IF(7&gt;=16,('Testes estatísticos'!$D$91+'Testes estatísticos'!$D$82)/2,"")</f>
        <v/>
      </c>
      <c r="I114" s="7" t="str">
        <f>IF(8&gt;=16,('Testes estatísticos'!$D$91+'Testes estatísticos'!$D$83)/2,"")</f>
        <v/>
      </c>
      <c r="J114" s="7" t="str">
        <f>IF(9&gt;=16,('Testes estatísticos'!$D$91+'Testes estatísticos'!$D$84)/2,"")</f>
        <v/>
      </c>
      <c r="K114" s="7" t="str">
        <f>IF(10&gt;=16,('Testes estatísticos'!$D$91+'Testes estatísticos'!$D$85)/2,"")</f>
        <v/>
      </c>
      <c r="L114" s="7" t="str">
        <f>IF(11&gt;=16,('Testes estatísticos'!$D$91+'Testes estatísticos'!$D$86)/2,"")</f>
        <v/>
      </c>
      <c r="M114" s="7" t="str">
        <f>IF(12&gt;=16,('Testes estatísticos'!$D$91+'Testes estatísticos'!$D$87)/2,"")</f>
        <v/>
      </c>
      <c r="N114" s="7" t="str">
        <f>IF(13&gt;=16,('Testes estatísticos'!$D$91+'Testes estatísticos'!$D$88)/2,"")</f>
        <v/>
      </c>
      <c r="O114" s="7" t="str">
        <f>IF(14&gt;=16,('Testes estatísticos'!$D$91+'Testes estatísticos'!$D$89)/2,"")</f>
        <v/>
      </c>
      <c r="P114" s="7" t="str">
        <f>IF(15&gt;=16,('Testes estatísticos'!$D$91+'Testes estatísticos'!$D$90)/2,"")</f>
        <v/>
      </c>
      <c r="Q114" s="7">
        <f>IF(16&gt;=16,('Testes estatísticos'!$D$91+'Testes estatísticos'!$D$91)/2,"")</f>
        <v>-5.487452999999995</v>
      </c>
      <c r="R114" s="7">
        <f>IF(17&gt;=16,('Testes estatísticos'!$D$91+'Testes estatísticos'!$D$92)/2,"")</f>
        <v>-4.2452464999999968</v>
      </c>
      <c r="S114" s="7">
        <f>IF(18&gt;=16,('Testes estatísticos'!$D$91+'Testes estatísticos'!$D$93)/2,"")</f>
        <v>-4.0011629999999982</v>
      </c>
      <c r="T114" s="7">
        <f>IF(19&gt;=16,('Testes estatísticos'!$D$91+'Testes estatísticos'!$D$94)/2,"")</f>
        <v>-4.6127549999999999</v>
      </c>
      <c r="U114" s="7">
        <f>IF(20&gt;=16,('Testes estatísticos'!$D$91+'Testes estatísticos'!$D$95)/2,"")</f>
        <v>-6.9468869999999967</v>
      </c>
    </row>
    <row r="115" spans="1:21" x14ac:dyDescent="0.3">
      <c r="B115" s="7" t="str">
        <f>IF(1&gt;=17,('Testes estatísticos'!$D$92+'Testes estatísticos'!$D$76)/2,"")</f>
        <v/>
      </c>
      <c r="C115" s="7" t="str">
        <f>IF(2&gt;=17,('Testes estatísticos'!$D$92+'Testes estatísticos'!$D$77)/2,"")</f>
        <v/>
      </c>
      <c r="D115" s="7" t="str">
        <f>IF(3&gt;=17,('Testes estatísticos'!$D$92+'Testes estatísticos'!$D$78)/2,"")</f>
        <v/>
      </c>
      <c r="E115" s="7" t="str">
        <f>IF(4&gt;=17,('Testes estatísticos'!$D$92+'Testes estatísticos'!$D$79)/2,"")</f>
        <v/>
      </c>
      <c r="F115" s="7" t="str">
        <f>IF(5&gt;=17,('Testes estatísticos'!$D$92+'Testes estatísticos'!$D$80)/2,"")</f>
        <v/>
      </c>
      <c r="G115" s="7" t="str">
        <f>IF(6&gt;=17,('Testes estatísticos'!$D$92+'Testes estatísticos'!$D$81)/2,"")</f>
        <v/>
      </c>
      <c r="H115" s="7" t="str">
        <f>IF(7&gt;=17,('Testes estatísticos'!$D$92+'Testes estatísticos'!$D$82)/2,"")</f>
        <v/>
      </c>
      <c r="I115" s="7" t="str">
        <f>IF(8&gt;=17,('Testes estatísticos'!$D$92+'Testes estatísticos'!$D$83)/2,"")</f>
        <v/>
      </c>
      <c r="J115" s="7" t="str">
        <f>IF(9&gt;=17,('Testes estatísticos'!$D$92+'Testes estatísticos'!$D$84)/2,"")</f>
        <v/>
      </c>
      <c r="K115" s="7" t="str">
        <f>IF(10&gt;=17,('Testes estatísticos'!$D$92+'Testes estatísticos'!$D$85)/2,"")</f>
        <v/>
      </c>
      <c r="L115" s="7" t="str">
        <f>IF(11&gt;=17,('Testes estatísticos'!$D$92+'Testes estatísticos'!$D$86)/2,"")</f>
        <v/>
      </c>
      <c r="M115" s="7" t="str">
        <f>IF(12&gt;=17,('Testes estatísticos'!$D$92+'Testes estatísticos'!$D$87)/2,"")</f>
        <v/>
      </c>
      <c r="N115" s="7" t="str">
        <f>IF(13&gt;=17,('Testes estatísticos'!$D$92+'Testes estatísticos'!$D$88)/2,"")</f>
        <v/>
      </c>
      <c r="O115" s="7" t="str">
        <f>IF(14&gt;=17,('Testes estatísticos'!$D$92+'Testes estatísticos'!$D$89)/2,"")</f>
        <v/>
      </c>
      <c r="P115" s="7" t="str">
        <f>IF(15&gt;=17,('Testes estatísticos'!$D$92+'Testes estatísticos'!$D$90)/2,"")</f>
        <v/>
      </c>
      <c r="Q115" s="7" t="str">
        <f>IF(16&gt;=17,('Testes estatísticos'!$D$92+'Testes estatísticos'!$D$91)/2,"")</f>
        <v/>
      </c>
      <c r="R115" s="7">
        <f>IF(17&gt;=17,('Testes estatísticos'!$D$92+'Testes estatísticos'!$D$92)/2,"")</f>
        <v>-3.0030399999999986</v>
      </c>
      <c r="S115" s="7">
        <f>IF(18&gt;=17,('Testes estatísticos'!$D$92+'Testes estatísticos'!$D$93)/2,"")</f>
        <v>-2.7589565</v>
      </c>
      <c r="T115" s="7">
        <f>IF(19&gt;=17,('Testes estatísticos'!$D$92+'Testes estatísticos'!$D$94)/2,"")</f>
        <v>-3.3705485000000017</v>
      </c>
      <c r="U115" s="7">
        <f>IF(20&gt;=17,('Testes estatísticos'!$D$92+'Testes estatísticos'!$D$95)/2,"")</f>
        <v>-5.7046804999999985</v>
      </c>
    </row>
    <row r="116" spans="1:21" x14ac:dyDescent="0.3">
      <c r="B116" s="7" t="str">
        <f>IF(1&gt;=18,('Testes estatísticos'!$D$93+'Testes estatísticos'!$D$76)/2,"")</f>
        <v/>
      </c>
      <c r="C116" s="7" t="str">
        <f>IF(2&gt;=18,('Testes estatísticos'!$D$93+'Testes estatísticos'!$D$77)/2,"")</f>
        <v/>
      </c>
      <c r="D116" s="7" t="str">
        <f>IF(3&gt;=18,('Testes estatísticos'!$D$93+'Testes estatísticos'!$D$78)/2,"")</f>
        <v/>
      </c>
      <c r="E116" s="7" t="str">
        <f>IF(4&gt;=18,('Testes estatísticos'!$D$93+'Testes estatísticos'!$D$79)/2,"")</f>
        <v/>
      </c>
      <c r="F116" s="7" t="str">
        <f>IF(5&gt;=18,('Testes estatísticos'!$D$93+'Testes estatísticos'!$D$80)/2,"")</f>
        <v/>
      </c>
      <c r="G116" s="7" t="str">
        <f>IF(6&gt;=18,('Testes estatísticos'!$D$93+'Testes estatísticos'!$D$81)/2,"")</f>
        <v/>
      </c>
      <c r="H116" s="7" t="str">
        <f>IF(7&gt;=18,('Testes estatísticos'!$D$93+'Testes estatísticos'!$D$82)/2,"")</f>
        <v/>
      </c>
      <c r="I116" s="7" t="str">
        <f>IF(8&gt;=18,('Testes estatísticos'!$D$93+'Testes estatísticos'!$D$83)/2,"")</f>
        <v/>
      </c>
      <c r="J116" s="7" t="str">
        <f>IF(9&gt;=18,('Testes estatísticos'!$D$93+'Testes estatísticos'!$D$84)/2,"")</f>
        <v/>
      </c>
      <c r="K116" s="7" t="str">
        <f>IF(10&gt;=18,('Testes estatísticos'!$D$93+'Testes estatísticos'!$D$85)/2,"")</f>
        <v/>
      </c>
      <c r="L116" s="7" t="str">
        <f>IF(11&gt;=18,('Testes estatísticos'!$D$93+'Testes estatísticos'!$D$86)/2,"")</f>
        <v/>
      </c>
      <c r="M116" s="7" t="str">
        <f>IF(12&gt;=18,('Testes estatísticos'!$D$93+'Testes estatísticos'!$D$87)/2,"")</f>
        <v/>
      </c>
      <c r="N116" s="7" t="str">
        <f>IF(13&gt;=18,('Testes estatísticos'!$D$93+'Testes estatísticos'!$D$88)/2,"")</f>
        <v/>
      </c>
      <c r="O116" s="7" t="str">
        <f>IF(14&gt;=18,('Testes estatísticos'!$D$93+'Testes estatísticos'!$D$89)/2,"")</f>
        <v/>
      </c>
      <c r="P116" s="7" t="str">
        <f>IF(15&gt;=18,('Testes estatísticos'!$D$93+'Testes estatísticos'!$D$90)/2,"")</f>
        <v/>
      </c>
      <c r="Q116" s="7" t="str">
        <f>IF(16&gt;=18,('Testes estatísticos'!$D$93+'Testes estatísticos'!$D$91)/2,"")</f>
        <v/>
      </c>
      <c r="R116" s="7" t="str">
        <f>IF(17&gt;=18,('Testes estatísticos'!$D$93+'Testes estatísticos'!$D$92)/2,"")</f>
        <v/>
      </c>
      <c r="S116" s="7">
        <f>IF(18&gt;=18,('Testes estatísticos'!$D$93+'Testes estatísticos'!$D$93)/2,"")</f>
        <v>-2.5148730000000015</v>
      </c>
      <c r="T116" s="7">
        <f>IF(19&gt;=18,('Testes estatísticos'!$D$93+'Testes estatísticos'!$D$94)/2,"")</f>
        <v>-3.1264650000000032</v>
      </c>
      <c r="U116" s="7">
        <f>IF(20&gt;=18,('Testes estatísticos'!$D$93+'Testes estatísticos'!$D$95)/2,"")</f>
        <v>-5.4605969999999999</v>
      </c>
    </row>
    <row r="117" spans="1:21" x14ac:dyDescent="0.3">
      <c r="B117" s="7" t="str">
        <f>IF(1&gt;=19,('Testes estatísticos'!$D$94+'Testes estatísticos'!$D$76)/2,"")</f>
        <v/>
      </c>
      <c r="C117" s="7" t="str">
        <f>IF(2&gt;=19,('Testes estatísticos'!$D$94+'Testes estatísticos'!$D$77)/2,"")</f>
        <v/>
      </c>
      <c r="D117" s="7" t="str">
        <f>IF(3&gt;=19,('Testes estatísticos'!$D$94+'Testes estatísticos'!$D$78)/2,"")</f>
        <v/>
      </c>
      <c r="E117" s="7" t="str">
        <f>IF(4&gt;=19,('Testes estatísticos'!$D$94+'Testes estatísticos'!$D$79)/2,"")</f>
        <v/>
      </c>
      <c r="F117" s="7" t="str">
        <f>IF(5&gt;=19,('Testes estatísticos'!$D$94+'Testes estatísticos'!$D$80)/2,"")</f>
        <v/>
      </c>
      <c r="G117" s="7" t="str">
        <f>IF(6&gt;=19,('Testes estatísticos'!$D$94+'Testes estatísticos'!$D$81)/2,"")</f>
        <v/>
      </c>
      <c r="H117" s="7" t="str">
        <f>IF(7&gt;=19,('Testes estatísticos'!$D$94+'Testes estatísticos'!$D$82)/2,"")</f>
        <v/>
      </c>
      <c r="I117" s="7" t="str">
        <f>IF(8&gt;=19,('Testes estatísticos'!$D$94+'Testes estatísticos'!$D$83)/2,"")</f>
        <v/>
      </c>
      <c r="J117" s="7" t="str">
        <f>IF(9&gt;=19,('Testes estatísticos'!$D$94+'Testes estatísticos'!$D$84)/2,"")</f>
        <v/>
      </c>
      <c r="K117" s="7" t="str">
        <f>IF(10&gt;=19,('Testes estatísticos'!$D$94+'Testes estatísticos'!$D$85)/2,"")</f>
        <v/>
      </c>
      <c r="L117" s="7" t="str">
        <f>IF(11&gt;=19,('Testes estatísticos'!$D$94+'Testes estatísticos'!$D$86)/2,"")</f>
        <v/>
      </c>
      <c r="M117" s="7" t="str">
        <f>IF(12&gt;=19,('Testes estatísticos'!$D$94+'Testes estatísticos'!$D$87)/2,"")</f>
        <v/>
      </c>
      <c r="N117" s="7" t="str">
        <f>IF(13&gt;=19,('Testes estatísticos'!$D$94+'Testes estatísticos'!$D$88)/2,"")</f>
        <v/>
      </c>
      <c r="O117" s="7" t="str">
        <f>IF(14&gt;=19,('Testes estatísticos'!$D$94+'Testes estatísticos'!$D$89)/2,"")</f>
        <v/>
      </c>
      <c r="P117" s="7" t="str">
        <f>IF(15&gt;=19,('Testes estatísticos'!$D$94+'Testes estatísticos'!$D$90)/2,"")</f>
        <v/>
      </c>
      <c r="Q117" s="7" t="str">
        <f>IF(16&gt;=19,('Testes estatísticos'!$D$94+'Testes estatísticos'!$D$91)/2,"")</f>
        <v/>
      </c>
      <c r="R117" s="7" t="str">
        <f>IF(17&gt;=19,('Testes estatísticos'!$D$94+'Testes estatísticos'!$D$92)/2,"")</f>
        <v/>
      </c>
      <c r="S117" s="7" t="str">
        <f>IF(18&gt;=19,('Testes estatísticos'!$D$94+'Testes estatísticos'!$D$93)/2,"")</f>
        <v/>
      </c>
      <c r="T117" s="7">
        <f>IF(19&gt;=19,('Testes estatísticos'!$D$94+'Testes estatísticos'!$D$94)/2,"")</f>
        <v>-3.7380570000000048</v>
      </c>
      <c r="U117" s="7">
        <f>IF(20&gt;=19,('Testes estatísticos'!$D$94+'Testes estatísticos'!$D$95)/2,"")</f>
        <v>-6.0721890000000016</v>
      </c>
    </row>
    <row r="118" spans="1:21" x14ac:dyDescent="0.3">
      <c r="B118" s="7" t="str">
        <f>IF(1&gt;=20,('Testes estatísticos'!$D$95+'Testes estatísticos'!$D$76)/2,"")</f>
        <v/>
      </c>
      <c r="C118" s="7" t="str">
        <f>IF(2&gt;=20,('Testes estatísticos'!$D$95+'Testes estatísticos'!$D$77)/2,"")</f>
        <v/>
      </c>
      <c r="D118" s="7" t="str">
        <f>IF(3&gt;=20,('Testes estatísticos'!$D$95+'Testes estatísticos'!$D$78)/2,"")</f>
        <v/>
      </c>
      <c r="E118" s="7" t="str">
        <f>IF(4&gt;=20,('Testes estatísticos'!$D$95+'Testes estatísticos'!$D$79)/2,"")</f>
        <v/>
      </c>
      <c r="F118" s="7" t="str">
        <f>IF(5&gt;=20,('Testes estatísticos'!$D$95+'Testes estatísticos'!$D$80)/2,"")</f>
        <v/>
      </c>
      <c r="G118" s="7" t="str">
        <f>IF(6&gt;=20,('Testes estatísticos'!$D$95+'Testes estatísticos'!$D$81)/2,"")</f>
        <v/>
      </c>
      <c r="H118" s="7" t="str">
        <f>IF(7&gt;=20,('Testes estatísticos'!$D$95+'Testes estatísticos'!$D$82)/2,"")</f>
        <v/>
      </c>
      <c r="I118" s="7" t="str">
        <f>IF(8&gt;=20,('Testes estatísticos'!$D$95+'Testes estatísticos'!$D$83)/2,"")</f>
        <v/>
      </c>
      <c r="J118" s="7" t="str">
        <f>IF(9&gt;=20,('Testes estatísticos'!$D$95+'Testes estatísticos'!$D$84)/2,"")</f>
        <v/>
      </c>
      <c r="K118" s="7" t="str">
        <f>IF(10&gt;=20,('Testes estatísticos'!$D$95+'Testes estatísticos'!$D$85)/2,"")</f>
        <v/>
      </c>
      <c r="L118" s="7" t="str">
        <f>IF(11&gt;=20,('Testes estatísticos'!$D$95+'Testes estatísticos'!$D$86)/2,"")</f>
        <v/>
      </c>
      <c r="M118" s="7" t="str">
        <f>IF(12&gt;=20,('Testes estatísticos'!$D$95+'Testes estatísticos'!$D$87)/2,"")</f>
        <v/>
      </c>
      <c r="N118" s="7" t="str">
        <f>IF(13&gt;=20,('Testes estatísticos'!$D$95+'Testes estatísticos'!$D$88)/2,"")</f>
        <v/>
      </c>
      <c r="O118" s="7" t="str">
        <f>IF(14&gt;=20,('Testes estatísticos'!$D$95+'Testes estatísticos'!$D$89)/2,"")</f>
        <v/>
      </c>
      <c r="P118" s="7" t="str">
        <f>IF(15&gt;=20,('Testes estatísticos'!$D$95+'Testes estatísticos'!$D$90)/2,"")</f>
        <v/>
      </c>
      <c r="Q118" s="7" t="str">
        <f>IF(16&gt;=20,('Testes estatísticos'!$D$95+'Testes estatísticos'!$D$91)/2,"")</f>
        <v/>
      </c>
      <c r="R118" s="7" t="str">
        <f>IF(17&gt;=20,('Testes estatísticos'!$D$95+'Testes estatísticos'!$D$92)/2,"")</f>
        <v/>
      </c>
      <c r="S118" s="7" t="str">
        <f>IF(18&gt;=20,('Testes estatísticos'!$D$95+'Testes estatísticos'!$D$93)/2,"")</f>
        <v/>
      </c>
      <c r="T118" s="7" t="str">
        <f>IF(19&gt;=20,('Testes estatísticos'!$D$95+'Testes estatísticos'!$D$94)/2,"")</f>
        <v/>
      </c>
      <c r="U118" s="7">
        <f>IF(20&gt;=20,('Testes estatísticos'!$D$95+'Testes estatísticos'!$D$95)/2,"")</f>
        <v>-8.4063209999999984</v>
      </c>
    </row>
    <row r="119" spans="1:2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1" spans="1:21" x14ac:dyDescent="0.3">
      <c r="A121" s="35" t="s">
        <v>342</v>
      </c>
    </row>
    <row r="122" spans="1:21" x14ac:dyDescent="0.3">
      <c r="A122" s="35"/>
      <c r="B122" s="7">
        <f>IF(1&gt;=1,('Testes estatísticos'!$D$96+'Testes estatísticos'!$D$96)/2,"")</f>
        <v>-3.3292749999999955</v>
      </c>
      <c r="C122" s="7">
        <f>IF(2&gt;=1,('Testes estatísticos'!$D$96+'Testes estatísticos'!$D$97)/2,"")</f>
        <v>-3.6757784999999963</v>
      </c>
      <c r="D122" s="7">
        <f>IF(3&gt;=1,('Testes estatísticos'!$D$96+'Testes estatísticos'!$D$98)/2,"")</f>
        <v>-3.8805304999999954</v>
      </c>
      <c r="E122" s="7">
        <f>IF(4&gt;=1,('Testes estatísticos'!$D$96+'Testes estatísticos'!$D$99)/2,"")</f>
        <v>-1.6993724999999991</v>
      </c>
      <c r="F122" s="7">
        <f>IF(5&gt;=1,('Testes estatísticos'!$D$96+'Testes estatísticos'!$D$100)/2,"")</f>
        <v>-3.6051654999999982</v>
      </c>
      <c r="G122" s="7">
        <f>IF(6&gt;=1,('Testes estatísticos'!$D$96+'Testes estatísticos'!$D$101)/2,"")</f>
        <v>-3.5611785000000005</v>
      </c>
      <c r="H122" s="7">
        <f>IF(7&gt;=1,('Testes estatísticos'!$D$96+'Testes estatísticos'!$D$102)/2,"")</f>
        <v>-3.3281279999999995</v>
      </c>
      <c r="I122" s="7">
        <f>IF(8&gt;=1,('Testes estatísticos'!$D$96+'Testes estatísticos'!$D$103)/2,"")</f>
        <v>-3.2708019999999962</v>
      </c>
      <c r="J122" s="7">
        <f>IF(9&gt;=1,('Testes estatísticos'!$D$96+'Testes estatísticos'!$D$104)/2,"")</f>
        <v>-3.7056279999999973</v>
      </c>
      <c r="K122" s="7">
        <f>IF(10&gt;=1,('Testes estatísticos'!$D$96+'Testes estatísticos'!$D$105)/2,"")</f>
        <v>-3.8050939999999969</v>
      </c>
      <c r="L122" s="7">
        <f>IF(11&gt;=1,('Testes estatísticos'!$D$96+'Testes estatísticos'!$D$106)/2,"")</f>
        <v>-3.2821674999999964</v>
      </c>
      <c r="M122" s="7">
        <f>IF(12&gt;=1,('Testes estatísticos'!$D$96+'Testes estatísticos'!$D$107)/2,"")</f>
        <v>-3.3378324999999975</v>
      </c>
      <c r="N122" s="7">
        <f>IF(13&gt;=1,('Testes estatísticos'!$D$96+'Testes estatísticos'!$D$108)/2,"")</f>
        <v>-3.8619989999999973</v>
      </c>
      <c r="O122" s="7">
        <f>IF(14&gt;=1,('Testes estatísticos'!$D$96+'Testes estatísticos'!$D$109)/2,"")</f>
        <v>-3.5993649999999953</v>
      </c>
      <c r="P122" s="7">
        <f>IF(15&gt;=1,('Testes estatísticos'!$D$96+'Testes estatísticos'!$D$110)/2,"")</f>
        <v>-3.5650339999999971</v>
      </c>
    </row>
    <row r="123" spans="1:21" x14ac:dyDescent="0.3">
      <c r="B123" s="7" t="str">
        <f>IF(1&gt;=2,('Testes estatísticos'!$D$97+'Testes estatísticos'!$D$96)/2,"")</f>
        <v/>
      </c>
      <c r="C123" s="7">
        <f>IF(2&gt;=2,('Testes estatísticos'!$D$97+'Testes estatísticos'!$D$97)/2,"")</f>
        <v>-4.022281999999997</v>
      </c>
      <c r="D123" s="7">
        <f>IF(3&gt;=2,('Testes estatísticos'!$D$97+'Testes estatísticos'!$D$98)/2,"")</f>
        <v>-4.2270339999999962</v>
      </c>
      <c r="E123" s="7">
        <f>IF(4&gt;=2,('Testes estatísticos'!$D$97+'Testes estatísticos'!$D$99)/2,"")</f>
        <v>-2.0458759999999998</v>
      </c>
      <c r="F123" s="7">
        <f>IF(5&gt;=2,('Testes estatísticos'!$D$97+'Testes estatísticos'!$D$100)/2,"")</f>
        <v>-3.951668999999999</v>
      </c>
      <c r="G123" s="7">
        <f>IF(6&gt;=2,('Testes estatísticos'!$D$97+'Testes estatísticos'!$D$101)/2,"")</f>
        <v>-3.9076820000000012</v>
      </c>
      <c r="H123" s="7">
        <f>IF(7&gt;=2,('Testes estatísticos'!$D$97+'Testes estatísticos'!$D$102)/2,"")</f>
        <v>-3.6746315000000003</v>
      </c>
      <c r="I123" s="7">
        <f>IF(8&gt;=2,('Testes estatísticos'!$D$97+'Testes estatísticos'!$D$103)/2,"")</f>
        <v>-3.617305499999997</v>
      </c>
      <c r="J123" s="7">
        <f>IF(9&gt;=2,('Testes estatísticos'!$D$97+'Testes estatísticos'!$D$104)/2,"")</f>
        <v>-4.052131499999998</v>
      </c>
      <c r="K123" s="7">
        <f>IF(10&gt;=2,('Testes estatísticos'!$D$97+'Testes estatísticos'!$D$105)/2,"")</f>
        <v>-4.1515974999999976</v>
      </c>
      <c r="L123" s="7">
        <f>IF(11&gt;=2,('Testes estatísticos'!$D$97+'Testes estatísticos'!$D$106)/2,"")</f>
        <v>-3.6286709999999971</v>
      </c>
      <c r="M123" s="7">
        <f>IF(12&gt;=2,('Testes estatísticos'!$D$97+'Testes estatísticos'!$D$107)/2,"")</f>
        <v>-3.6843359999999983</v>
      </c>
      <c r="N123" s="7">
        <f>IF(13&gt;=2,('Testes estatísticos'!$D$97+'Testes estatísticos'!$D$108)/2,"")</f>
        <v>-4.208502499999998</v>
      </c>
      <c r="O123" s="7">
        <f>IF(14&gt;=2,('Testes estatísticos'!$D$97+'Testes estatísticos'!$D$109)/2,"")</f>
        <v>-3.945868499999996</v>
      </c>
      <c r="P123" s="7">
        <f>IF(15&gt;=2,('Testes estatísticos'!$D$97+'Testes estatísticos'!$D$110)/2,"")</f>
        <v>-3.9115374999999979</v>
      </c>
      <c r="Q123" s="7"/>
      <c r="R123" s="7"/>
      <c r="S123" s="7"/>
      <c r="T123" s="7"/>
    </row>
    <row r="124" spans="1:21" x14ac:dyDescent="0.3">
      <c r="B124" s="7" t="str">
        <f>IF(1&gt;=3,('Testes estatísticos'!$D$98+'Testes estatísticos'!$D$96)/2,"")</f>
        <v/>
      </c>
      <c r="C124" s="7" t="str">
        <f>IF(2&gt;=3,('Testes estatísticos'!$D$98+'Testes estatísticos'!$D$97)/2,"")</f>
        <v/>
      </c>
      <c r="D124" s="7">
        <f>IF(3&gt;=3,('Testes estatísticos'!$D$98+'Testes estatísticos'!$D$98)/2,"")</f>
        <v>-4.4317859999999953</v>
      </c>
      <c r="E124" s="7">
        <f>IF(4&gt;=3,('Testes estatísticos'!$D$98+'Testes estatísticos'!$D$99)/2,"")</f>
        <v>-2.250627999999999</v>
      </c>
      <c r="F124" s="7">
        <f>IF(5&gt;=3,('Testes estatísticos'!$D$98+'Testes estatísticos'!$D$100)/2,"")</f>
        <v>-4.1564209999999981</v>
      </c>
      <c r="G124" s="7">
        <f>IF(6&gt;=3,('Testes estatísticos'!$D$98+'Testes estatísticos'!$D$101)/2,"")</f>
        <v>-4.1124340000000004</v>
      </c>
      <c r="H124" s="7">
        <f>IF(7&gt;=3,('Testes estatísticos'!$D$98+'Testes estatísticos'!$D$102)/2,"")</f>
        <v>-3.8793834999999994</v>
      </c>
      <c r="I124" s="7">
        <f>IF(8&gt;=3,('Testes estatísticos'!$D$98+'Testes estatísticos'!$D$103)/2,"")</f>
        <v>-3.8220574999999961</v>
      </c>
      <c r="J124" s="7">
        <f>IF(9&gt;=3,('Testes estatísticos'!$D$98+'Testes estatísticos'!$D$104)/2,"")</f>
        <v>-4.2568834999999972</v>
      </c>
      <c r="K124" s="7">
        <f>IF(10&gt;=3,('Testes estatísticos'!$D$98+'Testes estatísticos'!$D$105)/2,"")</f>
        <v>-4.3563494999999968</v>
      </c>
      <c r="L124" s="7">
        <f>IF(11&gt;=3,('Testes estatísticos'!$D$98+'Testes estatísticos'!$D$106)/2,"")</f>
        <v>-3.8334229999999963</v>
      </c>
      <c r="M124" s="7">
        <f>IF(12&gt;=3,('Testes estatísticos'!$D$98+'Testes estatísticos'!$D$107)/2,"")</f>
        <v>-3.8890879999999974</v>
      </c>
      <c r="N124" s="7">
        <f>IF(13&gt;=3,('Testes estatísticos'!$D$98+'Testes estatísticos'!$D$108)/2,"")</f>
        <v>-4.4132544999999972</v>
      </c>
      <c r="O124" s="7">
        <f>IF(14&gt;=3,('Testes estatísticos'!$D$98+'Testes estatísticos'!$D$109)/2,"")</f>
        <v>-4.1506204999999952</v>
      </c>
      <c r="P124" s="7">
        <f>IF(15&gt;=3,('Testes estatísticos'!$D$98+'Testes estatísticos'!$D$110)/2,"")</f>
        <v>-4.116289499999997</v>
      </c>
      <c r="Q124" s="7"/>
      <c r="R124" s="7"/>
      <c r="S124" s="7"/>
      <c r="T124" s="7"/>
    </row>
    <row r="125" spans="1:21" x14ac:dyDescent="0.3">
      <c r="B125" s="7" t="str">
        <f>IF(1&gt;=4,('Testes estatísticos'!$D$99+'Testes estatísticos'!$D$96)/2,"")</f>
        <v/>
      </c>
      <c r="C125" s="7" t="str">
        <f>IF(2&gt;=4,('Testes estatísticos'!$D$99+'Testes estatísticos'!$D$97)/2,"")</f>
        <v/>
      </c>
      <c r="D125" s="7" t="str">
        <f>IF(3&gt;=4,('Testes estatísticos'!$D$99+'Testes estatísticos'!$D$98)/2,"")</f>
        <v/>
      </c>
      <c r="E125" s="7">
        <f>IF(4&gt;=4,('Testes estatísticos'!$D$99+'Testes estatísticos'!$D$99)/2,"")</f>
        <v>-6.9470000000002585E-2</v>
      </c>
      <c r="F125" s="7">
        <f>IF(5&gt;=4,('Testes estatísticos'!$D$99+'Testes estatísticos'!$D$100)/2,"")</f>
        <v>-1.9752630000000018</v>
      </c>
      <c r="G125" s="7">
        <f>IF(6&gt;=4,('Testes estatísticos'!$D$99+'Testes estatísticos'!$D$101)/2,"")</f>
        <v>-1.931276000000004</v>
      </c>
      <c r="H125" s="7">
        <f>IF(7&gt;=4,('Testes estatísticos'!$D$99+'Testes estatísticos'!$D$102)/2,"")</f>
        <v>-1.6982255000000031</v>
      </c>
      <c r="I125" s="7">
        <f>IF(8&gt;=4,('Testes estatísticos'!$D$99+'Testes estatísticos'!$D$103)/2,"")</f>
        <v>-1.6408994999999997</v>
      </c>
      <c r="J125" s="7">
        <f>IF(9&gt;=4,('Testes estatísticos'!$D$99+'Testes estatísticos'!$D$104)/2,"")</f>
        <v>-2.0757255000000008</v>
      </c>
      <c r="K125" s="7">
        <f>IF(10&gt;=4,('Testes estatísticos'!$D$99+'Testes estatísticos'!$D$105)/2,"")</f>
        <v>-2.1751915000000004</v>
      </c>
      <c r="L125" s="7">
        <f>IF(11&gt;=4,('Testes estatísticos'!$D$99+'Testes estatísticos'!$D$106)/2,"")</f>
        <v>-1.6522649999999999</v>
      </c>
      <c r="M125" s="7">
        <f>IF(12&gt;=4,('Testes estatísticos'!$D$99+'Testes estatísticos'!$D$107)/2,"")</f>
        <v>-1.7079300000000011</v>
      </c>
      <c r="N125" s="7">
        <f>IF(13&gt;=4,('Testes estatísticos'!$D$99+'Testes estatísticos'!$D$108)/2,"")</f>
        <v>-2.2320965000000008</v>
      </c>
      <c r="O125" s="7">
        <f>IF(14&gt;=4,('Testes estatísticos'!$D$99+'Testes estatísticos'!$D$109)/2,"")</f>
        <v>-1.9694624999999988</v>
      </c>
      <c r="P125" s="7">
        <f>IF(15&gt;=4,('Testes estatísticos'!$D$99+'Testes estatísticos'!$D$110)/2,"")</f>
        <v>-1.9351315000000007</v>
      </c>
      <c r="Q125" s="7"/>
      <c r="R125" s="7"/>
      <c r="S125" s="7"/>
      <c r="T125" s="7"/>
    </row>
    <row r="126" spans="1:21" x14ac:dyDescent="0.3">
      <c r="B126" s="7" t="str">
        <f>IF(1&gt;=5,('Testes estatísticos'!$D$100+'Testes estatísticos'!$D$96)/2,"")</f>
        <v/>
      </c>
      <c r="C126" s="7" t="str">
        <f>IF(2&gt;=5,('Testes estatísticos'!$D$100+'Testes estatísticos'!$D$97)/2,"")</f>
        <v/>
      </c>
      <c r="D126" s="7" t="str">
        <f>IF(3&gt;=5,('Testes estatísticos'!$D$100+'Testes estatísticos'!$D$98)/2,"")</f>
        <v/>
      </c>
      <c r="E126" s="7" t="str">
        <f>IF(4&gt;=5,('Testes estatísticos'!$D$100+'Testes estatísticos'!$D$99)/2,"")</f>
        <v/>
      </c>
      <c r="F126" s="7">
        <f>IF(5&gt;=5,('Testes estatísticos'!$D$100+'Testes estatísticos'!$D$100)/2,"")</f>
        <v>-3.8810560000000009</v>
      </c>
      <c r="G126" s="7">
        <f>IF(6&gt;=5,('Testes estatísticos'!$D$100+'Testes estatísticos'!$D$101)/2,"")</f>
        <v>-3.8370690000000032</v>
      </c>
      <c r="H126" s="7">
        <f>IF(7&gt;=5,('Testes estatísticos'!$D$100+'Testes estatísticos'!$D$102)/2,"")</f>
        <v>-3.6040185000000022</v>
      </c>
      <c r="I126" s="7">
        <f>IF(8&gt;=5,('Testes estatísticos'!$D$100+'Testes estatísticos'!$D$103)/2,"")</f>
        <v>-3.5466924999999989</v>
      </c>
      <c r="J126" s="7">
        <f>IF(9&gt;=5,('Testes estatísticos'!$D$100+'Testes estatísticos'!$D$104)/2,"")</f>
        <v>-3.9815185</v>
      </c>
      <c r="K126" s="7">
        <f>IF(10&gt;=5,('Testes estatísticos'!$D$100+'Testes estatísticos'!$D$105)/2,"")</f>
        <v>-4.0809844999999996</v>
      </c>
      <c r="L126" s="7">
        <f>IF(11&gt;=5,('Testes estatísticos'!$D$100+'Testes estatísticos'!$D$106)/2,"")</f>
        <v>-3.5580579999999991</v>
      </c>
      <c r="M126" s="7">
        <f>IF(12&gt;=5,('Testes estatísticos'!$D$100+'Testes estatísticos'!$D$107)/2,"")</f>
        <v>-3.6137230000000002</v>
      </c>
      <c r="N126" s="7">
        <f>IF(13&gt;=5,('Testes estatísticos'!$D$100+'Testes estatísticos'!$D$108)/2,"")</f>
        <v>-4.1378895</v>
      </c>
      <c r="O126" s="7">
        <f>IF(14&gt;=5,('Testes estatísticos'!$D$100+'Testes estatísticos'!$D$109)/2,"")</f>
        <v>-3.875255499999998</v>
      </c>
      <c r="P126" s="7">
        <f>IF(15&gt;=5,('Testes estatísticos'!$D$100+'Testes estatísticos'!$D$110)/2,"")</f>
        <v>-3.8409244999999999</v>
      </c>
      <c r="Q126" s="7"/>
      <c r="R126" s="7"/>
      <c r="S126" s="7"/>
      <c r="T126" s="7"/>
    </row>
    <row r="127" spans="1:21" x14ac:dyDescent="0.3">
      <c r="B127" s="7" t="str">
        <f>IF(1&gt;=6,('Testes estatísticos'!$D$101+'Testes estatísticos'!$D$96)/2,"")</f>
        <v/>
      </c>
      <c r="C127" s="7" t="str">
        <f>IF(2&gt;=6,('Testes estatísticos'!$D$101+'Testes estatísticos'!$D$97)/2,"")</f>
        <v/>
      </c>
      <c r="D127" s="7" t="str">
        <f>IF(3&gt;=6,('Testes estatísticos'!$D$101+'Testes estatísticos'!$D$98)/2,"")</f>
        <v/>
      </c>
      <c r="E127" s="7" t="str">
        <f>IF(4&gt;=6,('Testes estatísticos'!$D$101+'Testes estatísticos'!$D$99)/2,"")</f>
        <v/>
      </c>
      <c r="F127" s="7" t="str">
        <f>IF(5&gt;=6,('Testes estatísticos'!$D$101+'Testes estatísticos'!$D$100)/2,"")</f>
        <v/>
      </c>
      <c r="G127" s="7">
        <f>IF(6&gt;=6,('Testes estatísticos'!$D$101+'Testes estatísticos'!$D$101)/2,"")</f>
        <v>-3.7930820000000054</v>
      </c>
      <c r="H127" s="7">
        <f>IF(7&gt;=6,('Testes estatísticos'!$D$101+'Testes estatísticos'!$D$102)/2,"")</f>
        <v>-3.5600315000000045</v>
      </c>
      <c r="I127" s="7">
        <f>IF(8&gt;=6,('Testes estatísticos'!$D$101+'Testes estatísticos'!$D$103)/2,"")</f>
        <v>-3.5027055000000011</v>
      </c>
      <c r="J127" s="7">
        <f>IF(9&gt;=6,('Testes estatísticos'!$D$101+'Testes estatísticos'!$D$104)/2,"")</f>
        <v>-3.9375315000000022</v>
      </c>
      <c r="K127" s="7">
        <f>IF(10&gt;=6,('Testes estatísticos'!$D$101+'Testes estatísticos'!$D$105)/2,"")</f>
        <v>-4.0369975000000018</v>
      </c>
      <c r="L127" s="7">
        <f>IF(11&gt;=6,('Testes estatísticos'!$D$101+'Testes estatísticos'!$D$106)/2,"")</f>
        <v>-3.5140710000000013</v>
      </c>
      <c r="M127" s="7">
        <f>IF(12&gt;=6,('Testes estatísticos'!$D$101+'Testes estatísticos'!$D$107)/2,"")</f>
        <v>-3.5697360000000025</v>
      </c>
      <c r="N127" s="7">
        <f>IF(13&gt;=6,('Testes estatísticos'!$D$101+'Testes estatísticos'!$D$108)/2,"")</f>
        <v>-4.0939025000000022</v>
      </c>
      <c r="O127" s="7">
        <f>IF(14&gt;=6,('Testes estatísticos'!$D$101+'Testes estatísticos'!$D$109)/2,"")</f>
        <v>-3.8312685000000002</v>
      </c>
      <c r="P127" s="7">
        <f>IF(15&gt;=6,('Testes estatísticos'!$D$101+'Testes estatísticos'!$D$110)/2,"")</f>
        <v>-3.7969375000000021</v>
      </c>
      <c r="Q127" s="7"/>
      <c r="R127" s="7"/>
      <c r="S127" s="7"/>
      <c r="T127" s="7"/>
    </row>
    <row r="128" spans="1:21" x14ac:dyDescent="0.3">
      <c r="B128" s="7" t="str">
        <f>IF(1&gt;=7,('Testes estatísticos'!$D$102+'Testes estatísticos'!$D$96)/2,"")</f>
        <v/>
      </c>
      <c r="C128" s="7" t="str">
        <f>IF(2&gt;=7,('Testes estatísticos'!$D$102+'Testes estatísticos'!$D$97)/2,"")</f>
        <v/>
      </c>
      <c r="D128" s="7" t="str">
        <f>IF(3&gt;=7,('Testes estatísticos'!$D$102+'Testes estatísticos'!$D$98)/2,"")</f>
        <v/>
      </c>
      <c r="E128" s="7" t="str">
        <f>IF(4&gt;=7,('Testes estatísticos'!$D$102+'Testes estatísticos'!$D$99)/2,"")</f>
        <v/>
      </c>
      <c r="F128" s="7" t="str">
        <f>IF(5&gt;=7,('Testes estatísticos'!$D$102+'Testes estatísticos'!$D$100)/2,"")</f>
        <v/>
      </c>
      <c r="G128" s="7" t="str">
        <f>IF(6&gt;=7,('Testes estatísticos'!$D$102+'Testes estatísticos'!$D$101)/2,"")</f>
        <v/>
      </c>
      <c r="H128" s="7">
        <f>IF(7&gt;=7,('Testes estatísticos'!$D$102+'Testes estatísticos'!$D$102)/2,"")</f>
        <v>-3.3269810000000035</v>
      </c>
      <c r="I128" s="7">
        <f>IF(8&gt;=7,('Testes estatísticos'!$D$102+'Testes estatísticos'!$D$103)/2,"")</f>
        <v>-3.2696550000000002</v>
      </c>
      <c r="J128" s="7">
        <f>IF(9&gt;=7,('Testes estatísticos'!$D$102+'Testes estatísticos'!$D$104)/2,"")</f>
        <v>-3.7044810000000012</v>
      </c>
      <c r="K128" s="7">
        <f>IF(10&gt;=7,('Testes estatísticos'!$D$102+'Testes estatísticos'!$D$105)/2,"")</f>
        <v>-3.8039470000000009</v>
      </c>
      <c r="L128" s="7">
        <f>IF(11&gt;=7,('Testes estatísticos'!$D$102+'Testes estatísticos'!$D$106)/2,"")</f>
        <v>-3.2810205000000003</v>
      </c>
      <c r="M128" s="7">
        <f>IF(12&gt;=7,('Testes estatísticos'!$D$102+'Testes estatísticos'!$D$107)/2,"")</f>
        <v>-3.3366855000000015</v>
      </c>
      <c r="N128" s="7">
        <f>IF(13&gt;=7,('Testes estatísticos'!$D$102+'Testes estatísticos'!$D$108)/2,"")</f>
        <v>-3.8608520000000013</v>
      </c>
      <c r="O128" s="7">
        <f>IF(14&gt;=7,('Testes estatísticos'!$D$102+'Testes estatísticos'!$D$109)/2,"")</f>
        <v>-3.5982179999999993</v>
      </c>
      <c r="P128" s="7">
        <f>IF(15&gt;=7,('Testes estatísticos'!$D$102+'Testes estatísticos'!$D$110)/2,"")</f>
        <v>-3.5638870000000011</v>
      </c>
      <c r="Q128" s="7"/>
      <c r="R128" s="7"/>
      <c r="S128" s="7"/>
      <c r="T128" s="7"/>
    </row>
    <row r="129" spans="1:20" x14ac:dyDescent="0.3">
      <c r="B129" s="7" t="str">
        <f>IF(1&gt;=8,('Testes estatísticos'!$D$103+'Testes estatísticos'!$D$96)/2,"")</f>
        <v/>
      </c>
      <c r="C129" s="7" t="str">
        <f>IF(2&gt;=8,('Testes estatísticos'!$D$103+'Testes estatísticos'!$D$97)/2,"")</f>
        <v/>
      </c>
      <c r="D129" s="7" t="str">
        <f>IF(3&gt;=8,('Testes estatísticos'!$D$103+'Testes estatísticos'!$D$98)/2,"")</f>
        <v/>
      </c>
      <c r="E129" s="7" t="str">
        <f>IF(4&gt;=8,('Testes estatísticos'!$D$103+'Testes estatísticos'!$D$99)/2,"")</f>
        <v/>
      </c>
      <c r="F129" s="7" t="str">
        <f>IF(5&gt;=8,('Testes estatísticos'!$D$103+'Testes estatísticos'!$D$100)/2,"")</f>
        <v/>
      </c>
      <c r="G129" s="7" t="str">
        <f>IF(6&gt;=8,('Testes estatísticos'!$D$103+'Testes estatísticos'!$D$101)/2,"")</f>
        <v/>
      </c>
      <c r="H129" s="7" t="str">
        <f>IF(7&gt;=8,('Testes estatísticos'!$D$103+'Testes estatísticos'!$D$102)/2,"")</f>
        <v/>
      </c>
      <c r="I129" s="7">
        <f>IF(8&gt;=8,('Testes estatísticos'!$D$103+'Testes estatísticos'!$D$103)/2,"")</f>
        <v>-3.2123289999999969</v>
      </c>
      <c r="J129" s="7">
        <f>IF(9&gt;=8,('Testes estatísticos'!$D$103+'Testes estatísticos'!$D$104)/2,"")</f>
        <v>-3.6471549999999979</v>
      </c>
      <c r="K129" s="7">
        <f>IF(10&gt;=8,('Testes estatísticos'!$D$103+'Testes estatísticos'!$D$105)/2,"")</f>
        <v>-3.7466209999999975</v>
      </c>
      <c r="L129" s="7">
        <f>IF(11&gt;=8,('Testes estatísticos'!$D$103+'Testes estatísticos'!$D$106)/2,"")</f>
        <v>-3.223694499999997</v>
      </c>
      <c r="M129" s="7">
        <f>IF(12&gt;=8,('Testes estatísticos'!$D$103+'Testes estatísticos'!$D$107)/2,"")</f>
        <v>-3.2793594999999982</v>
      </c>
      <c r="N129" s="7">
        <f>IF(13&gt;=8,('Testes estatísticos'!$D$103+'Testes estatísticos'!$D$108)/2,"")</f>
        <v>-3.803525999999998</v>
      </c>
      <c r="O129" s="7">
        <f>IF(14&gt;=8,('Testes estatísticos'!$D$103+'Testes estatísticos'!$D$109)/2,"")</f>
        <v>-3.5408919999999959</v>
      </c>
      <c r="P129" s="7">
        <f>IF(15&gt;=8,('Testes estatísticos'!$D$103+'Testes estatísticos'!$D$110)/2,"")</f>
        <v>-3.5065609999999978</v>
      </c>
      <c r="Q129" s="7"/>
      <c r="R129" s="7"/>
      <c r="S129" s="7"/>
      <c r="T129" s="7"/>
    </row>
    <row r="130" spans="1:20" x14ac:dyDescent="0.3">
      <c r="B130" s="7" t="str">
        <f>IF(1&gt;=9,('Testes estatísticos'!$D$104+'Testes estatísticos'!$D$96)/2,"")</f>
        <v/>
      </c>
      <c r="C130" s="7" t="str">
        <f>IF(2&gt;=9,('Testes estatísticos'!$D$104+'Testes estatísticos'!$D$97)/2,"")</f>
        <v/>
      </c>
      <c r="D130" s="7" t="str">
        <f>IF(3&gt;=9,('Testes estatísticos'!$D$104+'Testes estatísticos'!$D$98)/2,"")</f>
        <v/>
      </c>
      <c r="E130" s="7" t="str">
        <f>IF(4&gt;=9,('Testes estatísticos'!$D$104+'Testes estatísticos'!$D$99)/2,"")</f>
        <v/>
      </c>
      <c r="F130" s="7" t="str">
        <f>IF(5&gt;=9,('Testes estatísticos'!$D$104+'Testes estatísticos'!$D$100)/2,"")</f>
        <v/>
      </c>
      <c r="G130" s="7" t="str">
        <f>IF(6&gt;=9,('Testes estatísticos'!$D$104+'Testes estatísticos'!$D$101)/2,"")</f>
        <v/>
      </c>
      <c r="H130" s="7" t="str">
        <f>IF(7&gt;=9,('Testes estatísticos'!$D$104+'Testes estatísticos'!$D$102)/2,"")</f>
        <v/>
      </c>
      <c r="I130" s="7" t="str">
        <f>IF(8&gt;=9,('Testes estatísticos'!$D$104+'Testes estatísticos'!$D$103)/2,"")</f>
        <v/>
      </c>
      <c r="J130" s="7">
        <f>IF(9&gt;=9,('Testes estatísticos'!$D$104+'Testes estatísticos'!$D$104)/2,"")</f>
        <v>-4.081980999999999</v>
      </c>
      <c r="K130" s="7">
        <f>IF(10&gt;=9,('Testes estatísticos'!$D$104+'Testes estatísticos'!$D$105)/2,"")</f>
        <v>-4.1814469999999986</v>
      </c>
      <c r="L130" s="7">
        <f>IF(11&gt;=9,('Testes estatísticos'!$D$104+'Testes estatísticos'!$D$106)/2,"")</f>
        <v>-3.6585204999999981</v>
      </c>
      <c r="M130" s="7">
        <f>IF(12&gt;=9,('Testes estatísticos'!$D$104+'Testes estatísticos'!$D$107)/2,"")</f>
        <v>-3.7141854999999993</v>
      </c>
      <c r="N130" s="7">
        <f>IF(13&gt;=9,('Testes estatísticos'!$D$104+'Testes estatísticos'!$D$108)/2,"")</f>
        <v>-4.238351999999999</v>
      </c>
      <c r="O130" s="7">
        <f>IF(14&gt;=9,('Testes estatísticos'!$D$104+'Testes estatísticos'!$D$109)/2,"")</f>
        <v>-3.975717999999997</v>
      </c>
      <c r="P130" s="7">
        <f>IF(15&gt;=9,('Testes estatísticos'!$D$104+'Testes estatísticos'!$D$110)/2,"")</f>
        <v>-3.9413869999999989</v>
      </c>
      <c r="Q130" s="7"/>
      <c r="R130" s="7"/>
      <c r="S130" s="7"/>
      <c r="T130" s="7"/>
    </row>
    <row r="131" spans="1:20" x14ac:dyDescent="0.3">
      <c r="B131" s="7" t="str">
        <f>IF(1&gt;=10,('Testes estatísticos'!$D$105+'Testes estatísticos'!$D$96)/2,"")</f>
        <v/>
      </c>
      <c r="C131" s="7" t="str">
        <f>IF(2&gt;=10,('Testes estatísticos'!$D$105+'Testes estatísticos'!$D$97)/2,"")</f>
        <v/>
      </c>
      <c r="D131" s="7" t="str">
        <f>IF(3&gt;=10,('Testes estatísticos'!$D$105+'Testes estatísticos'!$D$98)/2,"")</f>
        <v/>
      </c>
      <c r="E131" s="7" t="str">
        <f>IF(4&gt;=10,('Testes estatísticos'!$D$105+'Testes estatísticos'!$D$99)/2,"")</f>
        <v/>
      </c>
      <c r="F131" s="7" t="str">
        <f>IF(5&gt;=10,('Testes estatísticos'!$D$105+'Testes estatísticos'!$D$100)/2,"")</f>
        <v/>
      </c>
      <c r="G131" s="7" t="str">
        <f>IF(6&gt;=10,('Testes estatísticos'!$D$105+'Testes estatísticos'!$D$101)/2,"")</f>
        <v/>
      </c>
      <c r="H131" s="7" t="str">
        <f>IF(7&gt;=10,('Testes estatísticos'!$D$105+'Testes estatísticos'!$D$102)/2,"")</f>
        <v/>
      </c>
      <c r="I131" s="7" t="str">
        <f>IF(8&gt;=10,('Testes estatísticos'!$D$105+'Testes estatísticos'!$D$103)/2,"")</f>
        <v/>
      </c>
      <c r="J131" s="7" t="str">
        <f>IF(9&gt;=10,('Testes estatísticos'!$D$105+'Testes estatísticos'!$D$104)/2,"")</f>
        <v/>
      </c>
      <c r="K131" s="7">
        <f>IF(10&gt;=10,('Testes estatísticos'!$D$105+'Testes estatísticos'!$D$105)/2,"")</f>
        <v>-4.2809129999999982</v>
      </c>
      <c r="L131" s="7">
        <f>IF(11&gt;=10,('Testes estatísticos'!$D$105+'Testes estatísticos'!$D$106)/2,"")</f>
        <v>-3.7579864999999977</v>
      </c>
      <c r="M131" s="7">
        <f>IF(12&gt;=10,('Testes estatísticos'!$D$105+'Testes estatísticos'!$D$107)/2,"")</f>
        <v>-3.8136514999999989</v>
      </c>
      <c r="N131" s="7">
        <f>IF(13&gt;=10,('Testes estatísticos'!$D$105+'Testes estatísticos'!$D$108)/2,"")</f>
        <v>-4.3378179999999986</v>
      </c>
      <c r="O131" s="7">
        <f>IF(14&gt;=10,('Testes estatísticos'!$D$105+'Testes estatísticos'!$D$109)/2,"")</f>
        <v>-4.0751839999999966</v>
      </c>
      <c r="P131" s="7">
        <f>IF(15&gt;=10,('Testes estatísticos'!$D$105+'Testes estatísticos'!$D$110)/2,"")</f>
        <v>-4.0408529999999985</v>
      </c>
      <c r="Q131" s="7"/>
      <c r="R131" s="7"/>
      <c r="S131" s="7"/>
      <c r="T131" s="7"/>
    </row>
    <row r="132" spans="1:20" x14ac:dyDescent="0.3">
      <c r="B132" s="7" t="str">
        <f>IF(1&gt;=11,('Testes estatísticos'!$D$106+'Testes estatísticos'!$D$96)/2,"")</f>
        <v/>
      </c>
      <c r="C132" s="7" t="str">
        <f>IF(2&gt;=11,('Testes estatísticos'!$D$106+'Testes estatísticos'!$D$97)/2,"")</f>
        <v/>
      </c>
      <c r="D132" s="7" t="str">
        <f>IF(3&gt;=11,('Testes estatísticos'!$D$106+'Testes estatísticos'!$D$98)/2,"")</f>
        <v/>
      </c>
      <c r="E132" s="7" t="str">
        <f>IF(4&gt;=11,('Testes estatísticos'!$D$106+'Testes estatísticos'!$D$99)/2,"")</f>
        <v/>
      </c>
      <c r="F132" s="7" t="str">
        <f>IF(5&gt;=11,('Testes estatísticos'!$D$106+'Testes estatísticos'!$D$100)/2,"")</f>
        <v/>
      </c>
      <c r="G132" s="7" t="str">
        <f>IF(6&gt;=11,('Testes estatísticos'!$D$106+'Testes estatísticos'!$D$101)/2,"")</f>
        <v/>
      </c>
      <c r="H132" s="7" t="str">
        <f>IF(7&gt;=11,('Testes estatísticos'!$D$106+'Testes estatísticos'!$D$102)/2,"")</f>
        <v/>
      </c>
      <c r="I132" s="7" t="str">
        <f>IF(8&gt;=11,('Testes estatísticos'!$D$106+'Testes estatísticos'!$D$103)/2,"")</f>
        <v/>
      </c>
      <c r="J132" s="7" t="str">
        <f>IF(9&gt;=11,('Testes estatísticos'!$D$106+'Testes estatísticos'!$D$104)/2,"")</f>
        <v/>
      </c>
      <c r="K132" s="7" t="str">
        <f>IF(10&gt;=11,('Testes estatísticos'!$D$106+'Testes estatísticos'!$D$105)/2,"")</f>
        <v/>
      </c>
      <c r="L132" s="7">
        <f>IF(11&gt;=11,('Testes estatísticos'!$D$106+'Testes estatísticos'!$D$106)/2,"")</f>
        <v>-3.2350599999999972</v>
      </c>
      <c r="M132" s="7">
        <f>IF(12&gt;=11,('Testes estatísticos'!$D$106+'Testes estatísticos'!$D$107)/2,"")</f>
        <v>-3.2907249999999983</v>
      </c>
      <c r="N132" s="7">
        <f>IF(13&gt;=11,('Testes estatísticos'!$D$106+'Testes estatísticos'!$D$108)/2,"")</f>
        <v>-3.8148914999999981</v>
      </c>
      <c r="O132" s="7">
        <f>IF(14&gt;=11,('Testes estatísticos'!$D$106+'Testes estatísticos'!$D$109)/2,"")</f>
        <v>-3.5522574999999961</v>
      </c>
      <c r="P132" s="7">
        <f>IF(15&gt;=11,('Testes estatísticos'!$D$106+'Testes estatísticos'!$D$110)/2,"")</f>
        <v>-3.517926499999998</v>
      </c>
      <c r="Q132" s="7"/>
      <c r="R132" s="7"/>
      <c r="S132" s="7"/>
      <c r="T132" s="7"/>
    </row>
    <row r="133" spans="1:20" x14ac:dyDescent="0.3">
      <c r="B133" s="7" t="str">
        <f>IF(1&gt;=12,('Testes estatísticos'!$D$107+'Testes estatísticos'!$D$96)/2,"")</f>
        <v/>
      </c>
      <c r="C133" s="7" t="str">
        <f>IF(2&gt;=12,('Testes estatísticos'!$D$107+'Testes estatísticos'!$D$97)/2,"")</f>
        <v/>
      </c>
      <c r="D133" s="7" t="str">
        <f>IF(3&gt;=12,('Testes estatísticos'!$D$107+'Testes estatísticos'!$D$98)/2,"")</f>
        <v/>
      </c>
      <c r="E133" s="7" t="str">
        <f>IF(4&gt;=12,('Testes estatísticos'!$D$107+'Testes estatísticos'!$D$99)/2,"")</f>
        <v/>
      </c>
      <c r="F133" s="7" t="str">
        <f>IF(5&gt;=12,('Testes estatísticos'!$D$107+'Testes estatísticos'!$D$100)/2,"")</f>
        <v/>
      </c>
      <c r="G133" s="7" t="str">
        <f>IF(6&gt;=12,('Testes estatísticos'!$D$107+'Testes estatísticos'!$D$101)/2,"")</f>
        <v/>
      </c>
      <c r="H133" s="7" t="str">
        <f>IF(7&gt;=12,('Testes estatísticos'!$D$107+'Testes estatísticos'!$D$102)/2,"")</f>
        <v/>
      </c>
      <c r="I133" s="7" t="str">
        <f>IF(8&gt;=12,('Testes estatísticos'!$D$107+'Testes estatísticos'!$D$103)/2,"")</f>
        <v/>
      </c>
      <c r="J133" s="7" t="str">
        <f>IF(9&gt;=12,('Testes estatísticos'!$D$107+'Testes estatísticos'!$D$104)/2,"")</f>
        <v/>
      </c>
      <c r="K133" s="7" t="str">
        <f>IF(10&gt;=12,('Testes estatísticos'!$D$107+'Testes estatísticos'!$D$105)/2,"")</f>
        <v/>
      </c>
      <c r="L133" s="7" t="str">
        <f>IF(11&gt;=12,('Testes estatísticos'!$D$107+'Testes estatísticos'!$D$106)/2,"")</f>
        <v/>
      </c>
      <c r="M133" s="7">
        <f>IF(12&gt;=12,('Testes estatísticos'!$D$107+'Testes estatísticos'!$D$107)/2,"")</f>
        <v>-3.3463899999999995</v>
      </c>
      <c r="N133" s="7">
        <f>IF(13&gt;=12,('Testes estatísticos'!$D$107+'Testes estatísticos'!$D$108)/2,"")</f>
        <v>-3.8705564999999993</v>
      </c>
      <c r="O133" s="7">
        <f>IF(14&gt;=12,('Testes estatísticos'!$D$107+'Testes estatísticos'!$D$109)/2,"")</f>
        <v>-3.6079224999999973</v>
      </c>
      <c r="P133" s="7">
        <f>IF(15&gt;=12,('Testes estatísticos'!$D$107+'Testes estatísticos'!$D$110)/2,"")</f>
        <v>-3.5735914999999991</v>
      </c>
      <c r="Q133" s="7"/>
      <c r="R133" s="7"/>
      <c r="S133" s="7"/>
      <c r="T133" s="7"/>
    </row>
    <row r="134" spans="1:20" x14ac:dyDescent="0.3">
      <c r="B134" s="7" t="str">
        <f>IF(1&gt;=13,('Testes estatísticos'!$D$108+'Testes estatísticos'!$D$96)/2,"")</f>
        <v/>
      </c>
      <c r="C134" s="7" t="str">
        <f>IF(2&gt;=13,('Testes estatísticos'!$D$108+'Testes estatísticos'!$D$97)/2,"")</f>
        <v/>
      </c>
      <c r="D134" s="7" t="str">
        <f>IF(3&gt;=13,('Testes estatísticos'!$D$108+'Testes estatísticos'!$D$98)/2,"")</f>
        <v/>
      </c>
      <c r="E134" s="7" t="str">
        <f>IF(4&gt;=13,('Testes estatísticos'!$D$108+'Testes estatísticos'!$D$99)/2,"")</f>
        <v/>
      </c>
      <c r="F134" s="7" t="str">
        <f>IF(5&gt;=13,('Testes estatísticos'!$D$108+'Testes estatísticos'!$D$100)/2,"")</f>
        <v/>
      </c>
      <c r="G134" s="7" t="str">
        <f>IF(6&gt;=13,('Testes estatísticos'!$D$108+'Testes estatísticos'!$D$101)/2,"")</f>
        <v/>
      </c>
      <c r="H134" s="7" t="str">
        <f>IF(7&gt;=13,('Testes estatísticos'!$D$108+'Testes estatísticos'!$D$102)/2,"")</f>
        <v/>
      </c>
      <c r="I134" s="7" t="str">
        <f>IF(8&gt;=13,('Testes estatísticos'!$D$108+'Testes estatísticos'!$D$103)/2,"")</f>
        <v/>
      </c>
      <c r="J134" s="7" t="str">
        <f>IF(9&gt;=13,('Testes estatísticos'!$D$108+'Testes estatísticos'!$D$104)/2,"")</f>
        <v/>
      </c>
      <c r="K134" s="7" t="str">
        <f>IF(10&gt;=13,('Testes estatísticos'!$D$108+'Testes estatísticos'!$D$105)/2,"")</f>
        <v/>
      </c>
      <c r="L134" s="7" t="str">
        <f>IF(11&gt;=13,('Testes estatísticos'!$D$108+'Testes estatísticos'!$D$106)/2,"")</f>
        <v/>
      </c>
      <c r="M134" s="7" t="str">
        <f>IF(12&gt;=13,('Testes estatísticos'!$D$108+'Testes estatísticos'!$D$107)/2,"")</f>
        <v/>
      </c>
      <c r="N134" s="7">
        <f>IF(13&gt;=13,('Testes estatísticos'!$D$108+'Testes estatísticos'!$D$108)/2,"")</f>
        <v>-4.394722999999999</v>
      </c>
      <c r="O134" s="7">
        <f>IF(14&gt;=13,('Testes estatísticos'!$D$108+'Testes estatísticos'!$D$109)/2,"")</f>
        <v>-4.132088999999997</v>
      </c>
      <c r="P134" s="7">
        <f>IF(15&gt;=13,('Testes estatísticos'!$D$108+'Testes estatísticos'!$D$110)/2,"")</f>
        <v>-4.0977579999999989</v>
      </c>
      <c r="Q134" s="7"/>
      <c r="R134" s="7"/>
      <c r="S134" s="7"/>
      <c r="T134" s="7"/>
    </row>
    <row r="135" spans="1:20" x14ac:dyDescent="0.3">
      <c r="B135" s="7" t="str">
        <f>IF(1&gt;=14,('Testes estatísticos'!$D$109+'Testes estatísticos'!$D$96)/2,"")</f>
        <v/>
      </c>
      <c r="C135" s="7" t="str">
        <f>IF(2&gt;=14,('Testes estatísticos'!$D$109+'Testes estatísticos'!$D$97)/2,"")</f>
        <v/>
      </c>
      <c r="D135" s="7" t="str">
        <f>IF(3&gt;=14,('Testes estatísticos'!$D$109+'Testes estatísticos'!$D$98)/2,"")</f>
        <v/>
      </c>
      <c r="E135" s="7" t="str">
        <f>IF(4&gt;=14,('Testes estatísticos'!$D$109+'Testes estatísticos'!$D$99)/2,"")</f>
        <v/>
      </c>
      <c r="F135" s="7" t="str">
        <f>IF(5&gt;=14,('Testes estatísticos'!$D$109+'Testes estatísticos'!$D$100)/2,"")</f>
        <v/>
      </c>
      <c r="G135" s="7" t="str">
        <f>IF(6&gt;=14,('Testes estatísticos'!$D$109+'Testes estatísticos'!$D$101)/2,"")</f>
        <v/>
      </c>
      <c r="H135" s="7" t="str">
        <f>IF(7&gt;=14,('Testes estatísticos'!$D$109+'Testes estatísticos'!$D$102)/2,"")</f>
        <v/>
      </c>
      <c r="I135" s="7" t="str">
        <f>IF(8&gt;=14,('Testes estatísticos'!$D$109+'Testes estatísticos'!$D$103)/2,"")</f>
        <v/>
      </c>
      <c r="J135" s="7" t="str">
        <f>IF(9&gt;=14,('Testes estatísticos'!$D$109+'Testes estatísticos'!$D$104)/2,"")</f>
        <v/>
      </c>
      <c r="K135" s="7" t="str">
        <f>IF(10&gt;=14,('Testes estatísticos'!$D$109+'Testes estatísticos'!$D$105)/2,"")</f>
        <v/>
      </c>
      <c r="L135" s="7" t="str">
        <f>IF(11&gt;=14,('Testes estatísticos'!$D$109+'Testes estatísticos'!$D$106)/2,"")</f>
        <v/>
      </c>
      <c r="M135" s="7" t="str">
        <f>IF(12&gt;=14,('Testes estatísticos'!$D$109+'Testes estatísticos'!$D$107)/2,"")</f>
        <v/>
      </c>
      <c r="N135" s="7" t="str">
        <f>IF(13&gt;=14,('Testes estatísticos'!$D$109+'Testes estatísticos'!$D$108)/2,"")</f>
        <v/>
      </c>
      <c r="O135" s="7">
        <f>IF(14&gt;=14,('Testes estatísticos'!$D$109+'Testes estatísticos'!$D$109)/2,"")</f>
        <v>-3.869454999999995</v>
      </c>
      <c r="P135" s="7">
        <f>IF(15&gt;=14,('Testes estatísticos'!$D$109+'Testes estatísticos'!$D$110)/2,"")</f>
        <v>-3.8351239999999969</v>
      </c>
      <c r="Q135" s="7"/>
      <c r="R135" s="7"/>
      <c r="S135" s="7"/>
      <c r="T135" s="7"/>
    </row>
    <row r="136" spans="1:20" x14ac:dyDescent="0.3">
      <c r="B136" s="7" t="str">
        <f>IF(1&gt;=15,('Testes estatísticos'!$D$110+'Testes estatísticos'!$D$96)/2,"")</f>
        <v/>
      </c>
      <c r="C136" s="7" t="str">
        <f>IF(2&gt;=15,('Testes estatísticos'!$D$110+'Testes estatísticos'!$D$97)/2,"")</f>
        <v/>
      </c>
      <c r="D136" s="7" t="str">
        <f>IF(3&gt;=15,('Testes estatísticos'!$D$110+'Testes estatísticos'!$D$98)/2,"")</f>
        <v/>
      </c>
      <c r="E136" s="7" t="str">
        <f>IF(4&gt;=15,('Testes estatísticos'!$D$110+'Testes estatísticos'!$D$99)/2,"")</f>
        <v/>
      </c>
      <c r="F136" s="7" t="str">
        <f>IF(5&gt;=15,('Testes estatísticos'!$D$110+'Testes estatísticos'!$D$100)/2,"")</f>
        <v/>
      </c>
      <c r="G136" s="7" t="str">
        <f>IF(6&gt;=15,('Testes estatísticos'!$D$110+'Testes estatísticos'!$D$101)/2,"")</f>
        <v/>
      </c>
      <c r="H136" s="7" t="str">
        <f>IF(7&gt;=15,('Testes estatísticos'!$D$110+'Testes estatísticos'!$D$102)/2,"")</f>
        <v/>
      </c>
      <c r="I136" s="7" t="str">
        <f>IF(8&gt;=15,('Testes estatísticos'!$D$110+'Testes estatísticos'!$D$103)/2,"")</f>
        <v/>
      </c>
      <c r="J136" s="7" t="str">
        <f>IF(9&gt;=15,('Testes estatísticos'!$D$110+'Testes estatísticos'!$D$104)/2,"")</f>
        <v/>
      </c>
      <c r="K136" s="7" t="str">
        <f>IF(10&gt;=15,('Testes estatísticos'!$D$110+'Testes estatísticos'!$D$105)/2,"")</f>
        <v/>
      </c>
      <c r="L136" s="7" t="str">
        <f>IF(11&gt;=15,('Testes estatísticos'!$D$110+'Testes estatísticos'!$D$106)/2,"")</f>
        <v/>
      </c>
      <c r="M136" s="7" t="str">
        <f>IF(12&gt;=15,('Testes estatísticos'!$D$110+'Testes estatísticos'!$D$107)/2,"")</f>
        <v/>
      </c>
      <c r="N136" s="7" t="str">
        <f>IF(13&gt;=15,('Testes estatísticos'!$D$110+'Testes estatísticos'!$D$108)/2,"")</f>
        <v/>
      </c>
      <c r="O136" s="7" t="str">
        <f>IF(14&gt;=15,('Testes estatísticos'!$D$110+'Testes estatísticos'!$D$109)/2,"")</f>
        <v/>
      </c>
      <c r="P136" s="7">
        <f>IF(15&gt;=15,('Testes estatísticos'!$D$110+'Testes estatísticos'!$D$110)/2,"")</f>
        <v>-3.8007929999999988</v>
      </c>
      <c r="Q136" s="7"/>
      <c r="R136" s="7"/>
      <c r="S136" s="7"/>
      <c r="T136" s="7"/>
    </row>
    <row r="137" spans="1:20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3">
      <c r="A139" s="35" t="s">
        <v>343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x14ac:dyDescent="0.3">
      <c r="B140" s="7">
        <f>IF(1&gt;=1,('Testes estatísticos'!$D$111+'Testes estatísticos'!$D$111)/2,"")</f>
        <v>-2.3149510000000006</v>
      </c>
      <c r="C140" s="7">
        <f>IF(2&gt;=1,('Testes estatísticos'!$D$111+'Testes estatísticos'!$D$112)/2,"")</f>
        <v>1.1782199999999996</v>
      </c>
      <c r="D140" s="7">
        <f>IF(3&gt;=1,('Testes estatísticos'!$D$111+'Testes estatísticos'!$D$113)/2,"")</f>
        <v>-2.2444154999999988</v>
      </c>
      <c r="E140" s="7">
        <f>IF(4&gt;=1,('Testes estatísticos'!$D$111+'Testes estatísticos'!$D$114)/2,"")</f>
        <v>-2.2806724999999979</v>
      </c>
      <c r="F140" s="7">
        <f>IF(5&gt;=1,('Testes estatísticos'!$D$111+'Testes estatísticos'!$D$115)/2,"")</f>
        <v>-7.8278120000000015</v>
      </c>
      <c r="G140" s="7">
        <f>IF(6&gt;=1,('Testes estatísticos'!$D$111+'Testes estatísticos'!$D$116)/2,"")</f>
        <v>-2.146981499999999</v>
      </c>
      <c r="H140" s="7">
        <f>IF(7&gt;=1,('Testes estatísticos'!$D$111+'Testes estatísticos'!$D$117)/2,"")</f>
        <v>3.2814584999999994</v>
      </c>
      <c r="I140" s="7">
        <f>IF(8&gt;=1,('Testes estatísticos'!$D$111+'Testes estatísticos'!$D$118)/2,"")</f>
        <v>-2.1750985000000007</v>
      </c>
      <c r="J140" s="7">
        <f>IF(9&gt;=1,('Testes estatísticos'!$D$111+'Testes estatísticos'!$D$119)/2,"")</f>
        <v>-2.2768484999999998</v>
      </c>
      <c r="K140" s="7">
        <f>IF(10&gt;=1,('Testes estatísticos'!$D$111+'Testes estatísticos'!$D$120)/2,"")</f>
        <v>-2.2303709999999981</v>
      </c>
      <c r="L140" s="7">
        <f>IF(11&gt;=1,('Testes estatísticos'!$D$111+'Testes estatísticos'!$D$121)/2,"")</f>
        <v>-2.2217684999999996</v>
      </c>
      <c r="M140" s="7">
        <f>IF(12&gt;=1,('Testes estatísticos'!$D$111+'Testes estatísticos'!$D$122)/2,"")</f>
        <v>-2.1987005000000011</v>
      </c>
      <c r="N140" s="7">
        <f>IF(13&gt;=1,('Testes estatísticos'!$D$111+'Testes estatísticos'!$D$123)/2,"")</f>
        <v>-2.1487900000000018</v>
      </c>
      <c r="O140" s="7">
        <f>IF(14&gt;=1,('Testes estatísticos'!$D$111+'Testes estatísticos'!$D$124)/2,"")</f>
        <v>-2.1700015000000015</v>
      </c>
      <c r="P140" s="7">
        <f>IF(15&gt;=1,('Testes estatísticos'!$D$111+'Testes estatísticos'!$D$125)/2,"")</f>
        <v>0.88161300000000153</v>
      </c>
      <c r="Q140" s="7">
        <f>IF(16&gt;=1,('Testes estatísticos'!$D$111+'Testes estatísticos'!$D$126)/2,"")</f>
        <v>-1.9074035000000009</v>
      </c>
      <c r="R140" s="7"/>
      <c r="S140" s="7"/>
      <c r="T140" s="7"/>
    </row>
    <row r="141" spans="1:20" x14ac:dyDescent="0.3">
      <c r="B141" s="7" t="str">
        <f>IF(1&gt;=2,('Testes estatísticos'!$D$112+'Testes estatísticos'!$D$111)/2,"")</f>
        <v/>
      </c>
      <c r="C141" s="7">
        <f>IF(2&gt;=2,('Testes estatísticos'!$D$112+'Testes estatísticos'!$D$112)/2,"")</f>
        <v>4.6713909999999998</v>
      </c>
      <c r="D141" s="7">
        <f>IF(3&gt;=2,('Testes estatísticos'!$D$112+'Testes estatísticos'!$D$113)/2,"")</f>
        <v>1.2487555000000015</v>
      </c>
      <c r="E141" s="7">
        <f>IF(4&gt;=2,('Testes estatísticos'!$D$112+'Testes estatísticos'!$D$114)/2,"")</f>
        <v>1.2124985000000024</v>
      </c>
      <c r="F141" s="7">
        <f>IF(5&gt;=2,('Testes estatísticos'!$D$112+'Testes estatísticos'!$D$115)/2,"")</f>
        <v>-4.3346410000000013</v>
      </c>
      <c r="G141" s="7">
        <f>IF(6&gt;=2,('Testes estatísticos'!$D$112+'Testes estatísticos'!$D$116)/2,"")</f>
        <v>1.3461895000000013</v>
      </c>
      <c r="H141" s="7">
        <f>IF(7&gt;=2,('Testes estatísticos'!$D$112+'Testes estatísticos'!$D$117)/2,"")</f>
        <v>6.7746294999999996</v>
      </c>
      <c r="I141" s="7">
        <f>IF(8&gt;=2,('Testes estatísticos'!$D$112+'Testes estatísticos'!$D$118)/2,"")</f>
        <v>1.3180724999999995</v>
      </c>
      <c r="J141" s="7">
        <f>IF(9&gt;=2,('Testes estatísticos'!$D$112+'Testes estatísticos'!$D$119)/2,"")</f>
        <v>1.2163225000000004</v>
      </c>
      <c r="K141" s="7">
        <f>IF(10&gt;=2,('Testes estatísticos'!$D$112+'Testes estatísticos'!$D$120)/2,"")</f>
        <v>1.2628000000000021</v>
      </c>
      <c r="L141" s="7">
        <f>IF(11&gt;=2,('Testes estatísticos'!$D$112+'Testes estatísticos'!$D$121)/2,"")</f>
        <v>1.2714025000000007</v>
      </c>
      <c r="M141" s="7">
        <f>IF(12&gt;=2,('Testes estatísticos'!$D$112+'Testes estatísticos'!$D$122)/2,"")</f>
        <v>1.2944704999999992</v>
      </c>
      <c r="N141" s="7">
        <f>IF(13&gt;=2,('Testes estatísticos'!$D$112+'Testes estatísticos'!$D$123)/2,"")</f>
        <v>1.3443809999999985</v>
      </c>
      <c r="O141" s="7">
        <f>IF(14&gt;=2,('Testes estatísticos'!$D$112+'Testes estatísticos'!$D$124)/2,"")</f>
        <v>1.3231694999999988</v>
      </c>
      <c r="P141" s="7">
        <f>IF(15&gt;=2,('Testes estatísticos'!$D$112+'Testes estatísticos'!$D$125)/2,"")</f>
        <v>4.3747840000000018</v>
      </c>
      <c r="Q141" s="7">
        <f>IF(16&gt;=2,('Testes estatísticos'!$D$112+'Testes estatísticos'!$D$126)/2,"")</f>
        <v>1.5857674999999993</v>
      </c>
      <c r="R141" s="7"/>
      <c r="S141" s="7"/>
      <c r="T141" s="7"/>
    </row>
    <row r="142" spans="1:20" x14ac:dyDescent="0.3">
      <c r="B142" s="7" t="str">
        <f>IF(1&gt;=3,('Testes estatísticos'!$D$113+'Testes estatísticos'!$D$111)/2,"")</f>
        <v/>
      </c>
      <c r="C142" s="7" t="str">
        <f>IF(2&gt;=3,('Testes estatísticos'!$D$113+'Testes estatísticos'!$D$112)/2,"")</f>
        <v/>
      </c>
      <c r="D142" s="7">
        <f>IF(3&gt;=3,('Testes estatísticos'!$D$113+'Testes estatísticos'!$D$113)/2,"")</f>
        <v>-2.1738799999999969</v>
      </c>
      <c r="E142" s="7">
        <f>IF(4&gt;=3,('Testes estatísticos'!$D$113+'Testes estatísticos'!$D$114)/2,"")</f>
        <v>-2.210136999999996</v>
      </c>
      <c r="F142" s="7">
        <f>IF(5&gt;=3,('Testes estatísticos'!$D$113+'Testes estatísticos'!$D$115)/2,"")</f>
        <v>-7.7572764999999997</v>
      </c>
      <c r="G142" s="7">
        <f>IF(6&gt;=3,('Testes estatísticos'!$D$113+'Testes estatísticos'!$D$116)/2,"")</f>
        <v>-2.0764459999999971</v>
      </c>
      <c r="H142" s="7">
        <f>IF(7&gt;=3,('Testes estatísticos'!$D$113+'Testes estatísticos'!$D$117)/2,"")</f>
        <v>3.3519940000000013</v>
      </c>
      <c r="I142" s="7">
        <f>IF(8&gt;=3,('Testes estatísticos'!$D$113+'Testes estatísticos'!$D$118)/2,"")</f>
        <v>-2.1045629999999989</v>
      </c>
      <c r="J142" s="7">
        <f>IF(9&gt;=3,('Testes estatísticos'!$D$113+'Testes estatísticos'!$D$119)/2,"")</f>
        <v>-2.206312999999998</v>
      </c>
      <c r="K142" s="7">
        <f>IF(10&gt;=3,('Testes estatísticos'!$D$113+'Testes estatísticos'!$D$120)/2,"")</f>
        <v>-2.1598354999999962</v>
      </c>
      <c r="L142" s="7">
        <f>IF(11&gt;=3,('Testes estatísticos'!$D$113+'Testes estatísticos'!$D$121)/2,"")</f>
        <v>-2.1512329999999977</v>
      </c>
      <c r="M142" s="7">
        <f>IF(12&gt;=3,('Testes estatísticos'!$D$113+'Testes estatísticos'!$D$122)/2,"")</f>
        <v>-2.1281649999999992</v>
      </c>
      <c r="N142" s="7">
        <f>IF(13&gt;=3,('Testes estatísticos'!$D$113+'Testes estatísticos'!$D$123)/2,"")</f>
        <v>-2.0782544999999999</v>
      </c>
      <c r="O142" s="7">
        <f>IF(14&gt;=3,('Testes estatísticos'!$D$113+'Testes estatísticos'!$D$124)/2,"")</f>
        <v>-2.0994659999999996</v>
      </c>
      <c r="P142" s="7">
        <f>IF(15&gt;=3,('Testes estatísticos'!$D$113+'Testes estatísticos'!$D$125)/2,"")</f>
        <v>0.95214850000000339</v>
      </c>
      <c r="Q142" s="7">
        <f>IF(16&gt;=3,('Testes estatísticos'!$D$113+'Testes estatísticos'!$D$126)/2,"")</f>
        <v>-1.8368679999999991</v>
      </c>
    </row>
    <row r="143" spans="1:20" x14ac:dyDescent="0.3">
      <c r="B143" s="7" t="str">
        <f>IF(1&gt;=4,('Testes estatísticos'!$D$114+'Testes estatísticos'!$D$111)/2,"")</f>
        <v/>
      </c>
      <c r="C143" s="7" t="str">
        <f>IF(2&gt;=4,('Testes estatísticos'!$D$114+'Testes estatísticos'!$D$112)/2,"")</f>
        <v/>
      </c>
      <c r="D143" s="7" t="str">
        <f>IF(3&gt;=4,('Testes estatísticos'!$D$114+'Testes estatísticos'!$D$113)/2,"")</f>
        <v/>
      </c>
      <c r="E143" s="7">
        <f>IF(4&gt;=4,('Testes estatísticos'!$D$114+'Testes estatísticos'!$D$114)/2,"")</f>
        <v>-2.2463939999999951</v>
      </c>
      <c r="F143" s="7">
        <f>IF(5&gt;=4,('Testes estatísticos'!$D$114+'Testes estatísticos'!$D$115)/2,"")</f>
        <v>-7.7935334999999988</v>
      </c>
      <c r="G143" s="7">
        <f>IF(6&gt;=4,('Testes estatísticos'!$D$114+'Testes estatísticos'!$D$116)/2,"")</f>
        <v>-2.1127029999999962</v>
      </c>
      <c r="H143" s="7">
        <f>IF(7&gt;=4,('Testes estatísticos'!$D$114+'Testes estatísticos'!$D$117)/2,"")</f>
        <v>3.3157370000000022</v>
      </c>
      <c r="I143" s="7">
        <f>IF(8&gt;=4,('Testes estatísticos'!$D$114+'Testes estatísticos'!$D$118)/2,"")</f>
        <v>-2.1408199999999979</v>
      </c>
      <c r="J143" s="7">
        <f>IF(9&gt;=4,('Testes estatísticos'!$D$114+'Testes estatísticos'!$D$119)/2,"")</f>
        <v>-2.2425699999999971</v>
      </c>
      <c r="K143" s="7">
        <f>IF(10&gt;=4,('Testes estatísticos'!$D$114+'Testes estatísticos'!$D$120)/2,"")</f>
        <v>-2.1960924999999953</v>
      </c>
      <c r="L143" s="7">
        <f>IF(11&gt;=4,('Testes estatísticos'!$D$114+'Testes estatísticos'!$D$121)/2,"")</f>
        <v>-2.1874899999999968</v>
      </c>
      <c r="M143" s="7">
        <f>IF(12&gt;=4,('Testes estatísticos'!$D$114+'Testes estatísticos'!$D$122)/2,"")</f>
        <v>-2.1644219999999983</v>
      </c>
      <c r="N143" s="7">
        <f>IF(13&gt;=4,('Testes estatísticos'!$D$114+'Testes estatísticos'!$D$123)/2,"")</f>
        <v>-2.114511499999999</v>
      </c>
      <c r="O143" s="7">
        <f>IF(14&gt;=4,('Testes estatísticos'!$D$114+'Testes estatísticos'!$D$124)/2,"")</f>
        <v>-2.1357229999999987</v>
      </c>
      <c r="P143" s="7">
        <f>IF(15&gt;=4,('Testes estatísticos'!$D$114+'Testes estatísticos'!$D$125)/2,"")</f>
        <v>0.9158915000000043</v>
      </c>
      <c r="Q143" s="7">
        <f>IF(16&gt;=4,('Testes estatísticos'!$D$114+'Testes estatísticos'!$D$126)/2,"")</f>
        <v>-1.8731249999999982</v>
      </c>
    </row>
    <row r="144" spans="1:20" x14ac:dyDescent="0.3">
      <c r="A144" s="35"/>
      <c r="B144" s="7" t="str">
        <f>IF(1&gt;=5,('Testes estatísticos'!$D$115+'Testes estatísticos'!$D$111)/2,"")</f>
        <v/>
      </c>
      <c r="C144" s="7" t="str">
        <f>IF(2&gt;=5,('Testes estatísticos'!$D$115+'Testes estatísticos'!$D$112)/2,"")</f>
        <v/>
      </c>
      <c r="D144" s="7" t="str">
        <f>IF(3&gt;=5,('Testes estatísticos'!$D$115+'Testes estatísticos'!$D$113)/2,"")</f>
        <v/>
      </c>
      <c r="E144" s="7" t="str">
        <f>IF(4&gt;=5,('Testes estatísticos'!$D$115+'Testes estatísticos'!$D$114)/2,"")</f>
        <v/>
      </c>
      <c r="F144" s="7">
        <f>IF(5&gt;=5,('Testes estatísticos'!$D$115+'Testes estatísticos'!$D$115)/2,"")</f>
        <v>-13.340673000000002</v>
      </c>
      <c r="G144" s="7">
        <f>IF(6&gt;=5,('Testes estatísticos'!$D$115+'Testes estatísticos'!$D$116)/2,"")</f>
        <v>-7.6598424999999999</v>
      </c>
      <c r="H144" s="7">
        <f>IF(7&gt;=5,('Testes estatísticos'!$D$115+'Testes estatísticos'!$D$117)/2,"")</f>
        <v>-2.2314025000000015</v>
      </c>
      <c r="I144" s="7">
        <f>IF(8&gt;=5,('Testes estatísticos'!$D$115+'Testes estatísticos'!$D$118)/2,"")</f>
        <v>-7.6879595000000016</v>
      </c>
      <c r="J144" s="7">
        <f>IF(9&gt;=5,('Testes estatísticos'!$D$115+'Testes estatísticos'!$D$119)/2,"")</f>
        <v>-7.7897095000000007</v>
      </c>
      <c r="K144" s="7">
        <f>IF(10&gt;=5,('Testes estatísticos'!$D$115+'Testes estatísticos'!$D$120)/2,"")</f>
        <v>-7.743231999999999</v>
      </c>
      <c r="L144" s="7">
        <f>IF(11&gt;=5,('Testes estatísticos'!$D$115+'Testes estatísticos'!$D$121)/2,"")</f>
        <v>-7.7346295000000005</v>
      </c>
      <c r="M144" s="7">
        <f>IF(12&gt;=5,('Testes estatísticos'!$D$115+'Testes estatísticos'!$D$122)/2,"")</f>
        <v>-7.711561500000002</v>
      </c>
      <c r="N144" s="7">
        <f>IF(13&gt;=5,('Testes estatísticos'!$D$115+'Testes estatísticos'!$D$123)/2,"")</f>
        <v>-7.6616510000000027</v>
      </c>
      <c r="O144" s="7">
        <f>IF(14&gt;=5,('Testes estatísticos'!$D$115+'Testes estatísticos'!$D$124)/2,"")</f>
        <v>-7.6828625000000024</v>
      </c>
      <c r="P144" s="7">
        <f>IF(15&gt;=5,('Testes estatísticos'!$D$115+'Testes estatísticos'!$D$125)/2,"")</f>
        <v>-4.6312479999999994</v>
      </c>
      <c r="Q144" s="7">
        <f>IF(16&gt;=5,('Testes estatísticos'!$D$115+'Testes estatísticos'!$D$126)/2,"")</f>
        <v>-7.4202645000000018</v>
      </c>
    </row>
    <row r="145" spans="1:21" x14ac:dyDescent="0.3">
      <c r="B145" s="7" t="str">
        <f>IF(1&gt;=6,('Testes estatísticos'!$D$116+'Testes estatísticos'!$D$111)/2,"")</f>
        <v/>
      </c>
      <c r="C145" s="7" t="str">
        <f>IF(2&gt;=6,('Testes estatísticos'!$D$116+'Testes estatísticos'!$D$112)/2,"")</f>
        <v/>
      </c>
      <c r="D145" s="7" t="str">
        <f>IF(3&gt;=6,('Testes estatísticos'!$D$116+'Testes estatísticos'!$D$113)/2,"")</f>
        <v/>
      </c>
      <c r="E145" s="7" t="str">
        <f>IF(4&gt;=6,('Testes estatísticos'!$D$116+'Testes estatísticos'!$D$114)/2,"")</f>
        <v/>
      </c>
      <c r="F145" s="7" t="str">
        <f>IF(5&gt;=6,('Testes estatísticos'!$D$116+'Testes estatísticos'!$D$115)/2,"")</f>
        <v/>
      </c>
      <c r="G145" s="7">
        <f>IF(6&gt;=6,('Testes estatísticos'!$D$116+'Testes estatísticos'!$D$116)/2,"")</f>
        <v>-1.9790119999999973</v>
      </c>
      <c r="H145" s="7">
        <f>IF(7&gt;=6,('Testes estatísticos'!$D$116+'Testes estatísticos'!$D$117)/2,"")</f>
        <v>3.449428000000001</v>
      </c>
      <c r="I145" s="7">
        <f>IF(8&gt;=6,('Testes estatísticos'!$D$116+'Testes estatísticos'!$D$118)/2,"")</f>
        <v>-2.0071289999999991</v>
      </c>
      <c r="J145" s="7">
        <f>IF(9&gt;=6,('Testes estatísticos'!$D$116+'Testes estatísticos'!$D$119)/2,"")</f>
        <v>-2.1088789999999982</v>
      </c>
      <c r="K145" s="7">
        <f>IF(10&gt;=6,('Testes estatísticos'!$D$116+'Testes estatísticos'!$D$120)/2,"")</f>
        <v>-2.0624014999999964</v>
      </c>
      <c r="L145" s="7">
        <f>IF(11&gt;=6,('Testes estatísticos'!$D$116+'Testes estatísticos'!$D$121)/2,"")</f>
        <v>-2.0537989999999979</v>
      </c>
      <c r="M145" s="7">
        <f>IF(12&gt;=6,('Testes estatísticos'!$D$116+'Testes estatísticos'!$D$122)/2,"")</f>
        <v>-2.0307309999999994</v>
      </c>
      <c r="N145" s="7">
        <f>IF(13&gt;=6,('Testes estatísticos'!$D$116+'Testes estatísticos'!$D$123)/2,"")</f>
        <v>-1.9808205000000001</v>
      </c>
      <c r="O145" s="7">
        <f>IF(14&gt;=6,('Testes estatísticos'!$D$116+'Testes estatísticos'!$D$124)/2,"")</f>
        <v>-2.0020319999999998</v>
      </c>
      <c r="P145" s="7">
        <f>IF(15&gt;=6,('Testes estatísticos'!$D$116+'Testes estatísticos'!$D$125)/2,"")</f>
        <v>1.0495825000000032</v>
      </c>
      <c r="Q145" s="7">
        <f>IF(16&gt;=6,('Testes estatísticos'!$D$116+'Testes estatísticos'!$D$126)/2,"")</f>
        <v>-1.7394339999999993</v>
      </c>
      <c r="R145" s="7"/>
      <c r="S145" s="7"/>
      <c r="T145" s="7"/>
      <c r="U145" s="7"/>
    </row>
    <row r="146" spans="1:21" x14ac:dyDescent="0.3">
      <c r="B146" s="7" t="str">
        <f>IF(1&gt;=7,('Testes estatísticos'!$D$117+'Testes estatísticos'!$D$111)/2,"")</f>
        <v/>
      </c>
      <c r="C146" s="7" t="str">
        <f>IF(2&gt;=7,('Testes estatísticos'!$D$117+'Testes estatísticos'!$D$112)/2,"")</f>
        <v/>
      </c>
      <c r="D146" s="7" t="str">
        <f>IF(3&gt;=7,('Testes estatísticos'!$D$117+'Testes estatísticos'!$D$113)/2,"")</f>
        <v/>
      </c>
      <c r="E146" s="7" t="str">
        <f>IF(4&gt;=7,('Testes estatísticos'!$D$117+'Testes estatísticos'!$D$114)/2,"")</f>
        <v/>
      </c>
      <c r="F146" s="7" t="str">
        <f>IF(5&gt;=7,('Testes estatísticos'!$D$117+'Testes estatísticos'!$D$115)/2,"")</f>
        <v/>
      </c>
      <c r="G146" s="7" t="str">
        <f>IF(6&gt;=7,('Testes estatísticos'!$D$117+'Testes estatísticos'!$D$116)/2,"")</f>
        <v/>
      </c>
      <c r="H146" s="7">
        <f>IF(7&gt;=7,('Testes estatísticos'!$D$117+'Testes estatísticos'!$D$117)/2,"")</f>
        <v>8.8778679999999994</v>
      </c>
      <c r="I146" s="7">
        <f>IF(8&gt;=7,('Testes estatísticos'!$D$117+'Testes estatísticos'!$D$118)/2,"")</f>
        <v>3.4213109999999993</v>
      </c>
      <c r="J146" s="7">
        <f>IF(9&gt;=7,('Testes estatísticos'!$D$117+'Testes estatísticos'!$D$119)/2,"")</f>
        <v>3.3195610000000002</v>
      </c>
      <c r="K146" s="7">
        <f>IF(10&gt;=7,('Testes estatísticos'!$D$117+'Testes estatísticos'!$D$120)/2,"")</f>
        <v>3.3660385000000019</v>
      </c>
      <c r="L146" s="7">
        <f>IF(11&gt;=7,('Testes estatísticos'!$D$117+'Testes estatísticos'!$D$121)/2,"")</f>
        <v>3.3746410000000004</v>
      </c>
      <c r="M146" s="7">
        <f>IF(12&gt;=7,('Testes estatísticos'!$D$117+'Testes estatísticos'!$D$122)/2,"")</f>
        <v>3.397708999999999</v>
      </c>
      <c r="N146" s="7">
        <f>IF(13&gt;=7,('Testes estatísticos'!$D$117+'Testes estatísticos'!$D$123)/2,"")</f>
        <v>3.4476194999999983</v>
      </c>
      <c r="O146" s="7">
        <f>IF(14&gt;=7,('Testes estatísticos'!$D$117+'Testes estatísticos'!$D$124)/2,"")</f>
        <v>3.4264079999999986</v>
      </c>
      <c r="P146" s="7">
        <f>IF(15&gt;=7,('Testes estatísticos'!$D$117+'Testes estatísticos'!$D$125)/2,"")</f>
        <v>6.4780225000000016</v>
      </c>
      <c r="Q146" s="7">
        <f>IF(16&gt;=7,('Testes estatísticos'!$D$117+'Testes estatísticos'!$D$126)/2,"")</f>
        <v>3.6890059999999991</v>
      </c>
      <c r="R146" s="7"/>
      <c r="S146" s="7"/>
      <c r="T146" s="7"/>
      <c r="U146" s="7"/>
    </row>
    <row r="147" spans="1:21" x14ac:dyDescent="0.3">
      <c r="B147" s="7" t="str">
        <f>IF(1&gt;=8,('Testes estatísticos'!$D$118+'Testes estatísticos'!$D$111)/2,"")</f>
        <v/>
      </c>
      <c r="C147" s="7" t="str">
        <f>IF(2&gt;=8,('Testes estatísticos'!$D$118+'Testes estatísticos'!$D$112)/2,"")</f>
        <v/>
      </c>
      <c r="D147" s="7" t="str">
        <f>IF(3&gt;=8,('Testes estatísticos'!$D$118+'Testes estatísticos'!$D$113)/2,"")</f>
        <v/>
      </c>
      <c r="E147" s="7" t="str">
        <f>IF(4&gt;=8,('Testes estatísticos'!$D$118+'Testes estatísticos'!$D$114)/2,"")</f>
        <v/>
      </c>
      <c r="F147" s="7" t="str">
        <f>IF(5&gt;=8,('Testes estatísticos'!$D$118+'Testes estatísticos'!$D$115)/2,"")</f>
        <v/>
      </c>
      <c r="G147" s="7" t="str">
        <f>IF(6&gt;=8,('Testes estatísticos'!$D$118+'Testes estatísticos'!$D$116)/2,"")</f>
        <v/>
      </c>
      <c r="H147" s="7" t="str">
        <f>IF(7&gt;=8,('Testes estatísticos'!$D$118+'Testes estatísticos'!$D$117)/2,"")</f>
        <v/>
      </c>
      <c r="I147" s="7">
        <f>IF(8&gt;=8,('Testes estatísticos'!$D$118+'Testes estatísticos'!$D$118)/2,"")</f>
        <v>-2.0352460000000008</v>
      </c>
      <c r="J147" s="7">
        <f>IF(9&gt;=8,('Testes estatísticos'!$D$118+'Testes estatísticos'!$D$119)/2,"")</f>
        <v>-2.1369959999999999</v>
      </c>
      <c r="K147" s="7">
        <f>IF(10&gt;=8,('Testes estatísticos'!$D$118+'Testes estatísticos'!$D$120)/2,"")</f>
        <v>-2.0905184999999982</v>
      </c>
      <c r="L147" s="7">
        <f>IF(11&gt;=8,('Testes estatísticos'!$D$118+'Testes estatísticos'!$D$121)/2,"")</f>
        <v>-2.0819159999999997</v>
      </c>
      <c r="M147" s="7">
        <f>IF(12&gt;=8,('Testes estatísticos'!$D$118+'Testes estatísticos'!$D$122)/2,"")</f>
        <v>-2.0588480000000011</v>
      </c>
      <c r="N147" s="7">
        <f>IF(13&gt;=8,('Testes estatísticos'!$D$118+'Testes estatísticos'!$D$123)/2,"")</f>
        <v>-2.0089375000000018</v>
      </c>
      <c r="O147" s="7">
        <f>IF(14&gt;=8,('Testes estatísticos'!$D$118+'Testes estatísticos'!$D$124)/2,"")</f>
        <v>-2.0301490000000015</v>
      </c>
      <c r="P147" s="7">
        <f>IF(15&gt;=8,('Testes estatísticos'!$D$118+'Testes estatísticos'!$D$125)/2,"")</f>
        <v>1.0214655000000015</v>
      </c>
      <c r="Q147" s="7">
        <f>IF(16&gt;=8,('Testes estatísticos'!$D$118+'Testes estatísticos'!$D$126)/2,"")</f>
        <v>-1.767551000000001</v>
      </c>
      <c r="R147" s="7"/>
      <c r="S147" s="7"/>
      <c r="T147" s="7"/>
      <c r="U147" s="7"/>
    </row>
    <row r="148" spans="1:21" x14ac:dyDescent="0.3">
      <c r="B148" s="7" t="str">
        <f>IF(1&gt;=9,('Testes estatísticos'!$D$119+'Testes estatísticos'!$D$111)/2,"")</f>
        <v/>
      </c>
      <c r="C148" s="7" t="str">
        <f>IF(2&gt;=9,('Testes estatísticos'!$D$119+'Testes estatísticos'!$D$112)/2,"")</f>
        <v/>
      </c>
      <c r="D148" s="7" t="str">
        <f>IF(3&gt;=9,('Testes estatísticos'!$D$119+'Testes estatísticos'!$D$113)/2,"")</f>
        <v/>
      </c>
      <c r="E148" s="7" t="str">
        <f>IF(4&gt;=9,('Testes estatísticos'!$D$119+'Testes estatísticos'!$D$114)/2,"")</f>
        <v/>
      </c>
      <c r="F148" s="7" t="str">
        <f>IF(5&gt;=9,('Testes estatísticos'!$D$119+'Testes estatísticos'!$D$115)/2,"")</f>
        <v/>
      </c>
      <c r="G148" s="7" t="str">
        <f>IF(6&gt;=9,('Testes estatísticos'!$D$119+'Testes estatísticos'!$D$116)/2,"")</f>
        <v/>
      </c>
      <c r="H148" s="7" t="str">
        <f>IF(7&gt;=9,('Testes estatísticos'!$D$119+'Testes estatísticos'!$D$117)/2,"")</f>
        <v/>
      </c>
      <c r="I148" s="7" t="str">
        <f>IF(8&gt;=9,('Testes estatísticos'!$D$119+'Testes estatísticos'!$D$118)/2,"")</f>
        <v/>
      </c>
      <c r="J148" s="7">
        <f>IF(9&gt;=9,('Testes estatísticos'!$D$119+'Testes estatísticos'!$D$119)/2,"")</f>
        <v>-2.238745999999999</v>
      </c>
      <c r="K148" s="7">
        <f>IF(10&gt;=9,('Testes estatísticos'!$D$119+'Testes estatísticos'!$D$120)/2,"")</f>
        <v>-2.1922684999999973</v>
      </c>
      <c r="L148" s="7">
        <f>IF(11&gt;=9,('Testes estatísticos'!$D$119+'Testes estatísticos'!$D$121)/2,"")</f>
        <v>-2.1836659999999988</v>
      </c>
      <c r="M148" s="7">
        <f>IF(12&gt;=9,('Testes estatísticos'!$D$119+'Testes estatísticos'!$D$122)/2,"")</f>
        <v>-2.1605980000000002</v>
      </c>
      <c r="N148" s="7">
        <f>IF(13&gt;=9,('Testes estatísticos'!$D$119+'Testes estatísticos'!$D$123)/2,"")</f>
        <v>-2.1106875000000009</v>
      </c>
      <c r="O148" s="7">
        <f>IF(14&gt;=9,('Testes estatísticos'!$D$119+'Testes estatísticos'!$D$124)/2,"")</f>
        <v>-2.1318990000000007</v>
      </c>
      <c r="P148" s="7">
        <f>IF(15&gt;=9,('Testes estatísticos'!$D$119+'Testes estatísticos'!$D$125)/2,"")</f>
        <v>0.91971550000000235</v>
      </c>
      <c r="Q148" s="7">
        <f>IF(16&gt;=9,('Testes estatísticos'!$D$119+'Testes estatísticos'!$D$126)/2,"")</f>
        <v>-1.8693010000000001</v>
      </c>
      <c r="R148" s="7"/>
      <c r="S148" s="7"/>
      <c r="T148" s="7"/>
      <c r="U148" s="7"/>
    </row>
    <row r="149" spans="1:21" x14ac:dyDescent="0.3">
      <c r="B149" s="7" t="str">
        <f>IF(1&gt;=10,('Testes estatísticos'!$D$120+'Testes estatísticos'!$D$111)/2,"")</f>
        <v/>
      </c>
      <c r="C149" s="7" t="str">
        <f>IF(2&gt;=10,('Testes estatísticos'!$D$120+'Testes estatísticos'!$D$112)/2,"")</f>
        <v/>
      </c>
      <c r="D149" s="7" t="str">
        <f>IF(3&gt;=10,('Testes estatísticos'!$D$120+'Testes estatísticos'!$D$113)/2,"")</f>
        <v/>
      </c>
      <c r="E149" s="7" t="str">
        <f>IF(4&gt;=10,('Testes estatísticos'!$D$120+'Testes estatísticos'!$D$114)/2,"")</f>
        <v/>
      </c>
      <c r="F149" s="7" t="str">
        <f>IF(5&gt;=10,('Testes estatísticos'!$D$120+'Testes estatísticos'!$D$115)/2,"")</f>
        <v/>
      </c>
      <c r="G149" s="7" t="str">
        <f>IF(6&gt;=10,('Testes estatísticos'!$D$120+'Testes estatísticos'!$D$116)/2,"")</f>
        <v/>
      </c>
      <c r="H149" s="7" t="str">
        <f>IF(7&gt;=10,('Testes estatísticos'!$D$120+'Testes estatísticos'!$D$117)/2,"")</f>
        <v/>
      </c>
      <c r="I149" s="7" t="str">
        <f>IF(8&gt;=10,('Testes estatísticos'!$D$120+'Testes estatísticos'!$D$118)/2,"")</f>
        <v/>
      </c>
      <c r="J149" s="7" t="str">
        <f>IF(9&gt;=10,('Testes estatísticos'!$D$120+'Testes estatísticos'!$D$119)/2,"")</f>
        <v/>
      </c>
      <c r="K149" s="7">
        <f>IF(10&gt;=10,('Testes estatísticos'!$D$120+'Testes estatísticos'!$D$120)/2,"")</f>
        <v>-2.1457909999999956</v>
      </c>
      <c r="L149" s="7">
        <f>IF(11&gt;=10,('Testes estatísticos'!$D$120+'Testes estatísticos'!$D$121)/2,"")</f>
        <v>-2.137188499999997</v>
      </c>
      <c r="M149" s="7">
        <f>IF(12&gt;=10,('Testes estatísticos'!$D$120+'Testes estatísticos'!$D$122)/2,"")</f>
        <v>-2.1141204999999985</v>
      </c>
      <c r="N149" s="7">
        <f>IF(13&gt;=10,('Testes estatísticos'!$D$120+'Testes estatísticos'!$D$123)/2,"")</f>
        <v>-2.0642099999999992</v>
      </c>
      <c r="O149" s="7">
        <f>IF(14&gt;=10,('Testes estatísticos'!$D$120+'Testes estatísticos'!$D$124)/2,"")</f>
        <v>-2.0854214999999989</v>
      </c>
      <c r="P149" s="7">
        <f>IF(15&gt;=10,('Testes estatísticos'!$D$120+'Testes estatísticos'!$D$125)/2,"")</f>
        <v>0.96619300000000408</v>
      </c>
      <c r="Q149" s="7">
        <f>IF(16&gt;=10,('Testes estatísticos'!$D$120+'Testes estatísticos'!$D$126)/2,"")</f>
        <v>-1.8228234999999984</v>
      </c>
      <c r="R149" s="7"/>
      <c r="S149" s="7"/>
      <c r="T149" s="7"/>
      <c r="U149" s="7"/>
    </row>
    <row r="150" spans="1:21" x14ac:dyDescent="0.3">
      <c r="B150" s="7" t="str">
        <f>IF(1&gt;=11,('Testes estatísticos'!$D$121+'Testes estatísticos'!$D$111)/2,"")</f>
        <v/>
      </c>
      <c r="C150" s="7" t="str">
        <f>IF(2&gt;=11,('Testes estatísticos'!$D$121+'Testes estatísticos'!$D$112)/2,"")</f>
        <v/>
      </c>
      <c r="D150" s="7" t="str">
        <f>IF(3&gt;=11,('Testes estatísticos'!$D$121+'Testes estatísticos'!$D$113)/2,"")</f>
        <v/>
      </c>
      <c r="E150" s="7" t="str">
        <f>IF(4&gt;=11,('Testes estatísticos'!$D$121+'Testes estatísticos'!$D$114)/2,"")</f>
        <v/>
      </c>
      <c r="F150" s="7" t="str">
        <f>IF(5&gt;=11,('Testes estatísticos'!$D$121+'Testes estatísticos'!$D$115)/2,"")</f>
        <v/>
      </c>
      <c r="G150" s="7" t="str">
        <f>IF(6&gt;=11,('Testes estatísticos'!$D$121+'Testes estatísticos'!$D$116)/2,"")</f>
        <v/>
      </c>
      <c r="H150" s="7" t="str">
        <f>IF(7&gt;=11,('Testes estatísticos'!$D$121+'Testes estatísticos'!$D$117)/2,"")</f>
        <v/>
      </c>
      <c r="I150" s="7" t="str">
        <f>IF(8&gt;=11,('Testes estatísticos'!$D$121+'Testes estatísticos'!$D$118)/2,"")</f>
        <v/>
      </c>
      <c r="J150" s="7" t="str">
        <f>IF(9&gt;=11,('Testes estatísticos'!$D$121+'Testes estatísticos'!$D$119)/2,"")</f>
        <v/>
      </c>
      <c r="K150" s="7" t="str">
        <f>IF(10&gt;=11,('Testes estatísticos'!$D$121+'Testes estatísticos'!$D$120)/2,"")</f>
        <v/>
      </c>
      <c r="L150" s="7">
        <f>IF(11&gt;=11,('Testes estatísticos'!$D$121+'Testes estatísticos'!$D$121)/2,"")</f>
        <v>-2.1285859999999985</v>
      </c>
      <c r="M150" s="7">
        <f>IF(12&gt;=11,('Testes estatísticos'!$D$121+'Testes estatísticos'!$D$122)/2,"")</f>
        <v>-2.105518</v>
      </c>
      <c r="N150" s="7">
        <f>IF(13&gt;=11,('Testes estatísticos'!$D$121+'Testes estatísticos'!$D$123)/2,"")</f>
        <v>-2.0556075000000007</v>
      </c>
      <c r="O150" s="7">
        <f>IF(14&gt;=11,('Testes estatísticos'!$D$121+'Testes estatísticos'!$D$124)/2,"")</f>
        <v>-2.0768190000000004</v>
      </c>
      <c r="P150" s="7">
        <f>IF(15&gt;=11,('Testes estatísticos'!$D$121+'Testes estatísticos'!$D$125)/2,"")</f>
        <v>0.97479550000000259</v>
      </c>
      <c r="Q150" s="7">
        <f>IF(16&gt;=11,('Testes estatísticos'!$D$121+'Testes estatísticos'!$D$126)/2,"")</f>
        <v>-1.8142209999999999</v>
      </c>
      <c r="R150" s="7"/>
      <c r="S150" s="7"/>
      <c r="T150" s="7"/>
      <c r="U150" s="7"/>
    </row>
    <row r="151" spans="1:21" x14ac:dyDescent="0.3">
      <c r="B151" s="7" t="str">
        <f>IF(1&gt;=12,('Testes estatísticos'!$D$122+'Testes estatísticos'!$D$111)/2,"")</f>
        <v/>
      </c>
      <c r="C151" s="7" t="str">
        <f>IF(2&gt;=12,('Testes estatísticos'!$D$122+'Testes estatísticos'!$D$112)/2,"")</f>
        <v/>
      </c>
      <c r="D151" s="7" t="str">
        <f>IF(3&gt;=12,('Testes estatísticos'!$D$122+'Testes estatísticos'!$D$113)/2,"")</f>
        <v/>
      </c>
      <c r="E151" s="7" t="str">
        <f>IF(4&gt;=12,('Testes estatísticos'!$D$122+'Testes estatísticos'!$D$114)/2,"")</f>
        <v/>
      </c>
      <c r="F151" s="7" t="str">
        <f>IF(5&gt;=12,('Testes estatísticos'!$D$122+'Testes estatísticos'!$D$115)/2,"")</f>
        <v/>
      </c>
      <c r="G151" s="7" t="str">
        <f>IF(6&gt;=12,('Testes estatísticos'!$D$122+'Testes estatísticos'!$D$116)/2,"")</f>
        <v/>
      </c>
      <c r="H151" s="7" t="str">
        <f>IF(7&gt;=12,('Testes estatísticos'!$D$122+'Testes estatísticos'!$D$117)/2,"")</f>
        <v/>
      </c>
      <c r="I151" s="7" t="str">
        <f>IF(8&gt;=12,('Testes estatísticos'!$D$122+'Testes estatísticos'!$D$118)/2,"")</f>
        <v/>
      </c>
      <c r="J151" s="7" t="str">
        <f>IF(9&gt;=12,('Testes estatísticos'!$D$122+'Testes estatísticos'!$D$119)/2,"")</f>
        <v/>
      </c>
      <c r="K151" s="7" t="str">
        <f>IF(10&gt;=12,('Testes estatísticos'!$D$122+'Testes estatísticos'!$D$120)/2,"")</f>
        <v/>
      </c>
      <c r="L151" s="7" t="str">
        <f>IF(11&gt;=12,('Testes estatísticos'!$D$122+'Testes estatísticos'!$D$121)/2,"")</f>
        <v/>
      </c>
      <c r="M151" s="7">
        <f>IF(12&gt;=12,('Testes estatísticos'!$D$122+'Testes estatísticos'!$D$122)/2,"")</f>
        <v>-2.0824500000000015</v>
      </c>
      <c r="N151" s="7">
        <f>IF(13&gt;=12,('Testes estatísticos'!$D$122+'Testes estatísticos'!$D$123)/2,"")</f>
        <v>-2.0325395000000022</v>
      </c>
      <c r="O151" s="7">
        <f>IF(14&gt;=12,('Testes estatísticos'!$D$122+'Testes estatísticos'!$D$124)/2,"")</f>
        <v>-2.0537510000000019</v>
      </c>
      <c r="P151" s="7">
        <f>IF(15&gt;=12,('Testes estatísticos'!$D$122+'Testes estatísticos'!$D$125)/2,"")</f>
        <v>0.99786350000000112</v>
      </c>
      <c r="Q151" s="7">
        <f>IF(16&gt;=12,('Testes estatísticos'!$D$122+'Testes estatísticos'!$D$126)/2,"")</f>
        <v>-1.7911530000000013</v>
      </c>
      <c r="R151" s="7"/>
      <c r="S151" s="7"/>
      <c r="T151" s="7"/>
      <c r="U151" s="7"/>
    </row>
    <row r="152" spans="1:21" x14ac:dyDescent="0.3">
      <c r="B152" s="7" t="str">
        <f>IF(1&gt;=13,('Testes estatísticos'!$D$123+'Testes estatísticos'!$D$111)/2,"")</f>
        <v/>
      </c>
      <c r="C152" s="7" t="str">
        <f>IF(2&gt;=13,('Testes estatísticos'!$D$123+'Testes estatísticos'!$D$112)/2,"")</f>
        <v/>
      </c>
      <c r="D152" s="7" t="str">
        <f>IF(3&gt;=13,('Testes estatísticos'!$D$123+'Testes estatísticos'!$D$113)/2,"")</f>
        <v/>
      </c>
      <c r="E152" s="7" t="str">
        <f>IF(4&gt;=13,('Testes estatísticos'!$D$123+'Testes estatísticos'!$D$114)/2,"")</f>
        <v/>
      </c>
      <c r="F152" s="7" t="str">
        <f>IF(5&gt;=13,('Testes estatísticos'!$D$123+'Testes estatísticos'!$D$115)/2,"")</f>
        <v/>
      </c>
      <c r="G152" s="7" t="str">
        <f>IF(6&gt;=13,('Testes estatísticos'!$D$123+'Testes estatísticos'!$D$116)/2,"")</f>
        <v/>
      </c>
      <c r="H152" s="7" t="str">
        <f>IF(7&gt;=13,('Testes estatísticos'!$D$123+'Testes estatísticos'!$D$117)/2,"")</f>
        <v/>
      </c>
      <c r="I152" s="7" t="str">
        <f>IF(8&gt;=13,('Testes estatísticos'!$D$123+'Testes estatísticos'!$D$118)/2,"")</f>
        <v/>
      </c>
      <c r="J152" s="7" t="str">
        <f>IF(9&gt;=13,('Testes estatísticos'!$D$123+'Testes estatísticos'!$D$119)/2,"")</f>
        <v/>
      </c>
      <c r="K152" s="7" t="str">
        <f>IF(10&gt;=13,('Testes estatísticos'!$D$123+'Testes estatísticos'!$D$120)/2,"")</f>
        <v/>
      </c>
      <c r="L152" s="7" t="str">
        <f>IF(11&gt;=13,('Testes estatísticos'!$D$123+'Testes estatísticos'!$D$121)/2,"")</f>
        <v/>
      </c>
      <c r="M152" s="7" t="str">
        <f>IF(12&gt;=13,('Testes estatísticos'!$D$123+'Testes estatísticos'!$D$122)/2,"")</f>
        <v/>
      </c>
      <c r="N152" s="7">
        <f>IF(13&gt;=13,('Testes estatísticos'!$D$123+'Testes estatísticos'!$D$123)/2,"")</f>
        <v>-1.9826290000000029</v>
      </c>
      <c r="O152" s="7">
        <f>IF(14&gt;=13,('Testes estatísticos'!$D$123+'Testes estatísticos'!$D$124)/2,"")</f>
        <v>-2.0038405000000026</v>
      </c>
      <c r="P152" s="7">
        <f>IF(15&gt;=13,('Testes estatísticos'!$D$123+'Testes estatísticos'!$D$125)/2,"")</f>
        <v>1.0477740000000004</v>
      </c>
      <c r="Q152" s="7">
        <f>IF(16&gt;=13,('Testes estatísticos'!$D$123+'Testes estatísticos'!$D$126)/2,"")</f>
        <v>-1.741242500000002</v>
      </c>
      <c r="R152" s="7"/>
      <c r="S152" s="7"/>
      <c r="T152" s="7"/>
      <c r="U152" s="7"/>
    </row>
    <row r="153" spans="1:21" x14ac:dyDescent="0.3">
      <c r="B153" s="7" t="str">
        <f>IF(1&gt;=14,('Testes estatísticos'!$D$124+'Testes estatísticos'!$D$111)/2,"")</f>
        <v/>
      </c>
      <c r="C153" s="7" t="str">
        <f>IF(2&gt;=14,('Testes estatísticos'!$D$124+'Testes estatísticos'!$D$112)/2,"")</f>
        <v/>
      </c>
      <c r="D153" s="7" t="str">
        <f>IF(3&gt;=14,('Testes estatísticos'!$D$124+'Testes estatísticos'!$D$113)/2,"")</f>
        <v/>
      </c>
      <c r="E153" s="7" t="str">
        <f>IF(4&gt;=14,('Testes estatísticos'!$D$124+'Testes estatísticos'!$D$114)/2,"")</f>
        <v/>
      </c>
      <c r="F153" s="7" t="str">
        <f>IF(5&gt;=14,('Testes estatísticos'!$D$124+'Testes estatísticos'!$D$115)/2,"")</f>
        <v/>
      </c>
      <c r="G153" s="7" t="str">
        <f>IF(6&gt;=14,('Testes estatísticos'!$D$124+'Testes estatísticos'!$D$116)/2,"")</f>
        <v/>
      </c>
      <c r="H153" s="7" t="str">
        <f>IF(7&gt;=14,('Testes estatísticos'!$D$124+'Testes estatísticos'!$D$117)/2,"")</f>
        <v/>
      </c>
      <c r="I153" s="7" t="str">
        <f>IF(8&gt;=14,('Testes estatísticos'!$D$124+'Testes estatísticos'!$D$118)/2,"")</f>
        <v/>
      </c>
      <c r="J153" s="7" t="str">
        <f>IF(9&gt;=14,('Testes estatísticos'!$D$124+'Testes estatísticos'!$D$119)/2,"")</f>
        <v/>
      </c>
      <c r="K153" s="7" t="str">
        <f>IF(10&gt;=14,('Testes estatísticos'!$D$124+'Testes estatísticos'!$D$120)/2,"")</f>
        <v/>
      </c>
      <c r="L153" s="7" t="str">
        <f>IF(11&gt;=14,('Testes estatísticos'!$D$124+'Testes estatísticos'!$D$121)/2,"")</f>
        <v/>
      </c>
      <c r="M153" s="7" t="str">
        <f>IF(12&gt;=14,('Testes estatísticos'!$D$124+'Testes estatísticos'!$D$122)/2,"")</f>
        <v/>
      </c>
      <c r="N153" s="7" t="str">
        <f>IF(13&gt;=14,('Testes estatísticos'!$D$124+'Testes estatísticos'!$D$123)/2,"")</f>
        <v/>
      </c>
      <c r="O153" s="7">
        <f>IF(14&gt;=14,('Testes estatísticos'!$D$124+'Testes estatísticos'!$D$124)/2,"")</f>
        <v>-2.0250520000000023</v>
      </c>
      <c r="P153" s="7">
        <f>IF(15&gt;=14,('Testes estatísticos'!$D$124+'Testes estatísticos'!$D$125)/2,"")</f>
        <v>1.0265625000000007</v>
      </c>
      <c r="Q153" s="7">
        <f>IF(16&gt;=14,('Testes estatísticos'!$D$124+'Testes estatísticos'!$D$126)/2,"")</f>
        <v>-1.7624540000000017</v>
      </c>
      <c r="R153" s="7"/>
      <c r="S153" s="7"/>
      <c r="T153" s="7"/>
      <c r="U153" s="7"/>
    </row>
    <row r="154" spans="1:21" x14ac:dyDescent="0.3">
      <c r="B154" s="7" t="str">
        <f>IF(1&gt;=15,('Testes estatísticos'!$D$125+'Testes estatísticos'!$D$111)/2,"")</f>
        <v/>
      </c>
      <c r="C154" s="7" t="str">
        <f>IF(2&gt;=15,('Testes estatísticos'!$D$125+'Testes estatísticos'!$D$112)/2,"")</f>
        <v/>
      </c>
      <c r="D154" s="7" t="str">
        <f>IF(3&gt;=15,('Testes estatísticos'!$D$125+'Testes estatísticos'!$D$113)/2,"")</f>
        <v/>
      </c>
      <c r="E154" s="7" t="str">
        <f>IF(4&gt;=15,('Testes estatísticos'!$D$125+'Testes estatísticos'!$D$114)/2,"")</f>
        <v/>
      </c>
      <c r="F154" s="7" t="str">
        <f>IF(5&gt;=15,('Testes estatísticos'!$D$125+'Testes estatísticos'!$D$115)/2,"")</f>
        <v/>
      </c>
      <c r="G154" s="7" t="str">
        <f>IF(6&gt;=15,('Testes estatísticos'!$D$125+'Testes estatísticos'!$D$116)/2,"")</f>
        <v/>
      </c>
      <c r="H154" s="7" t="str">
        <f>IF(7&gt;=15,('Testes estatísticos'!$D$125+'Testes estatísticos'!$D$117)/2,"")</f>
        <v/>
      </c>
      <c r="I154" s="7" t="str">
        <f>IF(8&gt;=15,('Testes estatísticos'!$D$125+'Testes estatísticos'!$D$118)/2,"")</f>
        <v/>
      </c>
      <c r="J154" s="7" t="str">
        <f>IF(9&gt;=15,('Testes estatísticos'!$D$125+'Testes estatísticos'!$D$119)/2,"")</f>
        <v/>
      </c>
      <c r="K154" s="7" t="str">
        <f>IF(10&gt;=15,('Testes estatísticos'!$D$125+'Testes estatísticos'!$D$120)/2,"")</f>
        <v/>
      </c>
      <c r="L154" s="7" t="str">
        <f>IF(11&gt;=15,('Testes estatísticos'!$D$125+'Testes estatísticos'!$D$121)/2,"")</f>
        <v/>
      </c>
      <c r="M154" s="7" t="str">
        <f>IF(12&gt;=15,('Testes estatísticos'!$D$125+'Testes estatísticos'!$D$122)/2,"")</f>
        <v/>
      </c>
      <c r="N154" s="7" t="str">
        <f>IF(13&gt;=15,('Testes estatísticos'!$D$125+'Testes estatísticos'!$D$123)/2,"")</f>
        <v/>
      </c>
      <c r="O154" s="7" t="str">
        <f>IF(14&gt;=15,('Testes estatísticos'!$D$125+'Testes estatísticos'!$D$124)/2,"")</f>
        <v/>
      </c>
      <c r="P154" s="7">
        <f>IF(15&gt;=15,('Testes estatísticos'!$D$125+'Testes estatísticos'!$D$125)/2,"")</f>
        <v>4.0781770000000037</v>
      </c>
      <c r="Q154" s="7">
        <f>IF(16&gt;=15,('Testes estatísticos'!$D$125+'Testes estatísticos'!$D$126)/2,"")</f>
        <v>1.2891605000000013</v>
      </c>
      <c r="R154" s="7"/>
      <c r="S154" s="7"/>
      <c r="T154" s="7"/>
      <c r="U154" s="7"/>
    </row>
    <row r="155" spans="1:21" x14ac:dyDescent="0.3">
      <c r="B155" s="7" t="str">
        <f>IF(1&gt;=16,('Testes estatísticos'!$D$126+'Testes estatísticos'!$D$111)/2,"")</f>
        <v/>
      </c>
      <c r="C155" s="7" t="str">
        <f>IF(2&gt;=16,('Testes estatísticos'!$D$126+'Testes estatísticos'!$D$112)/2,"")</f>
        <v/>
      </c>
      <c r="D155" s="7" t="str">
        <f>IF(3&gt;=16,('Testes estatísticos'!$D$126+'Testes estatísticos'!$D$113)/2,"")</f>
        <v/>
      </c>
      <c r="E155" s="7" t="str">
        <f>IF(4&gt;=16,('Testes estatísticos'!$D$126+'Testes estatísticos'!$D$114)/2,"")</f>
        <v/>
      </c>
      <c r="F155" s="7" t="str">
        <f>IF(5&gt;=16,('Testes estatísticos'!$D$126+'Testes estatísticos'!$D$115)/2,"")</f>
        <v/>
      </c>
      <c r="G155" s="7" t="str">
        <f>IF(6&gt;=16,('Testes estatísticos'!$D$126+'Testes estatísticos'!$D$116)/2,"")</f>
        <v/>
      </c>
      <c r="H155" s="7" t="str">
        <f>IF(7&gt;=16,('Testes estatísticos'!$D$126+'Testes estatísticos'!$D$117)/2,"")</f>
        <v/>
      </c>
      <c r="I155" s="7" t="str">
        <f>IF(8&gt;=16,('Testes estatísticos'!$D$126+'Testes estatísticos'!$D$118)/2,"")</f>
        <v/>
      </c>
      <c r="J155" s="7" t="str">
        <f>IF(9&gt;=16,('Testes estatísticos'!$D$126+'Testes estatísticos'!$D$119)/2,"")</f>
        <v/>
      </c>
      <c r="K155" s="7" t="str">
        <f>IF(10&gt;=16,('Testes estatísticos'!$D$126+'Testes estatísticos'!$D$120)/2,"")</f>
        <v/>
      </c>
      <c r="L155" s="7" t="str">
        <f>IF(11&gt;=16,('Testes estatísticos'!$D$126+'Testes estatísticos'!$D$121)/2,"")</f>
        <v/>
      </c>
      <c r="M155" s="7" t="str">
        <f>IF(12&gt;=16,('Testes estatísticos'!$D$126+'Testes estatísticos'!$D$122)/2,"")</f>
        <v/>
      </c>
      <c r="N155" s="7" t="str">
        <f>IF(13&gt;=16,('Testes estatísticos'!$D$126+'Testes estatísticos'!$D$123)/2,"")</f>
        <v/>
      </c>
      <c r="O155" s="7" t="str">
        <f>IF(14&gt;=16,('Testes estatísticos'!$D$126+'Testes estatísticos'!$D$124)/2,"")</f>
        <v/>
      </c>
      <c r="P155" s="7" t="str">
        <f>IF(15&gt;=16,('Testes estatísticos'!$D$126+'Testes estatísticos'!$D$125)/2,"")</f>
        <v/>
      </c>
      <c r="Q155" s="7">
        <f>IF(16&gt;=16,('Testes estatísticos'!$D$126+'Testes estatísticos'!$D$126)/2,"")</f>
        <v>-1.4998560000000012</v>
      </c>
      <c r="R155" s="7"/>
      <c r="S155" s="7"/>
      <c r="T155" s="7"/>
      <c r="U155" s="7"/>
    </row>
    <row r="156" spans="1:21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x14ac:dyDescent="0.3">
      <c r="A158" s="35" t="s">
        <v>344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x14ac:dyDescent="0.3">
      <c r="B159" s="7">
        <f>IF(1&gt;=1,('Testes estatísticos'!$D$127+'Testes estatísticos'!$D$127)/2,"")</f>
        <v>-3.6306729999999945</v>
      </c>
      <c r="C159" s="7">
        <f>IF(2&gt;=1,('Testes estatísticos'!$D$127+'Testes estatísticos'!$D$128)/2,"")</f>
        <v>2.4381965000000001</v>
      </c>
      <c r="D159" s="7">
        <f>IF(3&gt;=1,('Testes estatísticos'!$D$127+'Testes estatísticos'!$D$129)/2,"")</f>
        <v>-2.4575749999999985</v>
      </c>
      <c r="E159" s="7">
        <f>IF(4&gt;=1,('Testes estatísticos'!$D$127+'Testes estatísticos'!$D$130)/2,"")</f>
        <v>-1.2992674999999991</v>
      </c>
      <c r="F159" s="7">
        <f>IF(5&gt;=1,('Testes estatísticos'!$D$127+'Testes estatísticos'!$D$131)/2,"")</f>
        <v>-3.7027434999999969</v>
      </c>
      <c r="G159" s="7">
        <f>IF(6&gt;=1,('Testes estatísticos'!$D$127+'Testes estatísticos'!$D$132)/2,"")</f>
        <v>-5.7589349999999975</v>
      </c>
      <c r="H159" s="7">
        <f>IF(7&gt;=1,('Testes estatísticos'!$D$127+'Testes estatísticos'!$D$133)/2,"")</f>
        <v>-6.1000244999999964</v>
      </c>
      <c r="I159" s="7">
        <f>IF(8&gt;=1,('Testes estatísticos'!$D$127+'Testes estatísticos'!$D$134)/2,"")</f>
        <v>-9.5238144999999967</v>
      </c>
      <c r="J159" s="7">
        <f>IF(9&gt;=1,('Testes estatísticos'!$D$127+'Testes estatísticos'!$D$135)/2,"")</f>
        <v>-3.7620444999999947</v>
      </c>
      <c r="K159" s="7">
        <f>IF(10&gt;=1,('Testes estatísticos'!$D$127+'Testes estatísticos'!$D$136)/2,"")</f>
        <v>-3.6741714999999999</v>
      </c>
      <c r="L159" s="7">
        <f>IF(11&gt;=1,('Testes estatísticos'!$D$127+'Testes estatísticos'!$D$137)/2,"")</f>
        <v>-5.1609079999999992</v>
      </c>
      <c r="M159" s="7">
        <f>IF(12&gt;=1,('Testes estatísticos'!$D$127+'Testes estatísticos'!$D$138)/2,"")</f>
        <v>-2.9719704999999976</v>
      </c>
      <c r="N159" s="7">
        <f>IF(13&gt;=1,('Testes estatísticos'!$D$127+'Testes estatísticos'!$D$139)/2,"")</f>
        <v>-5.2691610000000004</v>
      </c>
      <c r="O159" s="7">
        <f>IF(14&gt;=1,('Testes estatísticos'!$D$127+'Testes estatísticos'!$D$140)/2,"")</f>
        <v>-2.054728499999996</v>
      </c>
      <c r="P159" s="7">
        <f>IF(15&gt;=1,('Testes estatísticos'!$D$127+'Testes estatísticos'!$D$141)/2,"")</f>
        <v>-3.7482185000000001</v>
      </c>
      <c r="Q159" s="7">
        <f>IF(16&gt;=1,('Testes estatísticos'!$D$127+'Testes estatísticos'!$D$142)/2,"")</f>
        <v>-2.0434784999999991</v>
      </c>
      <c r="R159" s="7">
        <f>IF(17&gt;=1,('Testes estatísticos'!$D$127+'Testes estatísticos'!$D$143)/2,"")</f>
        <v>-3.7084939999999946</v>
      </c>
      <c r="S159" s="7"/>
      <c r="T159" s="7"/>
      <c r="U159" s="7"/>
    </row>
    <row r="160" spans="1:21" x14ac:dyDescent="0.3">
      <c r="B160" s="7" t="str">
        <f>IF(1&gt;=2,('Testes estatísticos'!$D$128+'Testes estatísticos'!$D$127)/2,"")</f>
        <v/>
      </c>
      <c r="C160" s="7">
        <f>IF(2&gt;=2,('Testes estatísticos'!$D$128+'Testes estatísticos'!$D$128)/2,"")</f>
        <v>8.5070659999999947</v>
      </c>
      <c r="D160" s="7">
        <f>IF(3&gt;=2,('Testes estatísticos'!$D$128+'Testes estatísticos'!$D$129)/2,"")</f>
        <v>3.6112944999999961</v>
      </c>
      <c r="E160" s="7">
        <f>IF(4&gt;=2,('Testes estatísticos'!$D$128+'Testes estatísticos'!$D$130)/2,"")</f>
        <v>4.7696019999999955</v>
      </c>
      <c r="F160" s="7">
        <f>IF(5&gt;=2,('Testes estatísticos'!$D$128+'Testes estatísticos'!$D$131)/2,"")</f>
        <v>2.3661259999999977</v>
      </c>
      <c r="G160" s="7">
        <f>IF(6&gt;=2,('Testes estatísticos'!$D$128+'Testes estatísticos'!$D$132)/2,"")</f>
        <v>0.30993449999999712</v>
      </c>
      <c r="H160" s="7">
        <f>IF(7&gt;=2,('Testes estatísticos'!$D$128+'Testes estatísticos'!$D$133)/2,"")</f>
        <v>-3.115500000000182E-2</v>
      </c>
      <c r="I160" s="7">
        <f>IF(8&gt;=2,('Testes estatísticos'!$D$128+'Testes estatísticos'!$D$134)/2,"")</f>
        <v>-3.4549450000000022</v>
      </c>
      <c r="J160" s="7">
        <f>IF(9&gt;=2,('Testes estatísticos'!$D$128+'Testes estatísticos'!$D$135)/2,"")</f>
        <v>2.3068249999999999</v>
      </c>
      <c r="K160" s="7">
        <f>IF(10&gt;=2,('Testes estatísticos'!$D$128+'Testes estatísticos'!$D$136)/2,"")</f>
        <v>2.3946979999999947</v>
      </c>
      <c r="L160" s="7">
        <f>IF(11&gt;=2,('Testes estatísticos'!$D$128+'Testes estatísticos'!$D$137)/2,"")</f>
        <v>0.90796149999999543</v>
      </c>
      <c r="M160" s="7">
        <f>IF(12&gt;=2,('Testes estatísticos'!$D$128+'Testes estatísticos'!$D$138)/2,"")</f>
        <v>3.096898999999997</v>
      </c>
      <c r="N160" s="7">
        <f>IF(13&gt;=2,('Testes estatísticos'!$D$128+'Testes estatísticos'!$D$139)/2,"")</f>
        <v>0.79970849999999416</v>
      </c>
      <c r="O160" s="7">
        <f>IF(14&gt;=2,('Testes estatísticos'!$D$128+'Testes estatísticos'!$D$140)/2,"")</f>
        <v>4.0141409999999986</v>
      </c>
      <c r="P160" s="7">
        <f>IF(15&gt;=2,('Testes estatísticos'!$D$128+'Testes estatísticos'!$D$141)/2,"")</f>
        <v>2.3206509999999945</v>
      </c>
      <c r="Q160" s="7">
        <f>IF(16&gt;=2,('Testes estatísticos'!$D$128+'Testes estatísticos'!$D$142)/2,"")</f>
        <v>4.0253909999999955</v>
      </c>
      <c r="R160" s="7">
        <f>IF(17&gt;=2,('Testes estatísticos'!$D$128+'Testes estatísticos'!$D$143)/2,"")</f>
        <v>2.3603755</v>
      </c>
      <c r="S160" s="7"/>
      <c r="T160" s="7"/>
      <c r="U160" s="7"/>
    </row>
    <row r="161" spans="1:21" x14ac:dyDescent="0.3">
      <c r="B161" s="7" t="str">
        <f>IF(1&gt;=3,('Testes estatísticos'!$D$129+'Testes estatísticos'!$D$127)/2,"")</f>
        <v/>
      </c>
      <c r="C161" s="7" t="str">
        <f>IF(2&gt;=3,('Testes estatísticos'!$D$129+'Testes estatísticos'!$D$128)/2,"")</f>
        <v/>
      </c>
      <c r="D161" s="7">
        <f>IF(3&gt;=3,('Testes estatísticos'!$D$129+'Testes estatísticos'!$D$129)/2,"")</f>
        <v>-1.2844770000000025</v>
      </c>
      <c r="E161" s="7">
        <f>IF(4&gt;=3,('Testes estatísticos'!$D$129+'Testes estatísticos'!$D$130)/2,"")</f>
        <v>-0.12616950000000315</v>
      </c>
      <c r="F161" s="7">
        <f>IF(5&gt;=3,('Testes estatísticos'!$D$129+'Testes estatísticos'!$D$131)/2,"")</f>
        <v>-2.5296455000000009</v>
      </c>
      <c r="G161" s="7">
        <f>IF(6&gt;=3,('Testes estatísticos'!$D$129+'Testes estatísticos'!$D$132)/2,"")</f>
        <v>-4.5858370000000015</v>
      </c>
      <c r="H161" s="7">
        <f>IF(7&gt;=3,('Testes estatísticos'!$D$129+'Testes estatísticos'!$D$133)/2,"")</f>
        <v>-4.9269265000000004</v>
      </c>
      <c r="I161" s="7">
        <f>IF(8&gt;=3,('Testes estatísticos'!$D$129+'Testes estatísticos'!$D$134)/2,"")</f>
        <v>-8.3507165000000008</v>
      </c>
      <c r="J161" s="7">
        <f>IF(9&gt;=3,('Testes estatísticos'!$D$129+'Testes estatísticos'!$D$135)/2,"")</f>
        <v>-2.5889464999999987</v>
      </c>
      <c r="K161" s="7">
        <f>IF(10&gt;=3,('Testes estatísticos'!$D$129+'Testes estatísticos'!$D$136)/2,"")</f>
        <v>-2.5010735000000039</v>
      </c>
      <c r="L161" s="7">
        <f>IF(11&gt;=3,('Testes estatísticos'!$D$129+'Testes estatísticos'!$D$137)/2,"")</f>
        <v>-3.9878100000000032</v>
      </c>
      <c r="M161" s="7">
        <f>IF(12&gt;=3,('Testes estatísticos'!$D$129+'Testes estatísticos'!$D$138)/2,"")</f>
        <v>-1.7988725000000017</v>
      </c>
      <c r="N161" s="7">
        <f>IF(13&gt;=3,('Testes estatísticos'!$D$129+'Testes estatísticos'!$D$139)/2,"")</f>
        <v>-4.0960630000000045</v>
      </c>
      <c r="O161" s="7">
        <f>IF(14&gt;=3,('Testes estatísticos'!$D$129+'Testes estatísticos'!$D$140)/2,"")</f>
        <v>-0.88163049999999998</v>
      </c>
      <c r="P161" s="7">
        <f>IF(15&gt;=3,('Testes estatísticos'!$D$129+'Testes estatísticos'!$D$141)/2,"")</f>
        <v>-2.5751205000000041</v>
      </c>
      <c r="Q161" s="7">
        <f>IF(16&gt;=3,('Testes estatísticos'!$D$129+'Testes estatísticos'!$D$142)/2,"")</f>
        <v>-0.87038050000000311</v>
      </c>
      <c r="R161" s="7">
        <f>IF(17&gt;=3,('Testes estatísticos'!$D$129+'Testes estatísticos'!$D$143)/2,"")</f>
        <v>-2.5353959999999987</v>
      </c>
      <c r="S161" s="7"/>
      <c r="T161" s="7"/>
      <c r="U161" s="7"/>
    </row>
    <row r="162" spans="1:21" x14ac:dyDescent="0.3">
      <c r="B162" s="7" t="str">
        <f>IF(1&gt;=4,('Testes estatísticos'!$D$130+'Testes estatísticos'!$D$127)/2,"")</f>
        <v/>
      </c>
      <c r="C162" s="7" t="str">
        <f>IF(2&gt;=4,('Testes estatísticos'!$D$130+'Testes estatísticos'!$D$128)/2,"")</f>
        <v/>
      </c>
      <c r="D162" s="7" t="str">
        <f>IF(3&gt;=4,('Testes estatísticos'!$D$130+'Testes estatísticos'!$D$129)/2,"")</f>
        <v/>
      </c>
      <c r="E162" s="7">
        <f>IF(4&gt;=4,('Testes estatísticos'!$D$130+'Testes estatísticos'!$D$130)/2,"")</f>
        <v>1.0321379999999962</v>
      </c>
      <c r="F162" s="7">
        <f>IF(5&gt;=4,('Testes estatísticos'!$D$130+'Testes estatísticos'!$D$131)/2,"")</f>
        <v>-1.3713380000000015</v>
      </c>
      <c r="G162" s="7">
        <f>IF(6&gt;=4,('Testes estatísticos'!$D$130+'Testes estatísticos'!$D$132)/2,"")</f>
        <v>-3.4275295000000021</v>
      </c>
      <c r="H162" s="7">
        <f>IF(7&gt;=4,('Testes estatísticos'!$D$130+'Testes estatísticos'!$D$133)/2,"")</f>
        <v>-3.7686190000000011</v>
      </c>
      <c r="I162" s="7">
        <f>IF(8&gt;=4,('Testes estatísticos'!$D$130+'Testes estatísticos'!$D$134)/2,"")</f>
        <v>-7.1924090000000014</v>
      </c>
      <c r="J162" s="7">
        <f>IF(9&gt;=4,('Testes estatísticos'!$D$130+'Testes estatísticos'!$D$135)/2,"")</f>
        <v>-1.4306389999999993</v>
      </c>
      <c r="K162" s="7">
        <f>IF(10&gt;=4,('Testes estatísticos'!$D$130+'Testes estatísticos'!$D$136)/2,"")</f>
        <v>-1.3427660000000046</v>
      </c>
      <c r="L162" s="7">
        <f>IF(11&gt;=4,('Testes estatísticos'!$D$130+'Testes estatísticos'!$D$137)/2,"")</f>
        <v>-2.8295025000000038</v>
      </c>
      <c r="M162" s="7">
        <f>IF(12&gt;=4,('Testes estatísticos'!$D$130+'Testes estatísticos'!$D$138)/2,"")</f>
        <v>-0.64056500000000227</v>
      </c>
      <c r="N162" s="7">
        <f>IF(13&gt;=4,('Testes estatísticos'!$D$130+'Testes estatísticos'!$D$139)/2,"")</f>
        <v>-2.9377555000000051</v>
      </c>
      <c r="O162" s="7">
        <f>IF(14&gt;=4,('Testes estatísticos'!$D$130+'Testes estatísticos'!$D$140)/2,"")</f>
        <v>0.2766769999999994</v>
      </c>
      <c r="P162" s="7">
        <f>IF(15&gt;=4,('Testes estatísticos'!$D$130+'Testes estatísticos'!$D$141)/2,"")</f>
        <v>-1.4168130000000048</v>
      </c>
      <c r="Q162" s="7">
        <f>IF(16&gt;=4,('Testes estatísticos'!$D$130+'Testes estatísticos'!$D$142)/2,"")</f>
        <v>0.28792699999999627</v>
      </c>
      <c r="R162" s="7">
        <f>IF(17&gt;=4,('Testes estatísticos'!$D$130+'Testes estatísticos'!$D$143)/2,"")</f>
        <v>-1.3770884999999993</v>
      </c>
      <c r="S162" s="7"/>
      <c r="T162" s="7"/>
      <c r="U162" s="7"/>
    </row>
    <row r="163" spans="1:21" x14ac:dyDescent="0.3">
      <c r="B163" s="7" t="str">
        <f>IF(1&gt;=5,('Testes estatísticos'!$D$131+'Testes estatísticos'!$D$127)/2,"")</f>
        <v/>
      </c>
      <c r="C163" s="7" t="str">
        <f>IF(2&gt;=5,('Testes estatísticos'!$D$131+'Testes estatísticos'!$D$128)/2,"")</f>
        <v/>
      </c>
      <c r="D163" s="7" t="str">
        <f>IF(3&gt;=5,('Testes estatísticos'!$D$131+'Testes estatísticos'!$D$129)/2,"")</f>
        <v/>
      </c>
      <c r="E163" s="7" t="str">
        <f>IF(4&gt;=5,('Testes estatísticos'!$D$131+'Testes estatísticos'!$D$130)/2,"")</f>
        <v/>
      </c>
      <c r="F163" s="7">
        <f>IF(5&gt;=5,('Testes estatísticos'!$D$131+'Testes estatísticos'!$D$131)/2,"")</f>
        <v>-3.7748139999999992</v>
      </c>
      <c r="G163" s="7">
        <f>IF(6&gt;=5,('Testes estatísticos'!$D$131+'Testes estatísticos'!$D$132)/2,"")</f>
        <v>-5.8310054999999998</v>
      </c>
      <c r="H163" s="7">
        <f>IF(7&gt;=5,('Testes estatísticos'!$D$131+'Testes estatísticos'!$D$133)/2,"")</f>
        <v>-6.1720949999999988</v>
      </c>
      <c r="I163" s="7">
        <f>IF(8&gt;=5,('Testes estatísticos'!$D$131+'Testes estatísticos'!$D$134)/2,"")</f>
        <v>-9.5958849999999991</v>
      </c>
      <c r="J163" s="7">
        <f>IF(9&gt;=5,('Testes estatísticos'!$D$131+'Testes estatísticos'!$D$135)/2,"")</f>
        <v>-3.8341149999999971</v>
      </c>
      <c r="K163" s="7">
        <f>IF(10&gt;=5,('Testes estatísticos'!$D$131+'Testes estatísticos'!$D$136)/2,"")</f>
        <v>-3.7462420000000023</v>
      </c>
      <c r="L163" s="7">
        <f>IF(11&gt;=5,('Testes estatísticos'!$D$131+'Testes estatísticos'!$D$137)/2,"")</f>
        <v>-5.2329785000000015</v>
      </c>
      <c r="M163" s="7">
        <f>IF(12&gt;=5,('Testes estatísticos'!$D$131+'Testes estatísticos'!$D$138)/2,"")</f>
        <v>-3.044041</v>
      </c>
      <c r="N163" s="7">
        <f>IF(13&gt;=5,('Testes estatísticos'!$D$131+'Testes estatísticos'!$D$139)/2,"")</f>
        <v>-5.3412315000000028</v>
      </c>
      <c r="O163" s="7">
        <f>IF(14&gt;=5,('Testes estatísticos'!$D$131+'Testes estatísticos'!$D$140)/2,"")</f>
        <v>-2.1267989999999983</v>
      </c>
      <c r="P163" s="7">
        <f>IF(15&gt;=5,('Testes estatísticos'!$D$131+'Testes estatísticos'!$D$141)/2,"")</f>
        <v>-3.8202890000000025</v>
      </c>
      <c r="Q163" s="7">
        <f>IF(16&gt;=5,('Testes estatísticos'!$D$131+'Testes estatísticos'!$D$142)/2,"")</f>
        <v>-2.1155490000000015</v>
      </c>
      <c r="R163" s="7">
        <f>IF(17&gt;=5,('Testes estatísticos'!$D$131+'Testes estatísticos'!$D$143)/2,"")</f>
        <v>-3.780564499999997</v>
      </c>
      <c r="S163" s="7"/>
      <c r="T163" s="7"/>
      <c r="U163" s="7"/>
    </row>
    <row r="164" spans="1:21" x14ac:dyDescent="0.3">
      <c r="B164" s="7" t="str">
        <f>IF(1&gt;=6,('Testes estatísticos'!$D$132+'Testes estatísticos'!$D$127)/2,"")</f>
        <v/>
      </c>
      <c r="C164" s="7" t="str">
        <f>IF(2&gt;=6,('Testes estatísticos'!$D$132+'Testes estatísticos'!$D$128)/2,"")</f>
        <v/>
      </c>
      <c r="D164" s="7" t="str">
        <f>IF(3&gt;=6,('Testes estatísticos'!$D$132+'Testes estatísticos'!$D$129)/2,"")</f>
        <v/>
      </c>
      <c r="E164" s="7" t="str">
        <f>IF(4&gt;=6,('Testes estatísticos'!$D$132+'Testes estatísticos'!$D$130)/2,"")</f>
        <v/>
      </c>
      <c r="F164" s="7" t="str">
        <f>IF(5&gt;=6,('Testes estatísticos'!$D$132+'Testes estatísticos'!$D$131)/2,"")</f>
        <v/>
      </c>
      <c r="G164" s="7">
        <f>IF(6&gt;=6,('Testes estatísticos'!$D$132+'Testes estatísticos'!$D$132)/2,"")</f>
        <v>-7.8871970000000005</v>
      </c>
      <c r="H164" s="7">
        <f>IF(7&gt;=6,('Testes estatísticos'!$D$132+'Testes estatísticos'!$D$133)/2,"")</f>
        <v>-8.2282864999999994</v>
      </c>
      <c r="I164" s="7">
        <f>IF(8&gt;=6,('Testes estatísticos'!$D$132+'Testes estatísticos'!$D$134)/2,"")</f>
        <v>-11.6520765</v>
      </c>
      <c r="J164" s="7">
        <f>IF(9&gt;=6,('Testes estatísticos'!$D$132+'Testes estatísticos'!$D$135)/2,"")</f>
        <v>-5.8903064999999977</v>
      </c>
      <c r="K164" s="7">
        <f>IF(10&gt;=6,('Testes estatísticos'!$D$132+'Testes estatísticos'!$D$136)/2,"")</f>
        <v>-5.8024335000000029</v>
      </c>
      <c r="L164" s="7">
        <f>IF(11&gt;=6,('Testes estatísticos'!$D$132+'Testes estatísticos'!$D$137)/2,"")</f>
        <v>-7.2891700000000021</v>
      </c>
      <c r="M164" s="7">
        <f>IF(12&gt;=6,('Testes estatísticos'!$D$132+'Testes estatísticos'!$D$138)/2,"")</f>
        <v>-5.1002325000000006</v>
      </c>
      <c r="N164" s="7">
        <f>IF(13&gt;=6,('Testes estatísticos'!$D$132+'Testes estatísticos'!$D$139)/2,"")</f>
        <v>-7.3974230000000034</v>
      </c>
      <c r="O164" s="7">
        <f>IF(14&gt;=6,('Testes estatísticos'!$D$132+'Testes estatísticos'!$D$140)/2,"")</f>
        <v>-4.1829904999999989</v>
      </c>
      <c r="P164" s="7">
        <f>IF(15&gt;=6,('Testes estatísticos'!$D$132+'Testes estatísticos'!$D$141)/2,"")</f>
        <v>-5.8764805000000031</v>
      </c>
      <c r="Q164" s="7">
        <f>IF(16&gt;=6,('Testes estatísticos'!$D$132+'Testes estatísticos'!$D$142)/2,"")</f>
        <v>-4.1717405000000021</v>
      </c>
      <c r="R164" s="7">
        <f>IF(17&gt;=6,('Testes estatísticos'!$D$132+'Testes estatísticos'!$D$143)/2,"")</f>
        <v>-5.8367559999999976</v>
      </c>
      <c r="S164" s="7"/>
      <c r="T164" s="7"/>
      <c r="U164" s="7"/>
    </row>
    <row r="165" spans="1:21" x14ac:dyDescent="0.3">
      <c r="B165" s="7" t="str">
        <f>IF(1&gt;=7,('Testes estatísticos'!$D$133+'Testes estatísticos'!$D$127)/2,"")</f>
        <v/>
      </c>
      <c r="C165" s="7" t="str">
        <f>IF(2&gt;=7,('Testes estatísticos'!$D$133+'Testes estatísticos'!$D$128)/2,"")</f>
        <v/>
      </c>
      <c r="D165" s="7" t="str">
        <f>IF(3&gt;=7,('Testes estatísticos'!$D$133+'Testes estatísticos'!$D$129)/2,"")</f>
        <v/>
      </c>
      <c r="E165" s="7" t="str">
        <f>IF(4&gt;=7,('Testes estatísticos'!$D$133+'Testes estatísticos'!$D$130)/2,"")</f>
        <v/>
      </c>
      <c r="F165" s="7" t="str">
        <f>IF(5&gt;=7,('Testes estatísticos'!$D$133+'Testes estatísticos'!$D$131)/2,"")</f>
        <v/>
      </c>
      <c r="G165" s="7" t="str">
        <f>IF(6&gt;=7,('Testes estatísticos'!$D$133+'Testes estatísticos'!$D$132)/2,"")</f>
        <v/>
      </c>
      <c r="H165" s="7">
        <f>IF(7&gt;=7,('Testes estatísticos'!$D$133+'Testes estatísticos'!$D$133)/2,"")</f>
        <v>-8.5693759999999983</v>
      </c>
      <c r="I165" s="7">
        <f>IF(8&gt;=7,('Testes estatísticos'!$D$133+'Testes estatísticos'!$D$134)/2,"")</f>
        <v>-11.993165999999999</v>
      </c>
      <c r="J165" s="7">
        <f>IF(9&gt;=7,('Testes estatísticos'!$D$133+'Testes estatísticos'!$D$135)/2,"")</f>
        <v>-6.2313959999999966</v>
      </c>
      <c r="K165" s="7">
        <f>IF(10&gt;=7,('Testes estatísticos'!$D$133+'Testes estatísticos'!$D$136)/2,"")</f>
        <v>-6.1435230000000018</v>
      </c>
      <c r="L165" s="7">
        <f>IF(11&gt;=7,('Testes estatísticos'!$D$133+'Testes estatísticos'!$D$137)/2,"")</f>
        <v>-7.6302595000000011</v>
      </c>
      <c r="M165" s="7">
        <f>IF(12&gt;=7,('Testes estatísticos'!$D$133+'Testes estatísticos'!$D$138)/2,"")</f>
        <v>-5.4413219999999995</v>
      </c>
      <c r="N165" s="7">
        <f>IF(13&gt;=7,('Testes estatísticos'!$D$133+'Testes estatísticos'!$D$139)/2,"")</f>
        <v>-7.7385125000000023</v>
      </c>
      <c r="O165" s="7">
        <f>IF(14&gt;=7,('Testes estatísticos'!$D$133+'Testes estatísticos'!$D$140)/2,"")</f>
        <v>-4.5240799999999979</v>
      </c>
      <c r="P165" s="7">
        <f>IF(15&gt;=7,('Testes estatísticos'!$D$133+'Testes estatísticos'!$D$141)/2,"")</f>
        <v>-6.217570000000002</v>
      </c>
      <c r="Q165" s="7">
        <f>IF(16&gt;=7,('Testes estatísticos'!$D$133+'Testes estatísticos'!$D$142)/2,"")</f>
        <v>-4.512830000000001</v>
      </c>
      <c r="R165" s="7">
        <f>IF(17&gt;=7,('Testes estatísticos'!$D$133+'Testes estatísticos'!$D$143)/2,"")</f>
        <v>-6.1778454999999965</v>
      </c>
      <c r="S165" s="7"/>
      <c r="T165" s="7"/>
      <c r="U165" s="7"/>
    </row>
    <row r="166" spans="1:21" x14ac:dyDescent="0.3">
      <c r="B166" s="7" t="str">
        <f>IF(1&gt;=8,('Testes estatísticos'!$D$134+'Testes estatísticos'!$D$127)/2,"")</f>
        <v/>
      </c>
      <c r="C166" s="7" t="str">
        <f>IF(2&gt;=8,('Testes estatísticos'!$D$134+'Testes estatísticos'!$D$128)/2,"")</f>
        <v/>
      </c>
      <c r="D166" s="7" t="str">
        <f>IF(3&gt;=8,('Testes estatísticos'!$D$134+'Testes estatísticos'!$D$129)/2,"")</f>
        <v/>
      </c>
      <c r="E166" s="7" t="str">
        <f>IF(4&gt;=8,('Testes estatísticos'!$D$134+'Testes estatísticos'!$D$130)/2,"")</f>
        <v/>
      </c>
      <c r="F166" s="7" t="str">
        <f>IF(5&gt;=8,('Testes estatísticos'!$D$134+'Testes estatísticos'!$D$131)/2,"")</f>
        <v/>
      </c>
      <c r="G166" s="7" t="str">
        <f>IF(6&gt;=8,('Testes estatísticos'!$D$134+'Testes estatísticos'!$D$132)/2,"")</f>
        <v/>
      </c>
      <c r="H166" s="7" t="str">
        <f>IF(7&gt;=8,('Testes estatísticos'!$D$134+'Testes estatísticos'!$D$133)/2,"")</f>
        <v/>
      </c>
      <c r="I166" s="7">
        <f>IF(8&gt;=8,('Testes estatísticos'!$D$134+'Testes estatísticos'!$D$134)/2,"")</f>
        <v>-15.416955999999999</v>
      </c>
      <c r="J166" s="7">
        <f>IF(9&gt;=8,('Testes estatísticos'!$D$134+'Testes estatísticos'!$D$135)/2,"")</f>
        <v>-9.6551859999999969</v>
      </c>
      <c r="K166" s="7">
        <f>IF(10&gt;=8,('Testes estatísticos'!$D$134+'Testes estatísticos'!$D$136)/2,"")</f>
        <v>-9.5673130000000022</v>
      </c>
      <c r="L166" s="7">
        <f>IF(11&gt;=8,('Testes estatísticos'!$D$134+'Testes estatísticos'!$D$137)/2,"")</f>
        <v>-11.054049500000001</v>
      </c>
      <c r="M166" s="7">
        <f>IF(12&gt;=8,('Testes estatísticos'!$D$134+'Testes estatísticos'!$D$138)/2,"")</f>
        <v>-8.8651119999999999</v>
      </c>
      <c r="N166" s="7">
        <f>IF(13&gt;=8,('Testes estatísticos'!$D$134+'Testes estatísticos'!$D$139)/2,"")</f>
        <v>-11.162302500000003</v>
      </c>
      <c r="O166" s="7">
        <f>IF(14&gt;=8,('Testes estatísticos'!$D$134+'Testes estatísticos'!$D$140)/2,"")</f>
        <v>-7.9478699999999982</v>
      </c>
      <c r="P166" s="7">
        <f>IF(15&gt;=8,('Testes estatísticos'!$D$134+'Testes estatísticos'!$D$141)/2,"")</f>
        <v>-9.6413600000000024</v>
      </c>
      <c r="Q166" s="7">
        <f>IF(16&gt;=8,('Testes estatísticos'!$D$134+'Testes estatísticos'!$D$142)/2,"")</f>
        <v>-7.9366200000000013</v>
      </c>
      <c r="R166" s="7">
        <f>IF(17&gt;=8,('Testes estatísticos'!$D$134+'Testes estatísticos'!$D$143)/2,"")</f>
        <v>-9.6016354999999969</v>
      </c>
      <c r="S166" s="7"/>
      <c r="T166" s="7"/>
      <c r="U166" s="7"/>
    </row>
    <row r="167" spans="1:21" x14ac:dyDescent="0.3">
      <c r="A167" s="35"/>
      <c r="B167" s="7" t="str">
        <f>IF(1&gt;=9,('Testes estatísticos'!$D$135+'Testes estatísticos'!$D$127)/2,"")</f>
        <v/>
      </c>
      <c r="C167" s="7" t="str">
        <f>IF(2&gt;=9,('Testes estatísticos'!$D$135+'Testes estatísticos'!$D$128)/2,"")</f>
        <v/>
      </c>
      <c r="D167" s="7" t="str">
        <f>IF(3&gt;=9,('Testes estatísticos'!$D$135+'Testes estatísticos'!$D$129)/2,"")</f>
        <v/>
      </c>
      <c r="E167" s="7" t="str">
        <f>IF(4&gt;=9,('Testes estatísticos'!$D$135+'Testes estatísticos'!$D$130)/2,"")</f>
        <v/>
      </c>
      <c r="F167" s="7" t="str">
        <f>IF(5&gt;=9,('Testes estatísticos'!$D$135+'Testes estatísticos'!$D$131)/2,"")</f>
        <v/>
      </c>
      <c r="G167" s="7" t="str">
        <f>IF(6&gt;=9,('Testes estatísticos'!$D$135+'Testes estatísticos'!$D$132)/2,"")</f>
        <v/>
      </c>
      <c r="H167" s="7" t="str">
        <f>IF(7&gt;=9,('Testes estatísticos'!$D$135+'Testes estatísticos'!$D$133)/2,"")</f>
        <v/>
      </c>
      <c r="I167" s="7" t="str">
        <f>IF(8&gt;=9,('Testes estatísticos'!$D$135+'Testes estatísticos'!$D$134)/2,"")</f>
        <v/>
      </c>
      <c r="J167" s="7">
        <f>IF(9&gt;=9,('Testes estatísticos'!$D$135+'Testes estatísticos'!$D$135)/2,"")</f>
        <v>-3.8934159999999949</v>
      </c>
      <c r="K167" s="7">
        <f>IF(10&gt;=9,('Testes estatísticos'!$D$135+'Testes estatísticos'!$D$136)/2,"")</f>
        <v>-3.8055430000000001</v>
      </c>
      <c r="L167" s="7">
        <f>IF(11&gt;=9,('Testes estatísticos'!$D$135+'Testes estatísticos'!$D$137)/2,"")</f>
        <v>-5.2922794999999994</v>
      </c>
      <c r="M167" s="7">
        <f>IF(12&gt;=9,('Testes estatísticos'!$D$135+'Testes estatísticos'!$D$138)/2,"")</f>
        <v>-3.1033419999999978</v>
      </c>
      <c r="N167" s="7">
        <f>IF(13&gt;=9,('Testes estatísticos'!$D$135+'Testes estatísticos'!$D$139)/2,"")</f>
        <v>-5.4005325000000006</v>
      </c>
      <c r="O167" s="7">
        <f>IF(14&gt;=9,('Testes estatísticos'!$D$135+'Testes estatísticos'!$D$140)/2,"")</f>
        <v>-2.1860999999999962</v>
      </c>
      <c r="P167" s="7">
        <f>IF(15&gt;=9,('Testes estatísticos'!$D$135+'Testes estatísticos'!$D$141)/2,"")</f>
        <v>-3.8795900000000003</v>
      </c>
      <c r="Q167" s="7">
        <f>IF(16&gt;=9,('Testes estatísticos'!$D$135+'Testes estatísticos'!$D$142)/2,"")</f>
        <v>-2.1748499999999993</v>
      </c>
      <c r="R167" s="7">
        <f>IF(17&gt;=9,('Testes estatísticos'!$D$135+'Testes estatísticos'!$D$143)/2,"")</f>
        <v>-3.8398654999999948</v>
      </c>
      <c r="S167" s="7"/>
      <c r="T167" s="7"/>
      <c r="U167" s="7"/>
    </row>
    <row r="168" spans="1:21" x14ac:dyDescent="0.3">
      <c r="B168" s="7" t="str">
        <f>IF(1&gt;=10,('Testes estatísticos'!$D$136+'Testes estatísticos'!$D$127)/2,"")</f>
        <v/>
      </c>
      <c r="C168" s="7" t="str">
        <f>IF(2&gt;=10,('Testes estatísticos'!$D$136+'Testes estatísticos'!$D$128)/2,"")</f>
        <v/>
      </c>
      <c r="D168" s="7" t="str">
        <f>IF(3&gt;=10,('Testes estatísticos'!$D$136+'Testes estatísticos'!$D$129)/2,"")</f>
        <v/>
      </c>
      <c r="E168" s="7" t="str">
        <f>IF(4&gt;=10,('Testes estatísticos'!$D$136+'Testes estatísticos'!$D$130)/2,"")</f>
        <v/>
      </c>
      <c r="F168" s="7" t="str">
        <f>IF(5&gt;=10,('Testes estatísticos'!$D$136+'Testes estatísticos'!$D$131)/2,"")</f>
        <v/>
      </c>
      <c r="G168" s="7" t="str">
        <f>IF(6&gt;=10,('Testes estatísticos'!$D$136+'Testes estatísticos'!$D$132)/2,"")</f>
        <v/>
      </c>
      <c r="H168" s="7" t="str">
        <f>IF(7&gt;=10,('Testes estatísticos'!$D$136+'Testes estatísticos'!$D$133)/2,"")</f>
        <v/>
      </c>
      <c r="I168" s="7" t="str">
        <f>IF(8&gt;=10,('Testes estatísticos'!$D$136+'Testes estatísticos'!$D$134)/2,"")</f>
        <v/>
      </c>
      <c r="J168" s="7" t="str">
        <f>IF(9&gt;=10,('Testes estatísticos'!$D$136+'Testes estatísticos'!$D$135)/2,"")</f>
        <v/>
      </c>
      <c r="K168" s="7">
        <f>IF(10&gt;=10,('Testes estatísticos'!$D$136+'Testes estatísticos'!$D$136)/2,"")</f>
        <v>-3.7176700000000054</v>
      </c>
      <c r="L168" s="7">
        <f>IF(11&gt;=10,('Testes estatísticos'!$D$136+'Testes estatísticos'!$D$137)/2,"")</f>
        <v>-5.2044065000000046</v>
      </c>
      <c r="M168" s="7">
        <f>IF(12&gt;=10,('Testes estatísticos'!$D$136+'Testes estatísticos'!$D$138)/2,"")</f>
        <v>-3.0154690000000031</v>
      </c>
      <c r="N168" s="7">
        <f>IF(13&gt;=10,('Testes estatísticos'!$D$136+'Testes estatísticos'!$D$139)/2,"")</f>
        <v>-5.3126595000000059</v>
      </c>
      <c r="O168" s="7">
        <f>IF(14&gt;=10,('Testes estatísticos'!$D$136+'Testes estatísticos'!$D$140)/2,"")</f>
        <v>-2.0982270000000014</v>
      </c>
      <c r="P168" s="7">
        <f>IF(15&gt;=10,('Testes estatísticos'!$D$136+'Testes estatísticos'!$D$141)/2,"")</f>
        <v>-3.7917170000000056</v>
      </c>
      <c r="Q168" s="7">
        <f>IF(16&gt;=10,('Testes estatísticos'!$D$136+'Testes estatísticos'!$D$142)/2,"")</f>
        <v>-2.0869770000000045</v>
      </c>
      <c r="R168" s="7">
        <f>IF(17&gt;=10,('Testes estatísticos'!$D$136+'Testes estatísticos'!$D$143)/2,"")</f>
        <v>-3.7519925000000001</v>
      </c>
      <c r="S168" s="7"/>
      <c r="T168" s="7"/>
      <c r="U168" s="7"/>
    </row>
    <row r="169" spans="1:21" x14ac:dyDescent="0.3">
      <c r="B169" s="7" t="str">
        <f>IF(1&gt;=11,('Testes estatísticos'!$D$137+'Testes estatísticos'!$D$127)/2,"")</f>
        <v/>
      </c>
      <c r="C169" s="7" t="str">
        <f>IF(2&gt;=11,('Testes estatísticos'!$D$137+'Testes estatísticos'!$D$128)/2,"")</f>
        <v/>
      </c>
      <c r="D169" s="7" t="str">
        <f>IF(3&gt;=11,('Testes estatísticos'!$D$137+'Testes estatísticos'!$D$129)/2,"")</f>
        <v/>
      </c>
      <c r="E169" s="7" t="str">
        <f>IF(4&gt;=11,('Testes estatísticos'!$D$137+'Testes estatísticos'!$D$130)/2,"")</f>
        <v/>
      </c>
      <c r="F169" s="7" t="str">
        <f>IF(5&gt;=11,('Testes estatísticos'!$D$137+'Testes estatísticos'!$D$131)/2,"")</f>
        <v/>
      </c>
      <c r="G169" s="7" t="str">
        <f>IF(6&gt;=11,('Testes estatísticos'!$D$137+'Testes estatísticos'!$D$132)/2,"")</f>
        <v/>
      </c>
      <c r="H169" s="7" t="str">
        <f>IF(7&gt;=11,('Testes estatísticos'!$D$137+'Testes estatísticos'!$D$133)/2,"")</f>
        <v/>
      </c>
      <c r="I169" s="7" t="str">
        <f>IF(8&gt;=11,('Testes estatísticos'!$D$137+'Testes estatísticos'!$D$134)/2,"")</f>
        <v/>
      </c>
      <c r="J169" s="7" t="str">
        <f>IF(9&gt;=11,('Testes estatísticos'!$D$137+'Testes estatísticos'!$D$135)/2,"")</f>
        <v/>
      </c>
      <c r="K169" s="7" t="str">
        <f>IF(10&gt;=11,('Testes estatísticos'!$D$137+'Testes estatísticos'!$D$136)/2,"")</f>
        <v/>
      </c>
      <c r="L169" s="7">
        <f>IF(11&gt;=11,('Testes estatísticos'!$D$137+'Testes estatísticos'!$D$137)/2,"")</f>
        <v>-6.6911430000000038</v>
      </c>
      <c r="M169" s="7">
        <f>IF(12&gt;=11,('Testes estatísticos'!$D$137+'Testes estatísticos'!$D$138)/2,"")</f>
        <v>-4.5022055000000023</v>
      </c>
      <c r="N169" s="7">
        <f>IF(13&gt;=11,('Testes estatísticos'!$D$137+'Testes estatísticos'!$D$139)/2,"")</f>
        <v>-6.7993960000000051</v>
      </c>
      <c r="O169" s="7">
        <f>IF(14&gt;=11,('Testes estatísticos'!$D$137+'Testes estatísticos'!$D$140)/2,"")</f>
        <v>-3.5849635000000006</v>
      </c>
      <c r="P169" s="7">
        <f>IF(15&gt;=11,('Testes estatísticos'!$D$137+'Testes estatísticos'!$D$141)/2,"")</f>
        <v>-5.2784535000000048</v>
      </c>
      <c r="Q169" s="7">
        <f>IF(16&gt;=11,('Testes estatísticos'!$D$137+'Testes estatísticos'!$D$142)/2,"")</f>
        <v>-3.5737135000000038</v>
      </c>
      <c r="R169" s="7">
        <f>IF(17&gt;=11,('Testes estatísticos'!$D$137+'Testes estatísticos'!$D$143)/2,"")</f>
        <v>-5.2387289999999993</v>
      </c>
      <c r="S169" s="7"/>
      <c r="T169" s="7"/>
      <c r="U169" s="7"/>
    </row>
    <row r="170" spans="1:21" x14ac:dyDescent="0.3">
      <c r="B170" s="7" t="str">
        <f>IF(1&gt;=12,('Testes estatísticos'!$D$138+'Testes estatísticos'!$D$127)/2,"")</f>
        <v/>
      </c>
      <c r="C170" s="7" t="str">
        <f>IF(2&gt;=12,('Testes estatísticos'!$D$138+'Testes estatísticos'!$D$128)/2,"")</f>
        <v/>
      </c>
      <c r="D170" s="7" t="str">
        <f>IF(3&gt;=12,('Testes estatísticos'!$D$138+'Testes estatísticos'!$D$129)/2,"")</f>
        <v/>
      </c>
      <c r="E170" s="7" t="str">
        <f>IF(4&gt;=12,('Testes estatísticos'!$D$138+'Testes estatísticos'!$D$130)/2,"")</f>
        <v/>
      </c>
      <c r="F170" s="7" t="str">
        <f>IF(5&gt;=12,('Testes estatísticos'!$D$138+'Testes estatísticos'!$D$131)/2,"")</f>
        <v/>
      </c>
      <c r="G170" s="7" t="str">
        <f>IF(6&gt;=12,('Testes estatísticos'!$D$138+'Testes estatísticos'!$D$132)/2,"")</f>
        <v/>
      </c>
      <c r="H170" s="7" t="str">
        <f>IF(7&gt;=12,('Testes estatísticos'!$D$138+'Testes estatísticos'!$D$133)/2,"")</f>
        <v/>
      </c>
      <c r="I170" s="7" t="str">
        <f>IF(8&gt;=12,('Testes estatísticos'!$D$138+'Testes estatísticos'!$D$134)/2,"")</f>
        <v/>
      </c>
      <c r="J170" s="7" t="str">
        <f>IF(9&gt;=12,('Testes estatísticos'!$D$138+'Testes estatísticos'!$D$135)/2,"")</f>
        <v/>
      </c>
      <c r="K170" s="7" t="str">
        <f>IF(10&gt;=12,('Testes estatísticos'!$D$138+'Testes estatísticos'!$D$136)/2,"")</f>
        <v/>
      </c>
      <c r="L170" s="7" t="str">
        <f>IF(11&gt;=12,('Testes estatísticos'!$D$138+'Testes estatísticos'!$D$137)/2,"")</f>
        <v/>
      </c>
      <c r="M170" s="7">
        <f>IF(12&gt;=12,('Testes estatísticos'!$D$138+'Testes estatísticos'!$D$138)/2,"")</f>
        <v>-2.3132680000000008</v>
      </c>
      <c r="N170" s="7">
        <f>IF(13&gt;=12,('Testes estatísticos'!$D$138+'Testes estatísticos'!$D$139)/2,"")</f>
        <v>-4.6104585000000036</v>
      </c>
      <c r="O170" s="7">
        <f>IF(14&gt;=12,('Testes estatísticos'!$D$138+'Testes estatísticos'!$D$140)/2,"")</f>
        <v>-1.3960259999999991</v>
      </c>
      <c r="P170" s="7">
        <f>IF(15&gt;=12,('Testes estatísticos'!$D$138+'Testes estatísticos'!$D$141)/2,"")</f>
        <v>-3.0895160000000033</v>
      </c>
      <c r="Q170" s="7">
        <f>IF(16&gt;=12,('Testes estatísticos'!$D$138+'Testes estatísticos'!$D$142)/2,"")</f>
        <v>-1.3847760000000022</v>
      </c>
      <c r="R170" s="7">
        <f>IF(17&gt;=12,('Testes estatísticos'!$D$138+'Testes estatísticos'!$D$143)/2,"")</f>
        <v>-3.0497914999999978</v>
      </c>
      <c r="S170" s="7"/>
      <c r="T170" s="7"/>
      <c r="U170" s="7"/>
    </row>
    <row r="171" spans="1:21" x14ac:dyDescent="0.3">
      <c r="B171" s="7" t="str">
        <f>IF(1&gt;=13,('Testes estatísticos'!$D$139+'Testes estatísticos'!$D$127)/2,"")</f>
        <v/>
      </c>
      <c r="C171" s="7" t="str">
        <f>IF(2&gt;=13,('Testes estatísticos'!$D$139+'Testes estatísticos'!$D$128)/2,"")</f>
        <v/>
      </c>
      <c r="D171" s="7" t="str">
        <f>IF(3&gt;=13,('Testes estatísticos'!$D$139+'Testes estatísticos'!$D$129)/2,"")</f>
        <v/>
      </c>
      <c r="E171" s="7" t="str">
        <f>IF(4&gt;=13,('Testes estatísticos'!$D$139+'Testes estatísticos'!$D$130)/2,"")</f>
        <v/>
      </c>
      <c r="F171" s="7" t="str">
        <f>IF(5&gt;=13,('Testes estatísticos'!$D$139+'Testes estatísticos'!$D$131)/2,"")</f>
        <v/>
      </c>
      <c r="G171" s="7" t="str">
        <f>IF(6&gt;=13,('Testes estatísticos'!$D$139+'Testes estatísticos'!$D$132)/2,"")</f>
        <v/>
      </c>
      <c r="H171" s="7" t="str">
        <f>IF(7&gt;=13,('Testes estatísticos'!$D$139+'Testes estatísticos'!$D$133)/2,"")</f>
        <v/>
      </c>
      <c r="I171" s="7" t="str">
        <f>IF(8&gt;=13,('Testes estatísticos'!$D$139+'Testes estatísticos'!$D$134)/2,"")</f>
        <v/>
      </c>
      <c r="J171" s="7" t="str">
        <f>IF(9&gt;=13,('Testes estatísticos'!$D$139+'Testes estatísticos'!$D$135)/2,"")</f>
        <v/>
      </c>
      <c r="K171" s="7" t="str">
        <f>IF(10&gt;=13,('Testes estatísticos'!$D$139+'Testes estatísticos'!$D$136)/2,"")</f>
        <v/>
      </c>
      <c r="L171" s="7" t="str">
        <f>IF(11&gt;=13,('Testes estatísticos'!$D$139+'Testes estatísticos'!$D$137)/2,"")</f>
        <v/>
      </c>
      <c r="M171" s="7" t="str">
        <f>IF(12&gt;=13,('Testes estatísticos'!$D$139+'Testes estatísticos'!$D$138)/2,"")</f>
        <v/>
      </c>
      <c r="N171" s="7">
        <f>IF(13&gt;=13,('Testes estatísticos'!$D$139+'Testes estatísticos'!$D$139)/2,"")</f>
        <v>-6.9076490000000064</v>
      </c>
      <c r="O171" s="7">
        <f>IF(14&gt;=13,('Testes estatísticos'!$D$139+'Testes estatísticos'!$D$140)/2,"")</f>
        <v>-3.6932165000000019</v>
      </c>
      <c r="P171" s="7">
        <f>IF(15&gt;=13,('Testes estatísticos'!$D$139+'Testes estatísticos'!$D$141)/2,"")</f>
        <v>-5.3867065000000061</v>
      </c>
      <c r="Q171" s="7">
        <f>IF(16&gt;=13,('Testes estatísticos'!$D$139+'Testes estatísticos'!$D$142)/2,"")</f>
        <v>-3.681966500000005</v>
      </c>
      <c r="R171" s="7">
        <f>IF(17&gt;=13,('Testes estatísticos'!$D$139+'Testes estatísticos'!$D$143)/2,"")</f>
        <v>-5.3469820000000006</v>
      </c>
      <c r="S171" s="7"/>
      <c r="T171" s="7"/>
      <c r="U171" s="7"/>
    </row>
    <row r="172" spans="1:21" x14ac:dyDescent="0.3">
      <c r="B172" s="7" t="str">
        <f>IF(1&gt;=14,('Testes estatísticos'!$D$140+'Testes estatísticos'!$D$127)/2,"")</f>
        <v/>
      </c>
      <c r="C172" s="7" t="str">
        <f>IF(2&gt;=14,('Testes estatísticos'!$D$140+'Testes estatísticos'!$D$128)/2,"")</f>
        <v/>
      </c>
      <c r="D172" s="7" t="str">
        <f>IF(3&gt;=14,('Testes estatísticos'!$D$140+'Testes estatísticos'!$D$129)/2,"")</f>
        <v/>
      </c>
      <c r="E172" s="7" t="str">
        <f>IF(4&gt;=14,('Testes estatísticos'!$D$140+'Testes estatísticos'!$D$130)/2,"")</f>
        <v/>
      </c>
      <c r="F172" s="7" t="str">
        <f>IF(5&gt;=14,('Testes estatísticos'!$D$140+'Testes estatísticos'!$D$131)/2,"")</f>
        <v/>
      </c>
      <c r="G172" s="7" t="str">
        <f>IF(6&gt;=14,('Testes estatísticos'!$D$140+'Testes estatísticos'!$D$132)/2,"")</f>
        <v/>
      </c>
      <c r="H172" s="7" t="str">
        <f>IF(7&gt;=14,('Testes estatísticos'!$D$140+'Testes estatísticos'!$D$133)/2,"")</f>
        <v/>
      </c>
      <c r="I172" s="7" t="str">
        <f>IF(8&gt;=14,('Testes estatísticos'!$D$140+'Testes estatísticos'!$D$134)/2,"")</f>
        <v/>
      </c>
      <c r="J172" s="7" t="str">
        <f>IF(9&gt;=14,('Testes estatísticos'!$D$140+'Testes estatísticos'!$D$135)/2,"")</f>
        <v/>
      </c>
      <c r="K172" s="7" t="str">
        <f>IF(10&gt;=14,('Testes estatísticos'!$D$140+'Testes estatísticos'!$D$136)/2,"")</f>
        <v/>
      </c>
      <c r="L172" s="7" t="str">
        <f>IF(11&gt;=14,('Testes estatísticos'!$D$140+'Testes estatísticos'!$D$137)/2,"")</f>
        <v/>
      </c>
      <c r="M172" s="7" t="str">
        <f>IF(12&gt;=14,('Testes estatísticos'!$D$140+'Testes estatísticos'!$D$138)/2,"")</f>
        <v/>
      </c>
      <c r="N172" s="7" t="str">
        <f>IF(13&gt;=14,('Testes estatísticos'!$D$140+'Testes estatísticos'!$D$139)/2,"")</f>
        <v/>
      </c>
      <c r="O172" s="7">
        <f>IF(14&gt;=14,('Testes estatísticos'!$D$140+'Testes estatísticos'!$D$140)/2,"")</f>
        <v>-0.47878399999999743</v>
      </c>
      <c r="P172" s="7">
        <f>IF(15&gt;=14,('Testes estatísticos'!$D$140+'Testes estatísticos'!$D$141)/2,"")</f>
        <v>-2.1722740000000016</v>
      </c>
      <c r="Q172" s="7">
        <f>IF(16&gt;=14,('Testes estatísticos'!$D$140+'Testes estatísticos'!$D$142)/2,"")</f>
        <v>-0.46753400000000056</v>
      </c>
      <c r="R172" s="7">
        <f>IF(17&gt;=14,('Testes estatísticos'!$D$140+'Testes estatísticos'!$D$143)/2,"")</f>
        <v>-2.1325494999999961</v>
      </c>
      <c r="S172" s="7"/>
      <c r="T172" s="7"/>
      <c r="U172" s="7"/>
    </row>
    <row r="173" spans="1:21" x14ac:dyDescent="0.3">
      <c r="B173" s="7" t="str">
        <f>IF(1&gt;=15,('Testes estatísticos'!$D$141+'Testes estatísticos'!$D$127)/2,"")</f>
        <v/>
      </c>
      <c r="C173" s="7" t="str">
        <f>IF(2&gt;=15,('Testes estatísticos'!$D$141+'Testes estatísticos'!$D$128)/2,"")</f>
        <v/>
      </c>
      <c r="D173" s="7" t="str">
        <f>IF(3&gt;=15,('Testes estatísticos'!$D$141+'Testes estatísticos'!$D$129)/2,"")</f>
        <v/>
      </c>
      <c r="E173" s="7" t="str">
        <f>IF(4&gt;=15,('Testes estatísticos'!$D$141+'Testes estatísticos'!$D$130)/2,"")</f>
        <v/>
      </c>
      <c r="F173" s="7" t="str">
        <f>IF(5&gt;=15,('Testes estatísticos'!$D$141+'Testes estatísticos'!$D$131)/2,"")</f>
        <v/>
      </c>
      <c r="G173" s="7" t="str">
        <f>IF(6&gt;=15,('Testes estatísticos'!$D$141+'Testes estatísticos'!$D$132)/2,"")</f>
        <v/>
      </c>
      <c r="H173" s="7" t="str">
        <f>IF(7&gt;=15,('Testes estatísticos'!$D$141+'Testes estatísticos'!$D$133)/2,"")</f>
        <v/>
      </c>
      <c r="I173" s="7" t="str">
        <f>IF(8&gt;=15,('Testes estatísticos'!$D$141+'Testes estatísticos'!$D$134)/2,"")</f>
        <v/>
      </c>
      <c r="J173" s="7" t="str">
        <f>IF(9&gt;=15,('Testes estatísticos'!$D$141+'Testes estatísticos'!$D$135)/2,"")</f>
        <v/>
      </c>
      <c r="K173" s="7" t="str">
        <f>IF(10&gt;=15,('Testes estatísticos'!$D$141+'Testes estatísticos'!$D$136)/2,"")</f>
        <v/>
      </c>
      <c r="L173" s="7" t="str">
        <f>IF(11&gt;=15,('Testes estatísticos'!$D$141+'Testes estatísticos'!$D$137)/2,"")</f>
        <v/>
      </c>
      <c r="M173" s="7" t="str">
        <f>IF(12&gt;=15,('Testes estatísticos'!$D$141+'Testes estatísticos'!$D$138)/2,"")</f>
        <v/>
      </c>
      <c r="N173" s="7" t="str">
        <f>IF(13&gt;=15,('Testes estatísticos'!$D$141+'Testes estatísticos'!$D$139)/2,"")</f>
        <v/>
      </c>
      <c r="O173" s="7" t="str">
        <f>IF(14&gt;=15,('Testes estatísticos'!$D$141+'Testes estatísticos'!$D$140)/2,"")</f>
        <v/>
      </c>
      <c r="P173" s="7">
        <f>IF(15&gt;=15,('Testes estatísticos'!$D$141+'Testes estatísticos'!$D$141)/2,"")</f>
        <v>-3.8657640000000058</v>
      </c>
      <c r="Q173" s="7">
        <f>IF(16&gt;=15,('Testes estatísticos'!$D$141+'Testes estatísticos'!$D$142)/2,"")</f>
        <v>-2.1610240000000047</v>
      </c>
      <c r="R173" s="7">
        <f>IF(17&gt;=15,('Testes estatísticos'!$D$141+'Testes estatísticos'!$D$143)/2,"")</f>
        <v>-3.8260395000000003</v>
      </c>
      <c r="S173" s="7"/>
      <c r="T173" s="7"/>
      <c r="U173" s="7"/>
    </row>
    <row r="174" spans="1:21" x14ac:dyDescent="0.3">
      <c r="B174" s="7" t="str">
        <f>IF(1&gt;=16,('Testes estatísticos'!$D$142+'Testes estatísticos'!$D$127)/2,"")</f>
        <v/>
      </c>
      <c r="C174" s="7" t="str">
        <f>IF(2&gt;=16,('Testes estatísticos'!$D$142+'Testes estatísticos'!$D$128)/2,"")</f>
        <v/>
      </c>
      <c r="D174" s="7" t="str">
        <f>IF(3&gt;=16,('Testes estatísticos'!$D$142+'Testes estatísticos'!$D$129)/2,"")</f>
        <v/>
      </c>
      <c r="E174" s="7" t="str">
        <f>IF(4&gt;=16,('Testes estatísticos'!$D$142+'Testes estatísticos'!$D$130)/2,"")</f>
        <v/>
      </c>
      <c r="F174" s="7" t="str">
        <f>IF(5&gt;=16,('Testes estatísticos'!$D$142+'Testes estatísticos'!$D$131)/2,"")</f>
        <v/>
      </c>
      <c r="G174" s="7" t="str">
        <f>IF(6&gt;=16,('Testes estatísticos'!$D$142+'Testes estatísticos'!$D$132)/2,"")</f>
        <v/>
      </c>
      <c r="H174" s="7" t="str">
        <f>IF(7&gt;=16,('Testes estatísticos'!$D$142+'Testes estatísticos'!$D$133)/2,"")</f>
        <v/>
      </c>
      <c r="I174" s="7" t="str">
        <f>IF(8&gt;=16,('Testes estatísticos'!$D$142+'Testes estatísticos'!$D$134)/2,"")</f>
        <v/>
      </c>
      <c r="J174" s="7" t="str">
        <f>IF(9&gt;=16,('Testes estatísticos'!$D$142+'Testes estatísticos'!$D$135)/2,"")</f>
        <v/>
      </c>
      <c r="K174" s="7" t="str">
        <f>IF(10&gt;=16,('Testes estatísticos'!$D$142+'Testes estatísticos'!$D$136)/2,"")</f>
        <v/>
      </c>
      <c r="L174" s="7" t="str">
        <f>IF(11&gt;=16,('Testes estatísticos'!$D$142+'Testes estatísticos'!$D$137)/2,"")</f>
        <v/>
      </c>
      <c r="M174" s="7" t="str">
        <f>IF(12&gt;=16,('Testes estatísticos'!$D$142+'Testes estatísticos'!$D$138)/2,"")</f>
        <v/>
      </c>
      <c r="N174" s="7" t="str">
        <f>IF(13&gt;=16,('Testes estatísticos'!$D$142+'Testes estatísticos'!$D$139)/2,"")</f>
        <v/>
      </c>
      <c r="O174" s="7" t="str">
        <f>IF(14&gt;=16,('Testes estatísticos'!$D$142+'Testes estatísticos'!$D$140)/2,"")</f>
        <v/>
      </c>
      <c r="P174" s="7" t="str">
        <f>IF(15&gt;=16,('Testes estatísticos'!$D$142+'Testes estatísticos'!$D$141)/2,"")</f>
        <v/>
      </c>
      <c r="Q174" s="7">
        <f>IF(16&gt;=16,('Testes estatísticos'!$D$142+'Testes estatísticos'!$D$142)/2,"")</f>
        <v>-0.45628400000000369</v>
      </c>
      <c r="R174" s="7">
        <f>IF(17&gt;=16,('Testes estatísticos'!$D$142+'Testes estatísticos'!$D$143)/2,"")</f>
        <v>-2.1212994999999992</v>
      </c>
      <c r="S174" s="7"/>
      <c r="T174" s="7"/>
      <c r="U174" s="7"/>
    </row>
    <row r="175" spans="1:21" x14ac:dyDescent="0.3">
      <c r="B175" s="7" t="str">
        <f>IF(1&gt;=17,('Testes estatísticos'!$D$143+'Testes estatísticos'!$D$127)/2,"")</f>
        <v/>
      </c>
      <c r="C175" s="7" t="str">
        <f>IF(2&gt;=17,('Testes estatísticos'!$D$143+'Testes estatísticos'!$D$128)/2,"")</f>
        <v/>
      </c>
      <c r="D175" s="7" t="str">
        <f>IF(3&gt;=17,('Testes estatísticos'!$D$143+'Testes estatísticos'!$D$129)/2,"")</f>
        <v/>
      </c>
      <c r="E175" s="7" t="str">
        <f>IF(4&gt;=17,('Testes estatísticos'!$D$143+'Testes estatísticos'!$D$130)/2,"")</f>
        <v/>
      </c>
      <c r="F175" s="7" t="str">
        <f>IF(5&gt;=17,('Testes estatísticos'!$D$143+'Testes estatísticos'!$D$131)/2,"")</f>
        <v/>
      </c>
      <c r="G175" s="7" t="str">
        <f>IF(6&gt;=17,('Testes estatísticos'!$D$143+'Testes estatísticos'!$D$132)/2,"")</f>
        <v/>
      </c>
      <c r="H175" s="7" t="str">
        <f>IF(7&gt;=17,('Testes estatísticos'!$D$143+'Testes estatísticos'!$D$133)/2,"")</f>
        <v/>
      </c>
      <c r="I175" s="7" t="str">
        <f>IF(8&gt;=17,('Testes estatísticos'!$D$143+'Testes estatísticos'!$D$134)/2,"")</f>
        <v/>
      </c>
      <c r="J175" s="7" t="str">
        <f>IF(9&gt;=17,('Testes estatísticos'!$D$143+'Testes estatísticos'!$D$135)/2,"")</f>
        <v/>
      </c>
      <c r="K175" s="7" t="str">
        <f>IF(10&gt;=17,('Testes estatísticos'!$D$143+'Testes estatísticos'!$D$136)/2,"")</f>
        <v/>
      </c>
      <c r="L175" s="7" t="str">
        <f>IF(11&gt;=17,('Testes estatísticos'!$D$143+'Testes estatísticos'!$D$137)/2,"")</f>
        <v/>
      </c>
      <c r="M175" s="7" t="str">
        <f>IF(12&gt;=17,('Testes estatísticos'!$D$143+'Testes estatísticos'!$D$138)/2,"")</f>
        <v/>
      </c>
      <c r="N175" s="7" t="str">
        <f>IF(13&gt;=17,('Testes estatísticos'!$D$143+'Testes estatísticos'!$D$139)/2,"")</f>
        <v/>
      </c>
      <c r="O175" s="7" t="str">
        <f>IF(14&gt;=17,('Testes estatísticos'!$D$143+'Testes estatísticos'!$D$140)/2,"")</f>
        <v/>
      </c>
      <c r="P175" s="7" t="str">
        <f>IF(15&gt;=17,('Testes estatísticos'!$D$143+'Testes estatísticos'!$D$141)/2,"")</f>
        <v/>
      </c>
      <c r="Q175" s="7" t="str">
        <f>IF(16&gt;=17,('Testes estatísticos'!$D$143+'Testes estatísticos'!$D$142)/2,"")</f>
        <v/>
      </c>
      <c r="R175" s="7">
        <f>IF(17&gt;=17,('Testes estatísticos'!$D$143+'Testes estatísticos'!$D$143)/2,"")</f>
        <v>-3.7863149999999948</v>
      </c>
      <c r="S175" s="7"/>
      <c r="T175" s="7"/>
      <c r="U175" s="7"/>
    </row>
    <row r="176" spans="1:21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151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151" x14ac:dyDescent="0.3">
      <c r="A178" s="35" t="s">
        <v>345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151" x14ac:dyDescent="0.3">
      <c r="B179" s="7">
        <f>IF(1&gt;=1,('Testes estatísticos'!$D$6+'Testes estatísticos'!$D$6)/2,"")</f>
        <v>-1.6478249999999974</v>
      </c>
      <c r="C179" s="7">
        <f>IF(2&gt;=1,('Testes estatísticos'!$D$6+'Testes estatísticos'!$D$7)/2,"")</f>
        <v>-3.7160319999999984</v>
      </c>
      <c r="D179" s="7">
        <f>IF(3&gt;=1,('Testes estatísticos'!$D$6+'Testes estatísticos'!$D$8)/2,"")</f>
        <v>0.74833250000000362</v>
      </c>
      <c r="E179" s="7">
        <f>IF(4&gt;=1,('Testes estatísticos'!$D$6+'Testes estatísticos'!$D$9)/2,"")</f>
        <v>-3.9049329999999998</v>
      </c>
      <c r="F179" s="7">
        <f>IF(5&gt;=1,('Testes estatísticos'!$D$6+'Testes estatísticos'!$D$10)/2,"")</f>
        <v>-1.5550704999999994</v>
      </c>
      <c r="G179" s="7">
        <f>IF(6&gt;=1,('Testes estatísticos'!$D$6+'Testes estatísticos'!$D$11)/2,"")</f>
        <v>1.5326315000000008</v>
      </c>
      <c r="H179" s="7">
        <f>IF(7&gt;=1,('Testes estatísticos'!$D$6+'Testes estatísticos'!$D$12)/2,"")</f>
        <v>-5.3245779999999954</v>
      </c>
      <c r="I179" s="7">
        <f>IF(8&gt;=1,('Testes estatísticos'!$D$6+'Testes estatísticos'!$D$13)/2,"")</f>
        <v>-1.4543520000000001</v>
      </c>
      <c r="J179" s="7">
        <f>IF(9&gt;=1,('Testes estatísticos'!$D$6+'Testes estatísticos'!$D$14)/2,"")</f>
        <v>-0.80129300000000114</v>
      </c>
      <c r="K179" s="7">
        <f>IF(10&gt;=1,('Testes estatísticos'!$D$6+'Testes estatísticos'!$D$15)/2,"")</f>
        <v>-1.1091079999999991</v>
      </c>
      <c r="L179" s="7">
        <f>IF(11&gt;=1,('Testes estatísticos'!$D$6+'Testes estatísticos'!$D$16)/2,"")</f>
        <v>-1.7027289999999979</v>
      </c>
      <c r="M179" s="7">
        <f>IF(12&gt;=1,('Testes estatísticos'!$D$6+'Testes estatísticos'!$D$17)/2,"")</f>
        <v>-4.9720019999999963</v>
      </c>
      <c r="N179" s="7">
        <f>IF(13&gt;=1,('Testes estatísticos'!$D$6+'Testes estatísticos'!$D$18)/2,"")</f>
        <v>0.88168399999999991</v>
      </c>
      <c r="O179" s="7">
        <f>IF(14&gt;=1,('Testes estatísticos'!$D$6+'Testes estatísticos'!$D$19)/2,"")</f>
        <v>-0.46060899999999805</v>
      </c>
      <c r="P179" s="7">
        <f>IF(15&gt;=1,('Testes estatísticos'!$D$6+'Testes estatísticos'!$D$20)/2,"")</f>
        <v>0.95909450000000263</v>
      </c>
      <c r="Q179" s="7">
        <f>IF(16&gt;=1,('Testes estatísticos'!$D$6+'Testes estatísticos'!$D$21)/2,"")</f>
        <v>-6.3407400000000003</v>
      </c>
      <c r="R179" s="7">
        <f>IF(17&gt;=1,('Testes estatísticos'!$D$6+'Testes estatísticos'!$D$22)/2,"")</f>
        <v>-2.8793959999999998</v>
      </c>
      <c r="S179" s="7">
        <f>IF(18&gt;=1,('Testes estatísticos'!$D$6+'Testes estatísticos'!$D$23)/2,"")</f>
        <v>-3.9535094999999991</v>
      </c>
      <c r="T179" s="7">
        <f>IF(19&gt;=1,('Testes estatísticos'!$D$6+'Testes estatísticos'!$D$24)/2,"")</f>
        <v>-3.5550685000000009</v>
      </c>
      <c r="U179" s="7">
        <f>IF(20&gt;=1,('Testes estatísticos'!$D$6+'Testes estatísticos'!$D$25)/2,"")</f>
        <v>-4.5004364999999957</v>
      </c>
      <c r="V179" s="7">
        <f>IF(21&gt;=1,('Testes estatísticos'!$D$6+'Testes estatísticos'!$D$26)/2,"")</f>
        <v>-2.641751499999998</v>
      </c>
      <c r="W179" s="7">
        <f>IF(22&gt;=1,('Testes estatísticos'!$D$6+'Testes estatísticos'!$D$27)/2,"")</f>
        <v>-2.6779809999999991</v>
      </c>
      <c r="X179" s="7">
        <f>IF(23&gt;=1,('Testes estatísticos'!$D$6+'Testes estatísticos'!$D$28)/2,"")</f>
        <v>-2.8008584999999968</v>
      </c>
      <c r="Y179" s="7">
        <f>IF(24&gt;=1,('Testes estatísticos'!$D$6+'Testes estatísticos'!$D$29)/2,"")</f>
        <v>-2.2376779999999989</v>
      </c>
      <c r="Z179" s="7">
        <f>IF(25&gt;=1,('Testes estatísticos'!$D$6+'Testes estatísticos'!$D$30)/2,"")</f>
        <v>-1.9241150000000005</v>
      </c>
      <c r="AA179" s="7">
        <f>IF(26&gt;=1,('Testes estatísticos'!$D$6+'Testes estatísticos'!$D$31)/2,"")</f>
        <v>-1.9206444999999981</v>
      </c>
      <c r="AB179" s="7">
        <f>IF(27&gt;=1,('Testes estatísticos'!$D$6+'Testes estatísticos'!$D$32)/2,"")</f>
        <v>-2.025253499999998</v>
      </c>
      <c r="AC179" s="7">
        <f>IF(28&gt;=1,('Testes estatísticos'!$D$6+'Testes estatísticos'!$D$33)/2,"")</f>
        <v>-1.9655389999999997</v>
      </c>
      <c r="AD179" s="7">
        <f>IF(29&gt;=1,('Testes estatísticos'!$D$6+'Testes estatísticos'!$D$34)/2,"")</f>
        <v>-1.2362770000000012</v>
      </c>
      <c r="AE179" s="7">
        <f>IF(30&gt;=1,('Testes estatísticos'!$D$6+'Testes estatísticos'!$D$35)/2,"")</f>
        <v>-2.549823</v>
      </c>
      <c r="AF179" s="7">
        <f>IF(31&gt;=1,('Testes estatísticos'!$D$6+'Testes estatísticos'!$D$36)/2,"")</f>
        <v>-2.8922174999999974</v>
      </c>
      <c r="AG179" s="7">
        <f>IF(32&gt;=1,('Testes estatísticos'!$D$6+'Testes estatísticos'!$D$37)/2,"")</f>
        <v>-1.7885969999999993</v>
      </c>
      <c r="AH179" s="7">
        <f>IF(33&gt;=1,('Testes estatísticos'!$D$6+'Testes estatísticos'!$D$38)/2,"")</f>
        <v>-1.9541365000000006</v>
      </c>
      <c r="AI179" s="7">
        <f>IF(34&gt;=1,('Testes estatísticos'!$D$6+'Testes estatísticos'!$D$39)/2,"")</f>
        <v>0.86240950000000183</v>
      </c>
      <c r="AJ179" s="7">
        <f>IF(35&gt;=1,('Testes estatísticos'!$D$6+'Testes estatísticos'!$D$40)/2,"")</f>
        <v>-1.8790884999999982</v>
      </c>
      <c r="AK179" s="7">
        <f>IF(36&gt;=1,('Testes estatísticos'!$D$6+'Testes estatísticos'!$D$41)/2,"")</f>
        <v>0.38885600000000053</v>
      </c>
      <c r="AL179" s="7">
        <f>IF(37&gt;=1,('Testes estatísticos'!$D$6+'Testes estatísticos'!$D$42)/2,"")</f>
        <v>-1.8897049999999993</v>
      </c>
      <c r="AM179" s="7">
        <f>IF(38&gt;=1,('Testes estatísticos'!$D$6+'Testes estatísticos'!$D$43)/2,"")</f>
        <v>-1.8768454999999982</v>
      </c>
      <c r="AN179" s="7">
        <f>IF(39&gt;=1,('Testes estatísticos'!$D$6+'Testes estatísticos'!$D$44)/2,"")</f>
        <v>-3.0138394999999996</v>
      </c>
      <c r="AO179" s="7">
        <f>IF(40&gt;=1,('Testes estatísticos'!$D$6+'Testes estatísticos'!$D$45)/2,"")</f>
        <v>0.96108699999999914</v>
      </c>
      <c r="AP179" s="7">
        <f>IF(41&gt;=1,('Testes estatísticos'!$D$6+'Testes estatísticos'!$D$46)/2,"")</f>
        <v>-1.5448524999999975</v>
      </c>
      <c r="AQ179" s="7">
        <f>IF(42&gt;=1,('Testes estatísticos'!$D$6+'Testes estatísticos'!$D$47)/2,"")</f>
        <v>-0.40249349999999851</v>
      </c>
      <c r="AR179" s="7">
        <f>IF(43&gt;=1,('Testes estatísticos'!$D$6+'Testes estatísticos'!$D$48)/2,"")</f>
        <v>-1.4514074999999984</v>
      </c>
      <c r="AS179" s="7">
        <f>IF(44&gt;=1,('Testes estatísticos'!$D$6+'Testes estatísticos'!$D$49)/2,"")</f>
        <v>-1.9825304999999993</v>
      </c>
      <c r="AT179" s="7">
        <f>IF(45&gt;=1,('Testes estatísticos'!$D$6+'Testes estatísticos'!$D$50)/2,"")</f>
        <v>-1.1534519999999979</v>
      </c>
      <c r="AU179" s="7">
        <f>IF(46&gt;=1,('Testes estatísticos'!$D$6+'Testes estatísticos'!$D$51)/2,"")</f>
        <v>-4.1846479999999993</v>
      </c>
      <c r="AV179" s="7">
        <f>IF(47&gt;=1,('Testes estatísticos'!$D$6+'Testes estatísticos'!$D$52)/2,"")</f>
        <v>0.88552500000000123</v>
      </c>
      <c r="AW179" s="7">
        <f>IF(48&gt;=1,('Testes estatísticos'!$D$6+'Testes estatísticos'!$D$53)/2,"")</f>
        <v>-3.5505059999999986</v>
      </c>
      <c r="AX179" s="7">
        <f>IF(49&gt;=1,('Testes estatísticos'!$D$6+'Testes estatísticos'!$D$54)/2,"")</f>
        <v>-2.2907154999999975</v>
      </c>
      <c r="AY179" s="7">
        <f>IF(50&gt;=1,('Testes estatísticos'!$D$6+'Testes estatísticos'!$D$55)/2,"")</f>
        <v>-0.66555099999999712</v>
      </c>
      <c r="AZ179" s="7">
        <f>IF(51&gt;=1,('Testes estatísticos'!$D$6+'Testes estatísticos'!$D$56)/2,"")</f>
        <v>-0.62108149999999895</v>
      </c>
      <c r="BA179" s="7">
        <f>IF(52&gt;=1,('Testes estatísticos'!$D$6+'Testes estatísticos'!$D$57)/2,"")</f>
        <v>-4.0292974999999984</v>
      </c>
      <c r="BB179" s="7">
        <f>IF(53&gt;=1,('Testes estatísticos'!$D$6+'Testes estatísticos'!$D$58)/2,"")</f>
        <v>-0.62053499999999673</v>
      </c>
      <c r="BC179" s="7">
        <f>IF(54&gt;=1,('Testes estatísticos'!$D$6+'Testes estatísticos'!$D$59)/2,"")</f>
        <v>-1.5401774999999986</v>
      </c>
      <c r="BD179" s="7">
        <f>IF(55&gt;=1,('Testes estatísticos'!$D$6+'Testes estatísticos'!$D$60)/2,"")</f>
        <v>1.5554935000000008</v>
      </c>
      <c r="BE179" s="7">
        <f>IF(56&gt;=1,('Testes estatísticos'!$D$6+'Testes estatísticos'!$D$61)/2,"")</f>
        <v>-1.0744749999999961</v>
      </c>
      <c r="BF179" s="7">
        <f>IF(57&gt;=1,('Testes estatísticos'!$D$6+'Testes estatísticos'!$D$62)/2,"")</f>
        <v>-4.4746650000000017</v>
      </c>
      <c r="BG179" s="7">
        <f>IF(58&gt;=1,('Testes estatísticos'!$D$6+'Testes estatísticos'!$D$63)/2,"")</f>
        <v>0.79123000000000232</v>
      </c>
      <c r="BH179" s="7">
        <f>IF(59&gt;=1,('Testes estatísticos'!$D$6+'Testes estatísticos'!$D$64)/2,"")</f>
        <v>-5.0523825000000002</v>
      </c>
      <c r="BI179" s="7">
        <f>IF(60&gt;=1,('Testes estatísticos'!$D$6+'Testes estatísticos'!$D$65)/2,"")</f>
        <v>-3.3047914999999968</v>
      </c>
      <c r="BJ179" s="7">
        <f>IF(61&gt;=1,('Testes estatísticos'!$D$6+'Testes estatísticos'!$D$66)/2,"")</f>
        <v>-0.66973649999999907</v>
      </c>
      <c r="BK179" s="7">
        <f>IF(62&gt;=1,('Testes estatísticos'!$D$6+'Testes estatísticos'!$D$67)/2,"")</f>
        <v>-1.1785314999999983</v>
      </c>
      <c r="BL179" s="7">
        <f>IF(63&gt;=1,('Testes estatísticos'!$D$6+'Testes estatísticos'!$D$68)/2,"")</f>
        <v>-0.27921699999999916</v>
      </c>
      <c r="BM179" s="7">
        <f>IF(64&gt;=1,('Testes estatísticos'!$D$6+'Testes estatísticos'!$D$69)/2,"")</f>
        <v>-0.22837499999999977</v>
      </c>
      <c r="BN179" s="7">
        <f>IF(65&gt;=1,('Testes estatísticos'!$D$6+'Testes estatísticos'!$D$70)/2,"")</f>
        <v>-2.3741814999999988</v>
      </c>
      <c r="BO179" s="7">
        <f>IF(66&gt;=1,('Testes estatísticos'!$D$6+'Testes estatísticos'!$D$71)/2,"")</f>
        <v>-1.4783289999999987</v>
      </c>
      <c r="BP179" s="7">
        <f>IF(67&gt;=1,('Testes estatísticos'!$D$6+'Testes estatísticos'!$D$72)/2,"")</f>
        <v>-4.3687879999999986</v>
      </c>
      <c r="BQ179" s="7">
        <f>IF(68&gt;=1,('Testes estatísticos'!$D$6+'Testes estatísticos'!$D$73)/2,"")</f>
        <v>0.29444499999999962</v>
      </c>
      <c r="BR179" s="7">
        <f>IF(69&gt;=1,('Testes estatísticos'!$D$6+'Testes estatísticos'!$D$74)/2,"")</f>
        <v>0.92662699999999987</v>
      </c>
      <c r="BS179" s="7">
        <f>IF(70&gt;=1,('Testes estatísticos'!$D$6+'Testes estatísticos'!$D$75)/2,"")</f>
        <v>-7.7837500000001114E-2</v>
      </c>
      <c r="BT179" s="7">
        <f>IF(71&gt;=1,('Testes estatísticos'!$D$6+'Testes estatísticos'!$D$76)/2,"")</f>
        <v>1.4965274999999991</v>
      </c>
      <c r="BU179" s="7">
        <f>IF(72&gt;=1,('Testes estatísticos'!$D$6+'Testes estatísticos'!$D$77)/2,"")</f>
        <v>-4.1031694999999999</v>
      </c>
      <c r="BV179" s="7">
        <f>IF(73&gt;=1,('Testes estatísticos'!$D$6+'Testes estatísticos'!$D$78)/2,"")</f>
        <v>-2.0296950000000002</v>
      </c>
      <c r="BW179" s="7">
        <f>IF(74&gt;=1,('Testes estatísticos'!$D$6+'Testes estatísticos'!$D$79)/2,"")</f>
        <v>-2.7130134999999989</v>
      </c>
      <c r="BX179" s="7">
        <f>IF(75&gt;=1,('Testes estatísticos'!$D$6+'Testes estatísticos'!$D$80)/2,"")</f>
        <v>-2.7347915</v>
      </c>
      <c r="BY179" s="7">
        <f>IF(76&gt;=1,('Testes estatísticos'!$D$6+'Testes estatísticos'!$D$81)/2,"")</f>
        <v>1.396666500000002</v>
      </c>
      <c r="BZ179" s="7">
        <f>IF(77&gt;=1,('Testes estatísticos'!$D$6+'Testes estatísticos'!$D$82)/2,"")</f>
        <v>-3.8649229999999974</v>
      </c>
      <c r="CA179" s="7">
        <f>IF(78&gt;=1,('Testes estatísticos'!$D$6+'Testes estatísticos'!$D$83)/2,"")</f>
        <v>-2.1046639999999961</v>
      </c>
      <c r="CB179" s="7">
        <f>IF(79&gt;=1,('Testes estatísticos'!$D$6+'Testes estatísticos'!$D$84)/2,"")</f>
        <v>-2.0529414999999993</v>
      </c>
      <c r="CC179" s="7">
        <f>IF(80&gt;=1,('Testes estatísticos'!$D$6+'Testes estatísticos'!$D$85)/2,"")</f>
        <v>-3.8599579999999989</v>
      </c>
      <c r="CD179" s="7">
        <f>IF(81&gt;=1,('Testes estatísticos'!$D$6+'Testes estatísticos'!$D$86)/2,"")</f>
        <v>-3.9101029999999994</v>
      </c>
      <c r="CE179" s="7">
        <f>IF(82&gt;=1,('Testes estatísticos'!$D$6+'Testes estatísticos'!$D$87)/2,"")</f>
        <v>-1.8323125000000005</v>
      </c>
      <c r="CF179" s="7">
        <f>IF(83&gt;=1,('Testes estatísticos'!$D$6+'Testes estatísticos'!$D$88)/2,"")</f>
        <v>-2.3611195000000009</v>
      </c>
      <c r="CG179" s="7">
        <f>IF(84&gt;=1,('Testes estatísticos'!$D$6+'Testes estatísticos'!$D$89)/2,"")</f>
        <v>-2.6930264999999984</v>
      </c>
      <c r="CH179" s="7">
        <f>IF(85&gt;=1,('Testes estatísticos'!$D$6+'Testes estatísticos'!$D$90)/2,"")</f>
        <v>-0.87747949999999975</v>
      </c>
      <c r="CI179" s="7">
        <f>IF(86&gt;=1,('Testes estatísticos'!$D$6+'Testes estatísticos'!$D$91)/2,"")</f>
        <v>-3.5676389999999962</v>
      </c>
      <c r="CJ179" s="7">
        <f>IF(87&gt;=1,('Testes estatísticos'!$D$6+'Testes estatísticos'!$D$92)/2,"")</f>
        <v>-2.325432499999998</v>
      </c>
      <c r="CK179" s="7">
        <f>IF(88&gt;=1,('Testes estatísticos'!$D$6+'Testes estatísticos'!$D$93)/2,"")</f>
        <v>-2.0813489999999994</v>
      </c>
      <c r="CL179" s="7">
        <f>IF(89&gt;=1,('Testes estatísticos'!$D$6+'Testes estatísticos'!$D$94)/2,"")</f>
        <v>-2.6929410000000011</v>
      </c>
      <c r="CM179" s="7">
        <f>IF(90&gt;=1,('Testes estatísticos'!$D$6+'Testes estatísticos'!$D$95)/2,"")</f>
        <v>-5.0270729999999979</v>
      </c>
      <c r="CN179" s="7">
        <f>IF(91&gt;=1,('Testes estatísticos'!$D$6+'Testes estatísticos'!$D$96)/2,"")</f>
        <v>-2.4885499999999965</v>
      </c>
      <c r="CO179" s="7">
        <f>IF(92&gt;=1,('Testes estatísticos'!$D$6+'Testes estatísticos'!$D$97)/2,"")</f>
        <v>-2.8350534999999972</v>
      </c>
      <c r="CP179" s="7">
        <f>IF(93&gt;=1,('Testes estatísticos'!$D$6+'Testes estatísticos'!$D$98)/2,"")</f>
        <v>-3.0398054999999964</v>
      </c>
      <c r="CQ179" s="7">
        <f>IF(94&gt;=1,('Testes estatísticos'!$D$6+'Testes estatísticos'!$D$99)/2,"")</f>
        <v>-0.85864750000000001</v>
      </c>
      <c r="CR179" s="7">
        <f>IF(95&gt;=1,('Testes estatísticos'!$D$6+'Testes estatísticos'!$D$100)/2,"")</f>
        <v>-2.7644404999999992</v>
      </c>
      <c r="CS179" s="7">
        <f>IF(96&gt;=1,('Testes estatísticos'!$D$6+'Testes estatísticos'!$D$101)/2,"")</f>
        <v>-2.7204535000000014</v>
      </c>
      <c r="CT179" s="7">
        <f>IF(97&gt;=1,('Testes estatísticos'!$D$6+'Testes estatísticos'!$D$102)/2,"")</f>
        <v>-2.4874030000000005</v>
      </c>
      <c r="CU179" s="7">
        <f>IF(98&gt;=1,('Testes estatísticos'!$D$6+'Testes estatísticos'!$D$103)/2,"")</f>
        <v>-2.4300769999999972</v>
      </c>
      <c r="CV179" s="7">
        <f>IF(99&gt;=1,('Testes estatísticos'!$D$6+'Testes estatísticos'!$D$104)/2,"")</f>
        <v>-2.8649029999999982</v>
      </c>
      <c r="CW179" s="7">
        <f>IF(100&gt;=1,('Testes estatísticos'!$D$6+'Testes estatísticos'!$D$105)/2,"")</f>
        <v>-2.9643689999999978</v>
      </c>
      <c r="CX179" s="7">
        <f>IF(101&gt;=1,('Testes estatísticos'!$D$6+'Testes estatísticos'!$D$106)/2,"")</f>
        <v>-2.4414424999999973</v>
      </c>
      <c r="CY179" s="7">
        <f>IF(102&gt;=1,('Testes estatísticos'!$D$6+'Testes estatísticos'!$D$107)/2,"")</f>
        <v>-2.4971074999999985</v>
      </c>
      <c r="CZ179" s="7">
        <f>IF(103&gt;=1,('Testes estatísticos'!$D$6+'Testes estatísticos'!$D$108)/2,"")</f>
        <v>-3.0212739999999982</v>
      </c>
      <c r="DA179" s="7">
        <f>IF(104&gt;=1,('Testes estatísticos'!$D$6+'Testes estatísticos'!$D$109)/2,"")</f>
        <v>-2.7586399999999962</v>
      </c>
      <c r="DB179" s="7">
        <f>IF(105&gt;=1,('Testes estatísticos'!$D$6+'Testes estatísticos'!$D$110)/2,"")</f>
        <v>-2.7243089999999981</v>
      </c>
      <c r="DC179" s="7">
        <f>IF(106&gt;=1,('Testes estatísticos'!$D$6+'Testes estatísticos'!$D$111)/2,"")</f>
        <v>-1.981387999999999</v>
      </c>
      <c r="DD179" s="7">
        <f>IF(107&gt;=1,('Testes estatísticos'!$D$6+'Testes estatísticos'!$D$112)/2,"")</f>
        <v>1.5117830000000012</v>
      </c>
      <c r="DE179" s="7">
        <f>IF(108&gt;=1,('Testes estatísticos'!$D$6+'Testes estatísticos'!$D$113)/2,"")</f>
        <v>-1.9108524999999972</v>
      </c>
      <c r="DF179" s="7">
        <f>IF(109&gt;=1,('Testes estatísticos'!$D$6+'Testes estatísticos'!$D$114)/2,"")</f>
        <v>-1.9471094999999963</v>
      </c>
      <c r="DG179" s="7">
        <f>IF(110&gt;=1,('Testes estatísticos'!$D$6+'Testes estatísticos'!$D$115)/2,"")</f>
        <v>-7.4942489999999999</v>
      </c>
      <c r="DH179" s="7">
        <f>IF(111&gt;=1,('Testes estatísticos'!$D$6+'Testes estatísticos'!$D$116)/2,"")</f>
        <v>-1.8134184999999974</v>
      </c>
      <c r="DI179" s="7">
        <f>IF(112&gt;=1,('Testes estatísticos'!$D$6+'Testes estatísticos'!$D$117)/2,"")</f>
        <v>3.615021500000001</v>
      </c>
      <c r="DJ179" s="7">
        <f>IF(113&gt;=1,('Testes estatísticos'!$D$6+'Testes estatísticos'!$D$118)/2,"")</f>
        <v>-1.8415354999999991</v>
      </c>
      <c r="DK179" s="7">
        <f>IF(114&gt;=1,('Testes estatísticos'!$D$6+'Testes estatísticos'!$D$119)/2,"")</f>
        <v>-1.9432854999999982</v>
      </c>
      <c r="DL179" s="7">
        <f>IF(115&gt;=1,('Testes estatísticos'!$D$6+'Testes estatísticos'!$D$120)/2,"")</f>
        <v>-1.8968079999999965</v>
      </c>
      <c r="DM179" s="7">
        <f>IF(116&gt;=1,('Testes estatísticos'!$D$6+'Testes estatísticos'!$D$121)/2,"")</f>
        <v>-1.888205499999998</v>
      </c>
      <c r="DN179" s="7">
        <f>IF(117&gt;=1,('Testes estatísticos'!$D$6+'Testes estatísticos'!$D$122)/2,"")</f>
        <v>-1.8651374999999994</v>
      </c>
      <c r="DO179" s="7">
        <f>IF(118&gt;=1,('Testes estatísticos'!$D$6+'Testes estatísticos'!$D$123)/2,"")</f>
        <v>-1.8152270000000001</v>
      </c>
      <c r="DP179" s="7">
        <f>IF(119&gt;=1,('Testes estatísticos'!$D$6+'Testes estatísticos'!$D$124)/2,"")</f>
        <v>-1.8364384999999999</v>
      </c>
      <c r="DQ179" s="7">
        <f>IF(120&gt;=1,('Testes estatísticos'!$D$6+'Testes estatísticos'!$D$125)/2,"")</f>
        <v>1.2151760000000031</v>
      </c>
      <c r="DR179" s="7">
        <f>IF(121&gt;=1,('Testes estatísticos'!$D$6+'Testes estatísticos'!$D$126)/2,"")</f>
        <v>-1.5738404999999993</v>
      </c>
      <c r="DS179" s="7">
        <f>IF(122&gt;=1,('Testes estatísticos'!$D$6+'Testes estatísticos'!$D$127)/2,"")</f>
        <v>-2.639248999999996</v>
      </c>
      <c r="DT179" s="7">
        <f>IF(123&gt;=1,('Testes estatísticos'!$D$6+'Testes estatísticos'!$D$128)/2,"")</f>
        <v>3.4296204999999986</v>
      </c>
      <c r="DU179" s="7">
        <f>IF(124&gt;=1,('Testes estatísticos'!$D$6+'Testes estatísticos'!$D$129)/2,"")</f>
        <v>-1.466151</v>
      </c>
      <c r="DV179" s="7">
        <f>IF(125&gt;=1,('Testes estatísticos'!$D$6+'Testes estatísticos'!$D$130)/2,"")</f>
        <v>-0.3078435000000006</v>
      </c>
      <c r="DW179" s="7">
        <f>IF(126&gt;=1,('Testes estatísticos'!$D$6+'Testes estatísticos'!$D$131)/2,"")</f>
        <v>-2.7113194999999983</v>
      </c>
      <c r="DX179" s="7">
        <f>IF(127&gt;=1,('Testes estatísticos'!$D$6+'Testes estatísticos'!$D$132)/2,"")</f>
        <v>-4.7675109999999989</v>
      </c>
      <c r="DY179" s="7">
        <f>IF(128&gt;=1,('Testes estatísticos'!$D$6+'Testes estatísticos'!$D$133)/2,"")</f>
        <v>-5.1086004999999979</v>
      </c>
      <c r="DZ179" s="7">
        <f>IF(129&gt;=1,('Testes estatísticos'!$D$6+'Testes estatísticos'!$D$134)/2,"")</f>
        <v>-8.5323904999999982</v>
      </c>
      <c r="EA179" s="7">
        <f>IF(130&gt;=1,('Testes estatísticos'!$D$6+'Testes estatísticos'!$D$135)/2,"")</f>
        <v>-2.7706204999999962</v>
      </c>
      <c r="EB179" s="7">
        <f>IF(131&gt;=1,('Testes estatísticos'!$D$6+'Testes estatísticos'!$D$136)/2,"")</f>
        <v>-2.6827475000000014</v>
      </c>
      <c r="EC179" s="7">
        <f>IF(132&gt;=1,('Testes estatísticos'!$D$6+'Testes estatísticos'!$D$137)/2,"")</f>
        <v>-4.1694840000000006</v>
      </c>
      <c r="ED179" s="7">
        <f>IF(133&gt;=1,('Testes estatísticos'!$D$6+'Testes estatísticos'!$D$138)/2,"")</f>
        <v>-1.9805464999999991</v>
      </c>
      <c r="EE179" s="7">
        <f>IF(134&gt;=1,('Testes estatísticos'!$D$6+'Testes estatísticos'!$D$139)/2,"")</f>
        <v>-4.2777370000000019</v>
      </c>
      <c r="EF179" s="7">
        <f>IF(135&gt;=1,('Testes estatísticos'!$D$6+'Testes estatísticos'!$D$140)/2,"")</f>
        <v>-1.0633044999999974</v>
      </c>
      <c r="EG179" s="7">
        <f>IF(136&gt;=1,('Testes estatísticos'!$D$6+'Testes estatísticos'!$D$141)/2,"")</f>
        <v>-2.7567945000000016</v>
      </c>
      <c r="EH179" s="7">
        <f>IF(137&gt;=1,('Testes estatísticos'!$D$6+'Testes estatísticos'!$D$142)/2,"")</f>
        <v>-1.0520545000000006</v>
      </c>
      <c r="EI179" s="7">
        <f>IF(138&gt;=1,('Testes estatísticos'!$D$6+'Testes estatísticos'!$D$143)/2,"")</f>
        <v>-2.7170699999999961</v>
      </c>
    </row>
    <row r="180" spans="1:151" x14ac:dyDescent="0.3">
      <c r="B180" s="7" t="str">
        <f>IF(1&gt;=2,('Testes estatísticos'!$D$7+'Testes estatísticos'!$D$6)/2,"")</f>
        <v/>
      </c>
      <c r="C180" s="7">
        <f>IF(2&gt;=2,('Testes estatísticos'!$D$7+'Testes estatísticos'!$D$7)/2,"")</f>
        <v>-5.7842389999999995</v>
      </c>
      <c r="D180" s="7">
        <f>IF(3&gt;=2,('Testes estatísticos'!$D$7+'Testes estatísticos'!$D$8)/2,"")</f>
        <v>-1.3198744999999974</v>
      </c>
      <c r="E180" s="7">
        <f>IF(4&gt;=2,('Testes estatísticos'!$D$7+'Testes estatísticos'!$D$9)/2,"")</f>
        <v>-5.9731400000000008</v>
      </c>
      <c r="F180" s="7">
        <f>IF(5&gt;=2,('Testes estatísticos'!$D$7+'Testes estatísticos'!$D$10)/2,"")</f>
        <v>-3.6232775000000004</v>
      </c>
      <c r="G180" s="7">
        <f>IF(6&gt;=2,('Testes estatísticos'!$D$7+'Testes estatísticos'!$D$11)/2,"")</f>
        <v>-0.5355755000000002</v>
      </c>
      <c r="H180" s="7">
        <f>IF(7&gt;=2,('Testes estatísticos'!$D$7+'Testes estatísticos'!$D$12)/2,"")</f>
        <v>-7.3927849999999964</v>
      </c>
      <c r="I180" s="7">
        <f>IF(8&gt;=2,('Testes estatísticos'!$D$7+'Testes estatísticos'!$D$13)/2,"")</f>
        <v>-3.5225590000000011</v>
      </c>
      <c r="J180" s="7">
        <f>IF(9&gt;=2,('Testes estatísticos'!$D$7+'Testes estatísticos'!$D$14)/2,"")</f>
        <v>-2.8695000000000022</v>
      </c>
      <c r="K180" s="7">
        <f>IF(10&gt;=2,('Testes estatísticos'!$D$7+'Testes estatísticos'!$D$15)/2,"")</f>
        <v>-3.1773150000000001</v>
      </c>
      <c r="L180" s="7">
        <f>IF(11&gt;=2,('Testes estatísticos'!$D$7+'Testes estatísticos'!$D$16)/2,"")</f>
        <v>-3.770935999999999</v>
      </c>
      <c r="M180" s="7">
        <f>IF(12&gt;=2,('Testes estatísticos'!$D$7+'Testes estatísticos'!$D$17)/2,"")</f>
        <v>-7.0402089999999973</v>
      </c>
      <c r="N180" s="7">
        <f>IF(13&gt;=2,('Testes estatísticos'!$D$7+'Testes estatísticos'!$D$18)/2,"")</f>
        <v>-1.1865230000000011</v>
      </c>
      <c r="O180" s="7">
        <f>IF(14&gt;=2,('Testes estatísticos'!$D$7+'Testes estatísticos'!$D$19)/2,"")</f>
        <v>-2.5288159999999991</v>
      </c>
      <c r="P180" s="7">
        <f>IF(15&gt;=2,('Testes estatísticos'!$D$7+'Testes estatísticos'!$D$20)/2,"")</f>
        <v>-1.1091124999999984</v>
      </c>
      <c r="Q180" s="7">
        <f>IF(16&gt;=2,('Testes estatísticos'!$D$7+'Testes estatísticos'!$D$21)/2,"")</f>
        <v>-8.4089470000000013</v>
      </c>
      <c r="R180" s="7">
        <f>IF(17&gt;=2,('Testes estatísticos'!$D$7+'Testes estatísticos'!$D$22)/2,"")</f>
        <v>-4.9476030000000009</v>
      </c>
      <c r="S180" s="7">
        <f>IF(18&gt;=2,('Testes estatísticos'!$D$7+'Testes estatísticos'!$D$23)/2,"")</f>
        <v>-6.0217165000000001</v>
      </c>
      <c r="T180" s="7">
        <f>IF(19&gt;=2,('Testes estatísticos'!$D$7+'Testes estatísticos'!$D$24)/2,"")</f>
        <v>-5.6232755000000019</v>
      </c>
      <c r="U180" s="7">
        <f>IF(20&gt;=2,('Testes estatísticos'!$D$7+'Testes estatísticos'!$D$25)/2,"")</f>
        <v>-6.5686434999999967</v>
      </c>
      <c r="V180" s="7">
        <f>IF(21&gt;=2,('Testes estatísticos'!$D$7+'Testes estatísticos'!$D$26)/2,"")</f>
        <v>-4.709958499999999</v>
      </c>
      <c r="W180" s="7">
        <f>IF(22&gt;=2,('Testes estatísticos'!$D$7+'Testes estatísticos'!$D$27)/2,"")</f>
        <v>-4.7461880000000001</v>
      </c>
      <c r="X180" s="7">
        <f>IF(23&gt;=2,('Testes estatísticos'!$D$7+'Testes estatísticos'!$D$28)/2,"")</f>
        <v>-4.8690654999999978</v>
      </c>
      <c r="Y180" s="7">
        <f>IF(24&gt;=2,('Testes estatísticos'!$D$7+'Testes estatísticos'!$D$29)/2,"")</f>
        <v>-4.305885</v>
      </c>
      <c r="Z180" s="7">
        <f>IF(25&gt;=2,('Testes estatísticos'!$D$7+'Testes estatísticos'!$D$30)/2,"")</f>
        <v>-3.9923220000000015</v>
      </c>
      <c r="AA180" s="7">
        <f>IF(26&gt;=2,('Testes estatísticos'!$D$7+'Testes estatísticos'!$D$31)/2,"")</f>
        <v>-3.9888514999999991</v>
      </c>
      <c r="AB180" s="7">
        <f>IF(27&gt;=2,('Testes estatísticos'!$D$7+'Testes estatísticos'!$D$32)/2,"")</f>
        <v>-4.0934604999999991</v>
      </c>
      <c r="AC180" s="7">
        <f>IF(28&gt;=2,('Testes estatísticos'!$D$7+'Testes estatísticos'!$D$33)/2,"")</f>
        <v>-4.0337460000000007</v>
      </c>
      <c r="AD180" s="7">
        <f>IF(29&gt;=2,('Testes estatísticos'!$D$7+'Testes estatísticos'!$D$34)/2,"")</f>
        <v>-3.3044840000000022</v>
      </c>
      <c r="AE180" s="7">
        <f>IF(30&gt;=2,('Testes estatísticos'!$D$7+'Testes estatísticos'!$D$35)/2,"")</f>
        <v>-4.618030000000001</v>
      </c>
      <c r="AF180" s="7">
        <f>IF(31&gt;=2,('Testes estatísticos'!$D$7+'Testes estatísticos'!$D$36)/2,"")</f>
        <v>-4.9604244999999985</v>
      </c>
      <c r="AG180" s="7">
        <f>IF(32&gt;=2,('Testes estatísticos'!$D$7+'Testes estatísticos'!$D$37)/2,"")</f>
        <v>-3.8568040000000003</v>
      </c>
      <c r="AH180" s="7">
        <f>IF(33&gt;=2,('Testes estatísticos'!$D$7+'Testes estatísticos'!$D$38)/2,"")</f>
        <v>-4.0223435000000016</v>
      </c>
      <c r="AI180" s="7">
        <f>IF(34&gt;=2,('Testes estatísticos'!$D$7+'Testes estatísticos'!$D$39)/2,"")</f>
        <v>-1.2057974999999992</v>
      </c>
      <c r="AJ180" s="7">
        <f>IF(35&gt;=2,('Testes estatísticos'!$D$7+'Testes estatísticos'!$D$40)/2,"")</f>
        <v>-3.9472954999999992</v>
      </c>
      <c r="AK180" s="7">
        <f>IF(36&gt;=2,('Testes estatísticos'!$D$7+'Testes estatísticos'!$D$41)/2,"")</f>
        <v>-1.6793510000000005</v>
      </c>
      <c r="AL180" s="7">
        <f>IF(37&gt;=2,('Testes estatísticos'!$D$7+'Testes estatísticos'!$D$42)/2,"")</f>
        <v>-3.9579120000000003</v>
      </c>
      <c r="AM180" s="7">
        <f>IF(38&gt;=2,('Testes estatísticos'!$D$7+'Testes estatísticos'!$D$43)/2,"")</f>
        <v>-3.9450524999999992</v>
      </c>
      <c r="AN180" s="7">
        <f>IF(39&gt;=2,('Testes estatísticos'!$D$7+'Testes estatísticos'!$D$44)/2,"")</f>
        <v>-5.0820465000000006</v>
      </c>
      <c r="AO180" s="7">
        <f>IF(40&gt;=2,('Testes estatísticos'!$D$7+'Testes estatísticos'!$D$45)/2,"")</f>
        <v>-1.1071200000000019</v>
      </c>
      <c r="AP180" s="7">
        <f>IF(41&gt;=2,('Testes estatísticos'!$D$7+'Testes estatísticos'!$D$46)/2,"")</f>
        <v>-3.6130594999999985</v>
      </c>
      <c r="AQ180" s="7">
        <f>IF(42&gt;=2,('Testes estatísticos'!$D$7+'Testes estatísticos'!$D$47)/2,"")</f>
        <v>-2.4707004999999995</v>
      </c>
      <c r="AR180" s="7">
        <f>IF(43&gt;=2,('Testes estatísticos'!$D$7+'Testes estatísticos'!$D$48)/2,"")</f>
        <v>-3.5196144999999994</v>
      </c>
      <c r="AS180" s="7">
        <f>IF(44&gt;=2,('Testes estatísticos'!$D$7+'Testes estatísticos'!$D$49)/2,"")</f>
        <v>-4.0507375000000003</v>
      </c>
      <c r="AT180" s="7">
        <f>IF(45&gt;=2,('Testes estatísticos'!$D$7+'Testes estatísticos'!$D$50)/2,"")</f>
        <v>-3.2216589999999989</v>
      </c>
      <c r="AU180" s="7">
        <f>IF(46&gt;=2,('Testes estatísticos'!$D$7+'Testes estatísticos'!$D$51)/2,"")</f>
        <v>-6.2528550000000003</v>
      </c>
      <c r="AV180" s="7">
        <f>IF(47&gt;=2,('Testes estatísticos'!$D$7+'Testes estatísticos'!$D$52)/2,"")</f>
        <v>-1.1826819999999998</v>
      </c>
      <c r="AW180" s="7">
        <f>IF(48&gt;=2,('Testes estatísticos'!$D$7+'Testes estatísticos'!$D$53)/2,"")</f>
        <v>-5.6187129999999996</v>
      </c>
      <c r="AX180" s="7">
        <f>IF(49&gt;=2,('Testes estatísticos'!$D$7+'Testes estatísticos'!$D$54)/2,"")</f>
        <v>-4.3589224999999985</v>
      </c>
      <c r="AY180" s="7">
        <f>IF(50&gt;=2,('Testes estatísticos'!$D$7+'Testes estatísticos'!$D$55)/2,"")</f>
        <v>-2.7337579999999981</v>
      </c>
      <c r="AZ180" s="7">
        <f>IF(51&gt;=2,('Testes estatísticos'!$D$7+'Testes estatísticos'!$D$56)/2,"")</f>
        <v>-2.6892885</v>
      </c>
      <c r="BA180" s="7">
        <f>IF(52&gt;=2,('Testes estatísticos'!$D$7+'Testes estatísticos'!$D$57)/2,"")</f>
        <v>-6.0975044999999994</v>
      </c>
      <c r="BB180" s="7">
        <f>IF(53&gt;=2,('Testes estatísticos'!$D$7+'Testes estatísticos'!$D$58)/2,"")</f>
        <v>-2.6887419999999977</v>
      </c>
      <c r="BC180" s="7">
        <f>IF(54&gt;=2,('Testes estatísticos'!$D$7+'Testes estatísticos'!$D$59)/2,"")</f>
        <v>-3.6083844999999997</v>
      </c>
      <c r="BD180" s="7">
        <f>IF(55&gt;=2,('Testes estatísticos'!$D$7+'Testes estatísticos'!$D$60)/2,"")</f>
        <v>-0.51271350000000027</v>
      </c>
      <c r="BE180" s="7">
        <f>IF(56&gt;=2,('Testes estatísticos'!$D$7+'Testes estatísticos'!$D$61)/2,"")</f>
        <v>-3.1426819999999971</v>
      </c>
      <c r="BF180" s="7">
        <f>IF(57&gt;=2,('Testes estatísticos'!$D$7+'Testes estatísticos'!$D$62)/2,"")</f>
        <v>-6.5428720000000027</v>
      </c>
      <c r="BG180" s="7">
        <f>IF(58&gt;=2,('Testes estatísticos'!$D$7+'Testes estatísticos'!$D$63)/2,"")</f>
        <v>-1.2769769999999987</v>
      </c>
      <c r="BH180" s="7">
        <f>IF(59&gt;=2,('Testes estatísticos'!$D$7+'Testes estatísticos'!$D$64)/2,"")</f>
        <v>-7.1205895000000012</v>
      </c>
      <c r="BI180" s="7">
        <f>IF(60&gt;=2,('Testes estatísticos'!$D$7+'Testes estatísticos'!$D$65)/2,"")</f>
        <v>-5.3729984999999978</v>
      </c>
      <c r="BJ180" s="7">
        <f>IF(61&gt;=2,('Testes estatísticos'!$D$7+'Testes estatísticos'!$D$66)/2,"")</f>
        <v>-2.7379435000000001</v>
      </c>
      <c r="BK180" s="7">
        <f>IF(62&gt;=2,('Testes estatísticos'!$D$7+'Testes estatísticos'!$D$67)/2,"")</f>
        <v>-3.2467384999999993</v>
      </c>
      <c r="BL180" s="7">
        <f>IF(63&gt;=2,('Testes estatísticos'!$D$7+'Testes estatísticos'!$D$68)/2,"")</f>
        <v>-2.3474240000000002</v>
      </c>
      <c r="BM180" s="7">
        <f>IF(64&gt;=2,('Testes estatísticos'!$D$7+'Testes estatísticos'!$D$69)/2,"")</f>
        <v>-2.2965820000000008</v>
      </c>
      <c r="BN180" s="7">
        <f>IF(65&gt;=2,('Testes estatísticos'!$D$7+'Testes estatísticos'!$D$70)/2,"")</f>
        <v>-4.4423884999999999</v>
      </c>
      <c r="BO180" s="7">
        <f>IF(66&gt;=2,('Testes estatísticos'!$D$7+'Testes estatísticos'!$D$71)/2,"")</f>
        <v>-3.5465359999999997</v>
      </c>
      <c r="BP180" s="7">
        <f>IF(67&gt;=2,('Testes estatísticos'!$D$7+'Testes estatísticos'!$D$72)/2,"")</f>
        <v>-6.4369949999999996</v>
      </c>
      <c r="BQ180" s="7">
        <f>IF(68&gt;=2,('Testes estatísticos'!$D$7+'Testes estatísticos'!$D$73)/2,"")</f>
        <v>-1.7737620000000014</v>
      </c>
      <c r="BR180" s="7">
        <f>IF(69&gt;=2,('Testes estatísticos'!$D$7+'Testes estatísticos'!$D$74)/2,"")</f>
        <v>-1.1415800000000011</v>
      </c>
      <c r="BS180" s="7">
        <f>IF(70&gt;=2,('Testes estatísticos'!$D$7+'Testes estatísticos'!$D$75)/2,"")</f>
        <v>-2.1460445000000021</v>
      </c>
      <c r="BT180" s="7">
        <f>IF(71&gt;=2,('Testes estatísticos'!$D$7+'Testes estatísticos'!$D$76)/2,"")</f>
        <v>-0.57167950000000189</v>
      </c>
      <c r="BU180" s="7">
        <f>IF(72&gt;=2,('Testes estatísticos'!$D$7+'Testes estatísticos'!$D$77)/2,"")</f>
        <v>-6.1713765000000009</v>
      </c>
      <c r="BV180" s="7">
        <f>IF(73&gt;=2,('Testes estatísticos'!$D$7+'Testes estatísticos'!$D$78)/2,"")</f>
        <v>-4.0979020000000013</v>
      </c>
      <c r="BW180" s="7">
        <f>IF(74&gt;=2,('Testes estatísticos'!$D$7+'Testes estatísticos'!$D$79)/2,"")</f>
        <v>-4.7812204999999999</v>
      </c>
      <c r="BX180" s="7">
        <f>IF(75&gt;=2,('Testes estatísticos'!$D$7+'Testes estatísticos'!$D$80)/2,"")</f>
        <v>-4.8029985000000011</v>
      </c>
      <c r="BY180" s="7">
        <f>IF(76&gt;=2,('Testes estatísticos'!$D$7+'Testes estatísticos'!$D$81)/2,"")</f>
        <v>-0.67154049999999899</v>
      </c>
      <c r="BZ180" s="7">
        <f>IF(77&gt;=2,('Testes estatísticos'!$D$7+'Testes estatísticos'!$D$82)/2,"")</f>
        <v>-5.9331299999999985</v>
      </c>
      <c r="CA180" s="7">
        <f>IF(78&gt;=2,('Testes estatísticos'!$D$7+'Testes estatísticos'!$D$83)/2,"")</f>
        <v>-4.1728709999999971</v>
      </c>
      <c r="CB180" s="7">
        <f>IF(79&gt;=2,('Testes estatísticos'!$D$7+'Testes estatísticos'!$D$84)/2,"")</f>
        <v>-4.1211485000000003</v>
      </c>
      <c r="CC180" s="7">
        <f>IF(80&gt;=2,('Testes estatísticos'!$D$7+'Testes estatísticos'!$D$85)/2,"")</f>
        <v>-5.9281649999999999</v>
      </c>
      <c r="CD180" s="7">
        <f>IF(81&gt;=2,('Testes estatísticos'!$D$7+'Testes estatísticos'!$D$86)/2,"")</f>
        <v>-5.9783100000000005</v>
      </c>
      <c r="CE180" s="7">
        <f>IF(82&gt;=2,('Testes estatísticos'!$D$7+'Testes estatísticos'!$D$87)/2,"")</f>
        <v>-3.9005195000000015</v>
      </c>
      <c r="CF180" s="7">
        <f>IF(83&gt;=2,('Testes estatísticos'!$D$7+'Testes estatísticos'!$D$88)/2,"")</f>
        <v>-4.4293265000000019</v>
      </c>
      <c r="CG180" s="7">
        <f>IF(84&gt;=2,('Testes estatísticos'!$D$7+'Testes estatísticos'!$D$89)/2,"")</f>
        <v>-4.7612334999999995</v>
      </c>
      <c r="CH180" s="7">
        <f>IF(85&gt;=2,('Testes estatísticos'!$D$7+'Testes estatísticos'!$D$90)/2,"")</f>
        <v>-2.9456865000000008</v>
      </c>
      <c r="CI180" s="7">
        <f>IF(86&gt;=2,('Testes estatísticos'!$D$7+'Testes estatísticos'!$D$91)/2,"")</f>
        <v>-5.6358459999999972</v>
      </c>
      <c r="CJ180" s="7">
        <f>IF(87&gt;=2,('Testes estatísticos'!$D$7+'Testes estatísticos'!$D$92)/2,"")</f>
        <v>-4.393639499999999</v>
      </c>
      <c r="CK180" s="7">
        <f>IF(88&gt;=2,('Testes estatísticos'!$D$7+'Testes estatísticos'!$D$93)/2,"")</f>
        <v>-4.1495560000000005</v>
      </c>
      <c r="CL180" s="7">
        <f>IF(89&gt;=2,('Testes estatísticos'!$D$7+'Testes estatísticos'!$D$94)/2,"")</f>
        <v>-4.7611480000000022</v>
      </c>
      <c r="CM180" s="7">
        <f>IF(90&gt;=2,('Testes estatísticos'!$D$7+'Testes estatísticos'!$D$95)/2,"")</f>
        <v>-7.0952799999999989</v>
      </c>
      <c r="CN180" s="7">
        <f>IF(91&gt;=2,('Testes estatísticos'!$D$7+'Testes estatísticos'!$D$96)/2,"")</f>
        <v>-4.5567569999999975</v>
      </c>
      <c r="CO180" s="7">
        <f>IF(92&gt;=2,('Testes estatísticos'!$D$7+'Testes estatísticos'!$D$97)/2,"")</f>
        <v>-4.9032604999999982</v>
      </c>
      <c r="CP180" s="7">
        <f>IF(93&gt;=2,('Testes estatísticos'!$D$7+'Testes estatísticos'!$D$98)/2,"")</f>
        <v>-5.1080124999999974</v>
      </c>
      <c r="CQ180" s="7">
        <f>IF(94&gt;=2,('Testes estatísticos'!$D$7+'Testes estatísticos'!$D$99)/2,"")</f>
        <v>-2.926854500000001</v>
      </c>
      <c r="CR180" s="7">
        <f>IF(95&gt;=2,('Testes estatísticos'!$D$7+'Testes estatísticos'!$D$100)/2,"")</f>
        <v>-4.8326475000000002</v>
      </c>
      <c r="CS180" s="7">
        <f>IF(96&gt;=2,('Testes estatísticos'!$D$7+'Testes estatísticos'!$D$101)/2,"")</f>
        <v>-4.7886605000000024</v>
      </c>
      <c r="CT180" s="7">
        <f>IF(97&gt;=2,('Testes estatísticos'!$D$7+'Testes estatísticos'!$D$102)/2,"")</f>
        <v>-4.5556100000000015</v>
      </c>
      <c r="CU180" s="7">
        <f>IF(98&gt;=2,('Testes estatísticos'!$D$7+'Testes estatísticos'!$D$103)/2,"")</f>
        <v>-4.4982839999999982</v>
      </c>
      <c r="CV180" s="7">
        <f>IF(99&gt;=2,('Testes estatísticos'!$D$7+'Testes estatísticos'!$D$104)/2,"")</f>
        <v>-4.9331099999999992</v>
      </c>
      <c r="CW180" s="7">
        <f>IF(100&gt;=2,('Testes estatísticos'!$D$7+'Testes estatísticos'!$D$105)/2,"")</f>
        <v>-5.0325759999999988</v>
      </c>
      <c r="CX180" s="7">
        <f>IF(101&gt;=2,('Testes estatísticos'!$D$7+'Testes estatísticos'!$D$106)/2,"")</f>
        <v>-4.5096494999999983</v>
      </c>
      <c r="CY180" s="7">
        <f>IF(102&gt;=2,('Testes estatísticos'!$D$7+'Testes estatísticos'!$D$107)/2,"")</f>
        <v>-4.5653144999999995</v>
      </c>
      <c r="CZ180" s="7">
        <f>IF(103&gt;=2,('Testes estatísticos'!$D$7+'Testes estatísticos'!$D$108)/2,"")</f>
        <v>-5.0894809999999993</v>
      </c>
      <c r="DA180" s="7">
        <f>IF(104&gt;=2,('Testes estatísticos'!$D$7+'Testes estatísticos'!$D$109)/2,"")</f>
        <v>-4.8268469999999972</v>
      </c>
      <c r="DB180" s="7">
        <f>IF(105&gt;=2,('Testes estatísticos'!$D$7+'Testes estatísticos'!$D$110)/2,"")</f>
        <v>-4.7925159999999991</v>
      </c>
      <c r="DC180" s="7">
        <f>IF(106&gt;=2,('Testes estatísticos'!$D$7+'Testes estatísticos'!$D$111)/2,"")</f>
        <v>-4.0495950000000001</v>
      </c>
      <c r="DD180" s="7">
        <f>IF(107&gt;=2,('Testes estatísticos'!$D$7+'Testes estatísticos'!$D$112)/2,"")</f>
        <v>-0.55642399999999981</v>
      </c>
      <c r="DE180" s="7">
        <f>IF(108&gt;=2,('Testes estatísticos'!$D$7+'Testes estatísticos'!$D$113)/2,"")</f>
        <v>-3.9790594999999982</v>
      </c>
      <c r="DF180" s="7">
        <f>IF(109&gt;=2,('Testes estatísticos'!$D$7+'Testes estatísticos'!$D$114)/2,"")</f>
        <v>-4.0153164999999973</v>
      </c>
      <c r="DG180" s="7">
        <f>IF(110&gt;=2,('Testes estatísticos'!$D$7+'Testes estatísticos'!$D$115)/2,"")</f>
        <v>-9.562456000000001</v>
      </c>
      <c r="DH180" s="7">
        <f>IF(111&gt;=2,('Testes estatísticos'!$D$7+'Testes estatísticos'!$D$116)/2,"")</f>
        <v>-3.8816254999999984</v>
      </c>
      <c r="DI180" s="7">
        <f>IF(112&gt;=2,('Testes estatísticos'!$D$7+'Testes estatísticos'!$D$117)/2,"")</f>
        <v>1.5468145</v>
      </c>
      <c r="DJ180" s="7">
        <f>IF(113&gt;=2,('Testes estatísticos'!$D$7+'Testes estatísticos'!$D$118)/2,"")</f>
        <v>-3.9097425000000001</v>
      </c>
      <c r="DK180" s="7">
        <f>IF(114&gt;=2,('Testes estatísticos'!$D$7+'Testes estatísticos'!$D$119)/2,"")</f>
        <v>-4.0114924999999992</v>
      </c>
      <c r="DL180" s="7">
        <f>IF(115&gt;=2,('Testes estatísticos'!$D$7+'Testes estatísticos'!$D$120)/2,"")</f>
        <v>-3.9650149999999975</v>
      </c>
      <c r="DM180" s="7">
        <f>IF(116&gt;=2,('Testes estatísticos'!$D$7+'Testes estatísticos'!$D$121)/2,"")</f>
        <v>-3.956412499999999</v>
      </c>
      <c r="DN180" s="7">
        <f>IF(117&gt;=2,('Testes estatísticos'!$D$7+'Testes estatísticos'!$D$122)/2,"")</f>
        <v>-3.9333445000000005</v>
      </c>
      <c r="DO180" s="7">
        <f>IF(118&gt;=2,('Testes estatísticos'!$D$7+'Testes estatísticos'!$D$123)/2,"")</f>
        <v>-3.8834340000000012</v>
      </c>
      <c r="DP180" s="7">
        <f>IF(119&gt;=2,('Testes estatísticos'!$D$7+'Testes estatísticos'!$D$124)/2,"")</f>
        <v>-3.9046455000000009</v>
      </c>
      <c r="DQ180" s="7">
        <f>IF(120&gt;=2,('Testes estatísticos'!$D$7+'Testes estatísticos'!$D$125)/2,"")</f>
        <v>-0.85303099999999787</v>
      </c>
      <c r="DR180" s="7">
        <f>IF(121&gt;=2,('Testes estatísticos'!$D$7+'Testes estatísticos'!$D$126)/2,"")</f>
        <v>-3.6420475000000003</v>
      </c>
      <c r="DS180" s="7">
        <f>IF(122&gt;=2,('Testes estatísticos'!$D$7+'Testes estatísticos'!$D$127)/2,"")</f>
        <v>-4.707455999999997</v>
      </c>
      <c r="DT180" s="7">
        <f>IF(123&gt;=2,('Testes estatísticos'!$D$7+'Testes estatísticos'!$D$128)/2,"")</f>
        <v>1.3614134999999976</v>
      </c>
      <c r="DU180" s="7">
        <f>IF(124&gt;=2,('Testes estatísticos'!$D$7+'Testes estatísticos'!$D$129)/2,"")</f>
        <v>-3.534358000000001</v>
      </c>
      <c r="DV180" s="7">
        <f>IF(125&gt;=2,('Testes estatísticos'!$D$7+'Testes estatísticos'!$D$130)/2,"")</f>
        <v>-2.3760505000000016</v>
      </c>
      <c r="DW180" s="7">
        <f>IF(126&gt;=2,('Testes estatísticos'!$D$7+'Testes estatísticos'!$D$131)/2,"")</f>
        <v>-4.7795264999999993</v>
      </c>
      <c r="DX180" s="7">
        <f>IF(127&gt;=2,('Testes estatísticos'!$D$7+'Testes estatísticos'!$D$132)/2,"")</f>
        <v>-6.835718</v>
      </c>
      <c r="DY180" s="7">
        <f>IF(128&gt;=2,('Testes estatísticos'!$D$7+'Testes estatísticos'!$D$133)/2,"")</f>
        <v>-7.1768074999999989</v>
      </c>
      <c r="DZ180" s="7">
        <f>IF(129&gt;=2,('Testes estatísticos'!$D$7+'Testes estatísticos'!$D$134)/2,"")</f>
        <v>-10.600597499999999</v>
      </c>
      <c r="EA180" s="7">
        <f>IF(130&gt;=2,('Testes estatísticos'!$D$7+'Testes estatísticos'!$D$135)/2,"")</f>
        <v>-4.8388274999999972</v>
      </c>
      <c r="EB180" s="7">
        <f>IF(131&gt;=2,('Testes estatísticos'!$D$7+'Testes estatísticos'!$D$136)/2,"")</f>
        <v>-4.7509545000000024</v>
      </c>
      <c r="EC180" s="7">
        <f>IF(132&gt;=2,('Testes estatísticos'!$D$7+'Testes estatísticos'!$D$137)/2,"")</f>
        <v>-6.2376910000000017</v>
      </c>
      <c r="ED180" s="7">
        <f>IF(133&gt;=2,('Testes estatísticos'!$D$7+'Testes estatísticos'!$D$138)/2,"")</f>
        <v>-4.0487535000000001</v>
      </c>
      <c r="EE180" s="7">
        <f>IF(134&gt;=2,('Testes estatísticos'!$D$7+'Testes estatísticos'!$D$139)/2,"")</f>
        <v>-6.3459440000000029</v>
      </c>
      <c r="EF180" s="7">
        <f>IF(135&gt;=2,('Testes estatísticos'!$D$7+'Testes estatísticos'!$D$140)/2,"")</f>
        <v>-3.1315114999999984</v>
      </c>
      <c r="EG180" s="7">
        <f>IF(136&gt;=2,('Testes estatísticos'!$D$7+'Testes estatísticos'!$D$141)/2,"")</f>
        <v>-4.8250015000000026</v>
      </c>
      <c r="EH180" s="7">
        <f>IF(137&gt;=2,('Testes estatísticos'!$D$7+'Testes estatísticos'!$D$142)/2,"")</f>
        <v>-3.1202615000000016</v>
      </c>
      <c r="EI180" s="7">
        <f>IF(138&gt;=2,('Testes estatísticos'!$D$7+'Testes estatísticos'!$D$143)/2,"")</f>
        <v>-4.7852769999999971</v>
      </c>
    </row>
    <row r="181" spans="1:151" x14ac:dyDescent="0.3">
      <c r="A181" s="35"/>
      <c r="B181" s="7" t="str">
        <f>IF(1&gt;=3,('Testes estatísticos'!$D$8+'Testes estatísticos'!$D$6)/2,"")</f>
        <v/>
      </c>
      <c r="C181" s="7" t="str">
        <f>IF(2&gt;=3,('Testes estatísticos'!$D$8+'Testes estatísticos'!$D$7)/2,"")</f>
        <v/>
      </c>
      <c r="D181" s="7">
        <f>IF(3&gt;=3,('Testes estatísticos'!$D$8+'Testes estatísticos'!$D$8)/2,"")</f>
        <v>3.1444900000000047</v>
      </c>
      <c r="E181" s="7">
        <f>IF(4&gt;=3,('Testes estatísticos'!$D$8+'Testes estatísticos'!$D$9)/2,"")</f>
        <v>-1.5087754999999987</v>
      </c>
      <c r="F181" s="7">
        <f>IF(5&gt;=3,('Testes estatísticos'!$D$8+'Testes estatísticos'!$D$10)/2,"")</f>
        <v>0.84108700000000169</v>
      </c>
      <c r="G181" s="7">
        <f>IF(6&gt;=3,('Testes estatísticos'!$D$8+'Testes estatísticos'!$D$11)/2,"")</f>
        <v>3.9287890000000019</v>
      </c>
      <c r="H181" s="7">
        <f>IF(7&gt;=3,('Testes estatísticos'!$D$8+'Testes estatísticos'!$D$12)/2,"")</f>
        <v>-2.9284204999999943</v>
      </c>
      <c r="I181" s="7">
        <f>IF(8&gt;=3,('Testes estatísticos'!$D$8+'Testes estatísticos'!$D$13)/2,"")</f>
        <v>0.94180550000000096</v>
      </c>
      <c r="J181" s="7">
        <f>IF(9&gt;=3,('Testes estatísticos'!$D$8+'Testes estatísticos'!$D$14)/2,"")</f>
        <v>1.5948644999999999</v>
      </c>
      <c r="K181" s="7">
        <f>IF(10&gt;=3,('Testes estatísticos'!$D$8+'Testes estatísticos'!$D$15)/2,"")</f>
        <v>1.287049500000002</v>
      </c>
      <c r="L181" s="7">
        <f>IF(11&gt;=3,('Testes estatísticos'!$D$8+'Testes estatísticos'!$D$16)/2,"")</f>
        <v>0.69342850000000311</v>
      </c>
      <c r="M181" s="7">
        <f>IF(12&gt;=3,('Testes estatísticos'!$D$8+'Testes estatísticos'!$D$17)/2,"")</f>
        <v>-2.5758444999999952</v>
      </c>
      <c r="N181" s="7">
        <f>IF(13&gt;=3,('Testes estatísticos'!$D$8+'Testes estatísticos'!$D$18)/2,"")</f>
        <v>3.277841500000001</v>
      </c>
      <c r="O181" s="7">
        <f>IF(14&gt;=3,('Testes estatísticos'!$D$8+'Testes estatísticos'!$D$19)/2,"")</f>
        <v>1.935548500000003</v>
      </c>
      <c r="P181" s="7">
        <f>IF(15&gt;=3,('Testes estatísticos'!$D$8+'Testes estatísticos'!$D$20)/2,"")</f>
        <v>3.3552520000000037</v>
      </c>
      <c r="Q181" s="7">
        <f>IF(16&gt;=3,('Testes estatísticos'!$D$8+'Testes estatísticos'!$D$21)/2,"")</f>
        <v>-3.9445824999999992</v>
      </c>
      <c r="R181" s="7">
        <f>IF(17&gt;=3,('Testes estatísticos'!$D$8+'Testes estatísticos'!$D$22)/2,"")</f>
        <v>-0.48323849999999879</v>
      </c>
      <c r="S181" s="7">
        <f>IF(18&gt;=3,('Testes estatísticos'!$D$8+'Testes estatísticos'!$D$23)/2,"")</f>
        <v>-1.5573519999999981</v>
      </c>
      <c r="T181" s="7">
        <f>IF(19&gt;=3,('Testes estatísticos'!$D$8+'Testes estatísticos'!$D$24)/2,"")</f>
        <v>-1.1589109999999998</v>
      </c>
      <c r="U181" s="7">
        <f>IF(20&gt;=3,('Testes estatísticos'!$D$8+'Testes estatísticos'!$D$25)/2,"")</f>
        <v>-2.1042789999999947</v>
      </c>
      <c r="V181" s="7">
        <f>IF(21&gt;=3,('Testes estatísticos'!$D$8+'Testes estatísticos'!$D$26)/2,"")</f>
        <v>-0.24559399999999698</v>
      </c>
      <c r="W181" s="7">
        <f>IF(22&gt;=3,('Testes estatísticos'!$D$8+'Testes estatísticos'!$D$27)/2,"")</f>
        <v>-0.28182349999999801</v>
      </c>
      <c r="X181" s="7">
        <f>IF(23&gt;=3,('Testes estatísticos'!$D$8+'Testes estatísticos'!$D$28)/2,"")</f>
        <v>-0.40470099999999576</v>
      </c>
      <c r="Y181" s="7">
        <f>IF(24&gt;=3,('Testes estatísticos'!$D$8+'Testes estatísticos'!$D$29)/2,"")</f>
        <v>0.1584795000000021</v>
      </c>
      <c r="Z181" s="7">
        <f>IF(25&gt;=3,('Testes estatísticos'!$D$8+'Testes estatísticos'!$D$30)/2,"")</f>
        <v>0.47204250000000059</v>
      </c>
      <c r="AA181" s="7">
        <f>IF(26&gt;=3,('Testes estatísticos'!$D$8+'Testes estatísticos'!$D$31)/2,"")</f>
        <v>0.47551300000000296</v>
      </c>
      <c r="AB181" s="7">
        <f>IF(27&gt;=3,('Testes estatísticos'!$D$8+'Testes estatísticos'!$D$32)/2,"")</f>
        <v>0.37090400000000301</v>
      </c>
      <c r="AC181" s="7">
        <f>IF(28&gt;=3,('Testes estatísticos'!$D$8+'Testes estatísticos'!$D$33)/2,"")</f>
        <v>0.43061850000000135</v>
      </c>
      <c r="AD181" s="7">
        <f>IF(29&gt;=3,('Testes estatísticos'!$D$8+'Testes estatísticos'!$D$34)/2,"")</f>
        <v>1.1598804999999999</v>
      </c>
      <c r="AE181" s="7">
        <f>IF(30&gt;=3,('Testes estatísticos'!$D$8+'Testes estatísticos'!$D$35)/2,"")</f>
        <v>-0.1536654999999989</v>
      </c>
      <c r="AF181" s="7">
        <f>IF(31&gt;=3,('Testes estatísticos'!$D$8+'Testes estatísticos'!$D$36)/2,"")</f>
        <v>-0.49605999999999639</v>
      </c>
      <c r="AG181" s="7">
        <f>IF(32&gt;=3,('Testes estatísticos'!$D$8+'Testes estatísticos'!$D$37)/2,"")</f>
        <v>0.60756050000000172</v>
      </c>
      <c r="AH181" s="7">
        <f>IF(33&gt;=3,('Testes estatísticos'!$D$8+'Testes estatísticos'!$D$38)/2,"")</f>
        <v>0.44202100000000044</v>
      </c>
      <c r="AI181" s="7">
        <f>IF(34&gt;=3,('Testes estatísticos'!$D$8+'Testes estatísticos'!$D$39)/2,"")</f>
        <v>3.2585670000000029</v>
      </c>
      <c r="AJ181" s="7">
        <f>IF(35&gt;=3,('Testes estatísticos'!$D$8+'Testes estatísticos'!$D$40)/2,"")</f>
        <v>0.51706900000000289</v>
      </c>
      <c r="AK181" s="7">
        <f>IF(36&gt;=3,('Testes estatísticos'!$D$8+'Testes estatísticos'!$D$41)/2,"")</f>
        <v>2.7850135000000016</v>
      </c>
      <c r="AL181" s="7">
        <f>IF(37&gt;=3,('Testes estatísticos'!$D$8+'Testes estatísticos'!$D$42)/2,"")</f>
        <v>0.50645250000000175</v>
      </c>
      <c r="AM181" s="7">
        <f>IF(38&gt;=3,('Testes estatísticos'!$D$8+'Testes estatísticos'!$D$43)/2,"")</f>
        <v>0.51931200000000288</v>
      </c>
      <c r="AN181" s="7">
        <f>IF(39&gt;=3,('Testes estatísticos'!$D$8+'Testes estatísticos'!$D$44)/2,"")</f>
        <v>-0.61768199999999851</v>
      </c>
      <c r="AO181" s="7">
        <f>IF(40&gt;=3,('Testes estatísticos'!$D$8+'Testes estatísticos'!$D$45)/2,"")</f>
        <v>3.3572445000000002</v>
      </c>
      <c r="AP181" s="7">
        <f>IF(41&gt;=3,('Testes estatísticos'!$D$8+'Testes estatísticos'!$D$46)/2,"")</f>
        <v>0.85130500000000353</v>
      </c>
      <c r="AQ181" s="7">
        <f>IF(42&gt;=3,('Testes estatísticos'!$D$8+'Testes estatísticos'!$D$47)/2,"")</f>
        <v>1.9936640000000025</v>
      </c>
      <c r="AR181" s="7">
        <f>IF(43&gt;=3,('Testes estatísticos'!$D$8+'Testes estatísticos'!$D$48)/2,"")</f>
        <v>0.94475000000000264</v>
      </c>
      <c r="AS181" s="7">
        <f>IF(44&gt;=3,('Testes estatísticos'!$D$8+'Testes estatísticos'!$D$49)/2,"")</f>
        <v>0.41362700000000174</v>
      </c>
      <c r="AT181" s="7">
        <f>IF(45&gt;=3,('Testes estatísticos'!$D$8+'Testes estatísticos'!$D$50)/2,"")</f>
        <v>1.2427055000000031</v>
      </c>
      <c r="AU181" s="7">
        <f>IF(46&gt;=3,('Testes estatísticos'!$D$8+'Testes estatísticos'!$D$51)/2,"")</f>
        <v>-1.7884904999999982</v>
      </c>
      <c r="AV181" s="7">
        <f>IF(47&gt;=3,('Testes estatísticos'!$D$8+'Testes estatísticos'!$D$52)/2,"")</f>
        <v>3.2816825000000023</v>
      </c>
      <c r="AW181" s="7">
        <f>IF(48&gt;=3,('Testes estatísticos'!$D$8+'Testes estatísticos'!$D$53)/2,"")</f>
        <v>-1.1543484999999976</v>
      </c>
      <c r="AX181" s="7">
        <f>IF(49&gt;=3,('Testes estatísticos'!$D$8+'Testes estatísticos'!$D$54)/2,"")</f>
        <v>0.10544200000000359</v>
      </c>
      <c r="AY181" s="7">
        <f>IF(50&gt;=3,('Testes estatísticos'!$D$8+'Testes estatísticos'!$D$55)/2,"")</f>
        <v>1.7306065000000039</v>
      </c>
      <c r="AZ181" s="7">
        <f>IF(51&gt;=3,('Testes estatísticos'!$D$8+'Testes estatísticos'!$D$56)/2,"")</f>
        <v>1.7750760000000021</v>
      </c>
      <c r="BA181" s="7">
        <f>IF(52&gt;=3,('Testes estatísticos'!$D$8+'Testes estatísticos'!$D$57)/2,"")</f>
        <v>-1.6331399999999974</v>
      </c>
      <c r="BB181" s="7">
        <f>IF(53&gt;=3,('Testes estatísticos'!$D$8+'Testes estatísticos'!$D$58)/2,"")</f>
        <v>1.7756225000000043</v>
      </c>
      <c r="BC181" s="7">
        <f>IF(54&gt;=3,('Testes estatísticos'!$D$8+'Testes estatísticos'!$D$59)/2,"")</f>
        <v>0.85598000000000241</v>
      </c>
      <c r="BD181" s="7">
        <f>IF(55&gt;=3,('Testes estatísticos'!$D$8+'Testes estatísticos'!$D$60)/2,"")</f>
        <v>3.9516510000000018</v>
      </c>
      <c r="BE181" s="7">
        <f>IF(56&gt;=3,('Testes estatísticos'!$D$8+'Testes estatísticos'!$D$61)/2,"")</f>
        <v>1.321682500000005</v>
      </c>
      <c r="BF181" s="7">
        <f>IF(57&gt;=3,('Testes estatísticos'!$D$8+'Testes estatísticos'!$D$62)/2,"")</f>
        <v>-2.0785075000000006</v>
      </c>
      <c r="BG181" s="7">
        <f>IF(58&gt;=3,('Testes estatísticos'!$D$8+'Testes estatísticos'!$D$63)/2,"")</f>
        <v>3.1873875000000034</v>
      </c>
      <c r="BH181" s="7">
        <f>IF(59&gt;=3,('Testes estatísticos'!$D$8+'Testes estatísticos'!$D$64)/2,"")</f>
        <v>-2.6562249999999992</v>
      </c>
      <c r="BI181" s="7">
        <f>IF(60&gt;=3,('Testes estatísticos'!$D$8+'Testes estatísticos'!$D$65)/2,"")</f>
        <v>-0.90863399999999572</v>
      </c>
      <c r="BJ181" s="7">
        <f>IF(61&gt;=3,('Testes estatísticos'!$D$8+'Testes estatísticos'!$D$66)/2,"")</f>
        <v>1.726421000000002</v>
      </c>
      <c r="BK181" s="7">
        <f>IF(62&gt;=3,('Testes estatísticos'!$D$8+'Testes estatísticos'!$D$67)/2,"")</f>
        <v>1.2176260000000028</v>
      </c>
      <c r="BL181" s="7">
        <f>IF(63&gt;=3,('Testes estatísticos'!$D$8+'Testes estatísticos'!$D$68)/2,"")</f>
        <v>2.1169405000000019</v>
      </c>
      <c r="BM181" s="7">
        <f>IF(64&gt;=3,('Testes estatísticos'!$D$8+'Testes estatísticos'!$D$69)/2,"")</f>
        <v>2.1677825000000013</v>
      </c>
      <c r="BN181" s="7">
        <f>IF(65&gt;=3,('Testes estatísticos'!$D$8+'Testes estatísticos'!$D$70)/2,"")</f>
        <v>2.1976000000002216E-2</v>
      </c>
      <c r="BO181" s="7">
        <f>IF(66&gt;=3,('Testes estatísticos'!$D$8+'Testes estatísticos'!$D$71)/2,"")</f>
        <v>0.91782850000000238</v>
      </c>
      <c r="BP181" s="7">
        <f>IF(67&gt;=3,('Testes estatísticos'!$D$8+'Testes estatísticos'!$D$72)/2,"")</f>
        <v>-1.9726304999999975</v>
      </c>
      <c r="BQ181" s="7">
        <f>IF(68&gt;=3,('Testes estatísticos'!$D$8+'Testes estatísticos'!$D$73)/2,"")</f>
        <v>2.6906025000000007</v>
      </c>
      <c r="BR181" s="7">
        <f>IF(69&gt;=3,('Testes estatísticos'!$D$8+'Testes estatísticos'!$D$74)/2,"")</f>
        <v>3.3227845000000009</v>
      </c>
      <c r="BS181" s="7">
        <f>IF(70&gt;=3,('Testes estatísticos'!$D$8+'Testes estatísticos'!$D$75)/2,"")</f>
        <v>2.3183199999999999</v>
      </c>
      <c r="BT181" s="7">
        <f>IF(71&gt;=3,('Testes estatísticos'!$D$8+'Testes estatísticos'!$D$76)/2,"")</f>
        <v>3.8926850000000002</v>
      </c>
      <c r="BU181" s="7">
        <f>IF(72&gt;=3,('Testes estatísticos'!$D$8+'Testes estatísticos'!$D$77)/2,"")</f>
        <v>-1.7070119999999989</v>
      </c>
      <c r="BV181" s="7">
        <f>IF(73&gt;=3,('Testes estatísticos'!$D$8+'Testes estatísticos'!$D$78)/2,"")</f>
        <v>0.3664625000000008</v>
      </c>
      <c r="BW181" s="7">
        <f>IF(74&gt;=3,('Testes estatísticos'!$D$8+'Testes estatísticos'!$D$79)/2,"")</f>
        <v>-0.31685599999999781</v>
      </c>
      <c r="BX181" s="7">
        <f>IF(75&gt;=3,('Testes estatísticos'!$D$8+'Testes estatísticos'!$D$80)/2,"")</f>
        <v>-0.33863399999999899</v>
      </c>
      <c r="BY181" s="7">
        <f>IF(76&gt;=3,('Testes estatísticos'!$D$8+'Testes estatísticos'!$D$81)/2,"")</f>
        <v>3.7928240000000031</v>
      </c>
      <c r="BZ181" s="7">
        <f>IF(77&gt;=3,('Testes estatísticos'!$D$8+'Testes estatísticos'!$D$82)/2,"")</f>
        <v>-1.4687654999999964</v>
      </c>
      <c r="CA181" s="7">
        <f>IF(78&gt;=3,('Testes estatísticos'!$D$8+'Testes estatísticos'!$D$83)/2,"")</f>
        <v>0.29149350000000496</v>
      </c>
      <c r="CB181" s="7">
        <f>IF(79&gt;=3,('Testes estatísticos'!$D$8+'Testes estatísticos'!$D$84)/2,"")</f>
        <v>0.34321600000000174</v>
      </c>
      <c r="CC181" s="7">
        <f>IF(80&gt;=3,('Testes estatísticos'!$D$8+'Testes estatísticos'!$D$85)/2,"")</f>
        <v>-1.4638004999999978</v>
      </c>
      <c r="CD181" s="7">
        <f>IF(81&gt;=3,('Testes estatísticos'!$D$8+'Testes estatísticos'!$D$86)/2,"")</f>
        <v>-1.5139454999999984</v>
      </c>
      <c r="CE181" s="7">
        <f>IF(82&gt;=3,('Testes estatísticos'!$D$8+'Testes estatísticos'!$D$87)/2,"")</f>
        <v>0.5638450000000006</v>
      </c>
      <c r="CF181" s="7">
        <f>IF(83&gt;=3,('Testes estatísticos'!$D$8+'Testes estatísticos'!$D$88)/2,"")</f>
        <v>3.5038000000000125E-2</v>
      </c>
      <c r="CG181" s="7">
        <f>IF(84&gt;=3,('Testes estatísticos'!$D$8+'Testes estatísticos'!$D$89)/2,"")</f>
        <v>-0.29686899999999738</v>
      </c>
      <c r="CH181" s="7">
        <f>IF(85&gt;=3,('Testes estatísticos'!$D$8+'Testes estatísticos'!$D$90)/2,"")</f>
        <v>1.5186780000000013</v>
      </c>
      <c r="CI181" s="7">
        <f>IF(86&gt;=3,('Testes estatísticos'!$D$8+'Testes estatísticos'!$D$91)/2,"")</f>
        <v>-1.1714814999999952</v>
      </c>
      <c r="CJ181" s="7">
        <f>IF(87&gt;=3,('Testes estatísticos'!$D$8+'Testes estatísticos'!$D$92)/2,"")</f>
        <v>7.0725000000003035E-2</v>
      </c>
      <c r="CK181" s="7">
        <f>IF(88&gt;=3,('Testes estatísticos'!$D$8+'Testes estatísticos'!$D$93)/2,"")</f>
        <v>0.3148085000000016</v>
      </c>
      <c r="CL181" s="7">
        <f>IF(89&gt;=3,('Testes estatísticos'!$D$8+'Testes estatísticos'!$D$94)/2,"")</f>
        <v>-0.29678350000000009</v>
      </c>
      <c r="CM181" s="7">
        <f>IF(90&gt;=3,('Testes estatísticos'!$D$8+'Testes estatísticos'!$D$95)/2,"")</f>
        <v>-2.6309154999999969</v>
      </c>
      <c r="CN181" s="7">
        <f>IF(91&gt;=3,('Testes estatísticos'!$D$8+'Testes estatísticos'!$D$96)/2,"")</f>
        <v>-9.2392499999995437E-2</v>
      </c>
      <c r="CO181" s="7">
        <f>IF(92&gt;=3,('Testes estatísticos'!$D$8+'Testes estatísticos'!$D$97)/2,"")</f>
        <v>-0.43889599999999618</v>
      </c>
      <c r="CP181" s="7">
        <f>IF(93&gt;=3,('Testes estatísticos'!$D$8+'Testes estatísticos'!$D$98)/2,"")</f>
        <v>-0.64364799999999533</v>
      </c>
      <c r="CQ181" s="7">
        <f>IF(94&gt;=3,('Testes estatísticos'!$D$8+'Testes estatísticos'!$D$99)/2,"")</f>
        <v>1.537510000000001</v>
      </c>
      <c r="CR181" s="7">
        <f>IF(95&gt;=3,('Testes estatísticos'!$D$8+'Testes estatísticos'!$D$100)/2,"")</f>
        <v>-0.36828299999999814</v>
      </c>
      <c r="CS181" s="7">
        <f>IF(96&gt;=3,('Testes estatísticos'!$D$8+'Testes estatísticos'!$D$101)/2,"")</f>
        <v>-0.32429600000000036</v>
      </c>
      <c r="CT181" s="7">
        <f>IF(97&gt;=3,('Testes estatísticos'!$D$8+'Testes estatísticos'!$D$102)/2,"")</f>
        <v>-9.1245499999999424E-2</v>
      </c>
      <c r="CU181" s="7">
        <f>IF(98&gt;=3,('Testes estatísticos'!$D$8+'Testes estatísticos'!$D$103)/2,"")</f>
        <v>-3.3919499999996106E-2</v>
      </c>
      <c r="CV181" s="7">
        <f>IF(99&gt;=3,('Testes estatísticos'!$D$8+'Testes estatísticos'!$D$104)/2,"")</f>
        <v>-0.46874549999999715</v>
      </c>
      <c r="CW181" s="7">
        <f>IF(100&gt;=3,('Testes estatísticos'!$D$8+'Testes estatísticos'!$D$105)/2,"")</f>
        <v>-0.56821149999999676</v>
      </c>
      <c r="CX181" s="7">
        <f>IF(101&gt;=3,('Testes estatísticos'!$D$8+'Testes estatísticos'!$D$106)/2,"")</f>
        <v>-4.5284999999996245E-2</v>
      </c>
      <c r="CY181" s="7">
        <f>IF(102&gt;=3,('Testes estatísticos'!$D$8+'Testes estatísticos'!$D$107)/2,"")</f>
        <v>-0.10094999999999743</v>
      </c>
      <c r="CZ181" s="7">
        <f>IF(103&gt;=3,('Testes estatísticos'!$D$8+'Testes estatísticos'!$D$108)/2,"")</f>
        <v>-0.62511649999999719</v>
      </c>
      <c r="DA181" s="7">
        <f>IF(104&gt;=3,('Testes estatísticos'!$D$8+'Testes estatísticos'!$D$109)/2,"")</f>
        <v>-0.36248249999999516</v>
      </c>
      <c r="DB181" s="7">
        <f>IF(105&gt;=3,('Testes estatísticos'!$D$8+'Testes estatísticos'!$D$110)/2,"")</f>
        <v>-0.32815149999999704</v>
      </c>
      <c r="DC181" s="7">
        <f>IF(106&gt;=3,('Testes estatísticos'!$D$8+'Testes estatísticos'!$D$111)/2,"")</f>
        <v>0.41476950000000201</v>
      </c>
      <c r="DD181" s="7">
        <f>IF(107&gt;=3,('Testes estatísticos'!$D$8+'Testes estatísticos'!$D$112)/2,"")</f>
        <v>3.9079405000000023</v>
      </c>
      <c r="DE181" s="7">
        <f>IF(108&gt;=3,('Testes estatísticos'!$D$8+'Testes estatísticos'!$D$113)/2,"")</f>
        <v>0.48530500000000387</v>
      </c>
      <c r="DF181" s="7">
        <f>IF(109&gt;=3,('Testes estatísticos'!$D$8+'Testes estatísticos'!$D$114)/2,"")</f>
        <v>0.44904800000000478</v>
      </c>
      <c r="DG181" s="7">
        <f>IF(110&gt;=3,('Testes estatísticos'!$D$8+'Testes estatísticos'!$D$115)/2,"")</f>
        <v>-5.0980914999999989</v>
      </c>
      <c r="DH181" s="7">
        <f>IF(111&gt;=3,('Testes estatísticos'!$D$8+'Testes estatísticos'!$D$116)/2,"")</f>
        <v>0.58273900000000367</v>
      </c>
      <c r="DI181" s="7">
        <f>IF(112&gt;=3,('Testes estatísticos'!$D$8+'Testes estatísticos'!$D$117)/2,"")</f>
        <v>6.011179000000002</v>
      </c>
      <c r="DJ181" s="7">
        <f>IF(113&gt;=3,('Testes estatísticos'!$D$8+'Testes estatísticos'!$D$118)/2,"")</f>
        <v>0.55462200000000195</v>
      </c>
      <c r="DK181" s="7">
        <f>IF(114&gt;=3,('Testes estatísticos'!$D$8+'Testes estatísticos'!$D$119)/2,"")</f>
        <v>0.45287200000000283</v>
      </c>
      <c r="DL181" s="7">
        <f>IF(115&gt;=3,('Testes estatísticos'!$D$8+'Testes estatísticos'!$D$120)/2,"")</f>
        <v>0.49934950000000455</v>
      </c>
      <c r="DM181" s="7">
        <f>IF(116&gt;=3,('Testes estatísticos'!$D$8+'Testes estatísticos'!$D$121)/2,"")</f>
        <v>0.50795200000000307</v>
      </c>
      <c r="DN181" s="7">
        <f>IF(117&gt;=3,('Testes estatísticos'!$D$8+'Testes estatísticos'!$D$122)/2,"")</f>
        <v>0.5310200000000016</v>
      </c>
      <c r="DO181" s="7">
        <f>IF(118&gt;=3,('Testes estatísticos'!$D$8+'Testes estatísticos'!$D$123)/2,"")</f>
        <v>0.5809305000000009</v>
      </c>
      <c r="DP181" s="7">
        <f>IF(119&gt;=3,('Testes estatísticos'!$D$8+'Testes estatísticos'!$D$124)/2,"")</f>
        <v>0.55971900000000119</v>
      </c>
      <c r="DQ181" s="7">
        <f>IF(120&gt;=3,('Testes estatísticos'!$D$8+'Testes estatísticos'!$D$125)/2,"")</f>
        <v>3.6113335000000042</v>
      </c>
      <c r="DR181" s="7">
        <f>IF(121&gt;=3,('Testes estatísticos'!$D$8+'Testes estatísticos'!$D$126)/2,"")</f>
        <v>0.82231700000000174</v>
      </c>
      <c r="DS181" s="7">
        <f>IF(122&gt;=3,('Testes estatísticos'!$D$8+'Testes estatísticos'!$D$127)/2,"")</f>
        <v>-0.24309149999999491</v>
      </c>
      <c r="DT181" s="7">
        <f>IF(123&gt;=3,('Testes estatísticos'!$D$8+'Testes estatísticos'!$D$128)/2,"")</f>
        <v>5.8257779999999997</v>
      </c>
      <c r="DU181" s="7">
        <f>IF(124&gt;=3,('Testes estatísticos'!$D$8+'Testes estatísticos'!$D$129)/2,"")</f>
        <v>0.93000650000000107</v>
      </c>
      <c r="DV181" s="7">
        <f>IF(125&gt;=3,('Testes estatísticos'!$D$8+'Testes estatísticos'!$D$130)/2,"")</f>
        <v>2.0883140000000004</v>
      </c>
      <c r="DW181" s="7">
        <f>IF(126&gt;=3,('Testes estatísticos'!$D$8+'Testes estatísticos'!$D$131)/2,"")</f>
        <v>-0.31516199999999728</v>
      </c>
      <c r="DX181" s="7">
        <f>IF(127&gt;=3,('Testes estatísticos'!$D$8+'Testes estatísticos'!$D$132)/2,"")</f>
        <v>-2.3713534999999979</v>
      </c>
      <c r="DY181" s="7">
        <f>IF(128&gt;=3,('Testes estatísticos'!$D$8+'Testes estatísticos'!$D$133)/2,"")</f>
        <v>-2.7124429999999968</v>
      </c>
      <c r="DZ181" s="7">
        <f>IF(129&gt;=3,('Testes estatísticos'!$D$8+'Testes estatísticos'!$D$134)/2,"")</f>
        <v>-6.1362329999999972</v>
      </c>
      <c r="EA181" s="7">
        <f>IF(130&gt;=3,('Testes estatísticos'!$D$8+'Testes estatísticos'!$D$135)/2,"")</f>
        <v>-0.37446299999999511</v>
      </c>
      <c r="EB181" s="7">
        <f>IF(131&gt;=3,('Testes estatísticos'!$D$8+'Testes estatísticos'!$D$136)/2,"")</f>
        <v>-0.28659000000000034</v>
      </c>
      <c r="EC181" s="7">
        <f>IF(132&gt;=3,('Testes estatísticos'!$D$8+'Testes estatísticos'!$D$137)/2,"")</f>
        <v>-1.7733264999999996</v>
      </c>
      <c r="ED181" s="7">
        <f>IF(133&gt;=3,('Testes estatísticos'!$D$8+'Testes estatísticos'!$D$138)/2,"")</f>
        <v>0.41561100000000195</v>
      </c>
      <c r="EE181" s="7">
        <f>IF(134&gt;=3,('Testes estatísticos'!$D$8+'Testes estatísticos'!$D$139)/2,"")</f>
        <v>-1.8815795000000008</v>
      </c>
      <c r="EF181" s="7">
        <f>IF(135&gt;=3,('Testes estatísticos'!$D$8+'Testes estatísticos'!$D$140)/2,"")</f>
        <v>1.3328530000000036</v>
      </c>
      <c r="EG181" s="7">
        <f>IF(136&gt;=3,('Testes estatísticos'!$D$8+'Testes estatísticos'!$D$141)/2,"")</f>
        <v>-0.36063700000000054</v>
      </c>
      <c r="EH181" s="7">
        <f>IF(137&gt;=3,('Testes estatísticos'!$D$8+'Testes estatísticos'!$D$142)/2,"")</f>
        <v>1.3441030000000005</v>
      </c>
      <c r="EI181" s="7">
        <f>IF(138&gt;=3,('Testes estatísticos'!$D$8+'Testes estatísticos'!$D$143)/2,"")</f>
        <v>-0.32091249999999505</v>
      </c>
    </row>
    <row r="182" spans="1:151" x14ac:dyDescent="0.3">
      <c r="B182" s="7" t="str">
        <f>IF(1&gt;=4,('Testes estatísticos'!$D$9+'Testes estatísticos'!$D$6)/2,"")</f>
        <v/>
      </c>
      <c r="C182" s="7" t="str">
        <f>IF(2&gt;=4,('Testes estatísticos'!$D$9+'Testes estatísticos'!$D$7)/2,"")</f>
        <v/>
      </c>
      <c r="D182" s="7" t="str">
        <f>IF(3&gt;=4,('Testes estatísticos'!$D$9+'Testes estatísticos'!$D$8)/2,"")</f>
        <v/>
      </c>
      <c r="E182" s="7">
        <f>IF(4&gt;=4,('Testes estatísticos'!$D$9+'Testes estatísticos'!$D$9)/2,"")</f>
        <v>-6.1620410000000021</v>
      </c>
      <c r="F182" s="7">
        <f>IF(5&gt;=4,('Testes estatísticos'!$D$9+'Testes estatísticos'!$D$10)/2,"")</f>
        <v>-3.8121785000000017</v>
      </c>
      <c r="G182" s="7">
        <f>IF(6&gt;=4,('Testes estatísticos'!$D$9+'Testes estatísticos'!$D$11)/2,"")</f>
        <v>-0.72447650000000152</v>
      </c>
      <c r="H182" s="7">
        <f>IF(7&gt;=4,('Testes estatísticos'!$D$9+'Testes estatísticos'!$D$12)/2,"")</f>
        <v>-7.5816859999999977</v>
      </c>
      <c r="I182" s="7">
        <f>IF(8&gt;=4,('Testes estatísticos'!$D$9+'Testes estatísticos'!$D$13)/2,"")</f>
        <v>-3.7114600000000024</v>
      </c>
      <c r="J182" s="7">
        <f>IF(9&gt;=4,('Testes estatísticos'!$D$9+'Testes estatísticos'!$D$14)/2,"")</f>
        <v>-3.0584010000000035</v>
      </c>
      <c r="K182" s="7">
        <f>IF(10&gt;=4,('Testes estatísticos'!$D$9+'Testes estatísticos'!$D$15)/2,"")</f>
        <v>-3.3662160000000014</v>
      </c>
      <c r="L182" s="7">
        <f>IF(11&gt;=4,('Testes estatísticos'!$D$9+'Testes estatísticos'!$D$16)/2,"")</f>
        <v>-3.9598370000000003</v>
      </c>
      <c r="M182" s="7">
        <f>IF(12&gt;=4,('Testes estatísticos'!$D$9+'Testes estatísticos'!$D$17)/2,"")</f>
        <v>-7.2291099999999986</v>
      </c>
      <c r="N182" s="7">
        <f>IF(13&gt;=4,('Testes estatísticos'!$D$9+'Testes estatísticos'!$D$18)/2,"")</f>
        <v>-1.3754240000000024</v>
      </c>
      <c r="O182" s="7">
        <f>IF(14&gt;=4,('Testes estatísticos'!$D$9+'Testes estatísticos'!$D$19)/2,"")</f>
        <v>-2.7177170000000004</v>
      </c>
      <c r="P182" s="7">
        <f>IF(15&gt;=4,('Testes estatísticos'!$D$9+'Testes estatísticos'!$D$20)/2,"")</f>
        <v>-1.2980134999999997</v>
      </c>
      <c r="Q182" s="7">
        <f>IF(16&gt;=4,('Testes estatísticos'!$D$9+'Testes estatísticos'!$D$21)/2,"")</f>
        <v>-8.5978480000000026</v>
      </c>
      <c r="R182" s="7">
        <f>IF(17&gt;=4,('Testes estatísticos'!$D$9+'Testes estatísticos'!$D$22)/2,"")</f>
        <v>-5.1365040000000022</v>
      </c>
      <c r="S182" s="7">
        <f>IF(18&gt;=4,('Testes estatísticos'!$D$9+'Testes estatísticos'!$D$23)/2,"")</f>
        <v>-6.2106175000000015</v>
      </c>
      <c r="T182" s="7">
        <f>IF(19&gt;=4,('Testes estatísticos'!$D$9+'Testes estatísticos'!$D$24)/2,"")</f>
        <v>-5.8121765000000032</v>
      </c>
      <c r="U182" s="7">
        <f>IF(20&gt;=4,('Testes estatísticos'!$D$9+'Testes estatísticos'!$D$25)/2,"")</f>
        <v>-6.7575444999999981</v>
      </c>
      <c r="V182" s="7">
        <f>IF(21&gt;=4,('Testes estatísticos'!$D$9+'Testes estatísticos'!$D$26)/2,"")</f>
        <v>-4.8988595000000004</v>
      </c>
      <c r="W182" s="7">
        <f>IF(22&gt;=4,('Testes estatísticos'!$D$9+'Testes estatísticos'!$D$27)/2,"")</f>
        <v>-4.9350890000000014</v>
      </c>
      <c r="X182" s="7">
        <f>IF(23&gt;=4,('Testes estatísticos'!$D$9+'Testes estatísticos'!$D$28)/2,"")</f>
        <v>-5.0579664999999991</v>
      </c>
      <c r="Y182" s="7">
        <f>IF(24&gt;=4,('Testes estatísticos'!$D$9+'Testes estatísticos'!$D$29)/2,"")</f>
        <v>-4.4947860000000013</v>
      </c>
      <c r="Z182" s="7">
        <f>IF(25&gt;=4,('Testes estatísticos'!$D$9+'Testes estatísticos'!$D$30)/2,"")</f>
        <v>-4.1812230000000028</v>
      </c>
      <c r="AA182" s="7">
        <f>IF(26&gt;=4,('Testes estatísticos'!$D$9+'Testes estatísticos'!$D$31)/2,"")</f>
        <v>-4.1777525000000004</v>
      </c>
      <c r="AB182" s="7">
        <f>IF(27&gt;=4,('Testes estatísticos'!$D$9+'Testes estatísticos'!$D$32)/2,"")</f>
        <v>-4.2823615000000004</v>
      </c>
      <c r="AC182" s="7">
        <f>IF(28&gt;=4,('Testes estatísticos'!$D$9+'Testes estatísticos'!$D$33)/2,"")</f>
        <v>-4.222647000000002</v>
      </c>
      <c r="AD182" s="7">
        <f>IF(29&gt;=4,('Testes estatísticos'!$D$9+'Testes estatísticos'!$D$34)/2,"")</f>
        <v>-3.4933850000000035</v>
      </c>
      <c r="AE182" s="7">
        <f>IF(30&gt;=4,('Testes estatísticos'!$D$9+'Testes estatísticos'!$D$35)/2,"")</f>
        <v>-4.8069310000000023</v>
      </c>
      <c r="AF182" s="7">
        <f>IF(31&gt;=4,('Testes estatísticos'!$D$9+'Testes estatísticos'!$D$36)/2,"")</f>
        <v>-5.1493254999999998</v>
      </c>
      <c r="AG182" s="7">
        <f>IF(32&gt;=4,('Testes estatísticos'!$D$9+'Testes estatísticos'!$D$37)/2,"")</f>
        <v>-4.0457050000000017</v>
      </c>
      <c r="AH182" s="7">
        <f>IF(33&gt;=4,('Testes estatísticos'!$D$9+'Testes estatísticos'!$D$38)/2,"")</f>
        <v>-4.2112445000000029</v>
      </c>
      <c r="AI182" s="7">
        <f>IF(34&gt;=4,('Testes estatísticos'!$D$9+'Testes estatísticos'!$D$39)/2,"")</f>
        <v>-1.3946985000000005</v>
      </c>
      <c r="AJ182" s="7">
        <f>IF(35&gt;=4,('Testes estatísticos'!$D$9+'Testes estatísticos'!$D$40)/2,"")</f>
        <v>-4.1361965000000005</v>
      </c>
      <c r="AK182" s="7">
        <f>IF(36&gt;=4,('Testes estatísticos'!$D$9+'Testes estatísticos'!$D$41)/2,"")</f>
        <v>-1.8682520000000018</v>
      </c>
      <c r="AL182" s="7">
        <f>IF(37&gt;=4,('Testes estatísticos'!$D$9+'Testes estatísticos'!$D$42)/2,"")</f>
        <v>-4.1468130000000016</v>
      </c>
      <c r="AM182" s="7">
        <f>IF(38&gt;=4,('Testes estatísticos'!$D$9+'Testes estatísticos'!$D$43)/2,"")</f>
        <v>-4.1339535000000005</v>
      </c>
      <c r="AN182" s="7">
        <f>IF(39&gt;=4,('Testes estatísticos'!$D$9+'Testes estatísticos'!$D$44)/2,"")</f>
        <v>-5.2709475000000019</v>
      </c>
      <c r="AO182" s="7">
        <f>IF(40&gt;=4,('Testes estatísticos'!$D$9+'Testes estatísticos'!$D$45)/2,"")</f>
        <v>-1.2960210000000032</v>
      </c>
      <c r="AP182" s="7">
        <f>IF(41&gt;=4,('Testes estatísticos'!$D$9+'Testes estatísticos'!$D$46)/2,"")</f>
        <v>-3.8019604999999999</v>
      </c>
      <c r="AQ182" s="7">
        <f>IF(42&gt;=4,('Testes estatísticos'!$D$9+'Testes estatísticos'!$D$47)/2,"")</f>
        <v>-2.6596015000000008</v>
      </c>
      <c r="AR182" s="7">
        <f>IF(43&gt;=4,('Testes estatísticos'!$D$9+'Testes estatísticos'!$D$48)/2,"")</f>
        <v>-3.7085155000000007</v>
      </c>
      <c r="AS182" s="7">
        <f>IF(44&gt;=4,('Testes estatísticos'!$D$9+'Testes estatísticos'!$D$49)/2,"")</f>
        <v>-4.2396385000000016</v>
      </c>
      <c r="AT182" s="7">
        <f>IF(45&gt;=4,('Testes estatísticos'!$D$9+'Testes estatísticos'!$D$50)/2,"")</f>
        <v>-3.4105600000000003</v>
      </c>
      <c r="AU182" s="7">
        <f>IF(46&gt;=4,('Testes estatísticos'!$D$9+'Testes estatísticos'!$D$51)/2,"")</f>
        <v>-6.4417560000000016</v>
      </c>
      <c r="AV182" s="7">
        <f>IF(47&gt;=4,('Testes estatísticos'!$D$9+'Testes estatísticos'!$D$52)/2,"")</f>
        <v>-1.3715830000000011</v>
      </c>
      <c r="AW182" s="7">
        <f>IF(48&gt;=4,('Testes estatísticos'!$D$9+'Testes estatísticos'!$D$53)/2,"")</f>
        <v>-5.8076140000000009</v>
      </c>
      <c r="AX182" s="7">
        <f>IF(49&gt;=4,('Testes estatísticos'!$D$9+'Testes estatísticos'!$D$54)/2,"")</f>
        <v>-4.5478234999999998</v>
      </c>
      <c r="AY182" s="7">
        <f>IF(50&gt;=4,('Testes estatísticos'!$D$9+'Testes estatísticos'!$D$55)/2,"")</f>
        <v>-2.9226589999999995</v>
      </c>
      <c r="AZ182" s="7">
        <f>IF(51&gt;=4,('Testes estatísticos'!$D$9+'Testes estatísticos'!$D$56)/2,"")</f>
        <v>-2.8781895000000013</v>
      </c>
      <c r="BA182" s="7">
        <f>IF(52&gt;=4,('Testes estatísticos'!$D$9+'Testes estatísticos'!$D$57)/2,"")</f>
        <v>-6.2864055000000008</v>
      </c>
      <c r="BB182" s="7">
        <f>IF(53&gt;=4,('Testes estatísticos'!$D$9+'Testes estatísticos'!$D$58)/2,"")</f>
        <v>-2.8776429999999991</v>
      </c>
      <c r="BC182" s="7">
        <f>IF(54&gt;=4,('Testes estatísticos'!$D$9+'Testes estatísticos'!$D$59)/2,"")</f>
        <v>-3.797285500000001</v>
      </c>
      <c r="BD182" s="7">
        <f>IF(55&gt;=4,('Testes estatísticos'!$D$9+'Testes estatísticos'!$D$60)/2,"")</f>
        <v>-0.70161450000000158</v>
      </c>
      <c r="BE182" s="7">
        <f>IF(56&gt;=4,('Testes estatísticos'!$D$9+'Testes estatísticos'!$D$61)/2,"")</f>
        <v>-3.3315829999999984</v>
      </c>
      <c r="BF182" s="7">
        <f>IF(57&gt;=4,('Testes estatísticos'!$D$9+'Testes estatísticos'!$D$62)/2,"")</f>
        <v>-6.731773000000004</v>
      </c>
      <c r="BG182" s="7">
        <f>IF(58&gt;=4,('Testes estatísticos'!$D$9+'Testes estatísticos'!$D$63)/2,"")</f>
        <v>-1.465878</v>
      </c>
      <c r="BH182" s="7">
        <f>IF(59&gt;=4,('Testes estatísticos'!$D$9+'Testes estatísticos'!$D$64)/2,"")</f>
        <v>-7.3094905000000026</v>
      </c>
      <c r="BI182" s="7">
        <f>IF(60&gt;=4,('Testes estatísticos'!$D$9+'Testes estatísticos'!$D$65)/2,"")</f>
        <v>-5.5618994999999991</v>
      </c>
      <c r="BJ182" s="7">
        <f>IF(61&gt;=4,('Testes estatísticos'!$D$9+'Testes estatísticos'!$D$66)/2,"")</f>
        <v>-2.9268445000000014</v>
      </c>
      <c r="BK182" s="7">
        <f>IF(62&gt;=4,('Testes estatísticos'!$D$9+'Testes estatísticos'!$D$67)/2,"")</f>
        <v>-3.4356395000000006</v>
      </c>
      <c r="BL182" s="7">
        <f>IF(63&gt;=4,('Testes estatísticos'!$D$9+'Testes estatísticos'!$D$68)/2,"")</f>
        <v>-2.5363250000000015</v>
      </c>
      <c r="BM182" s="7">
        <f>IF(64&gt;=4,('Testes estatísticos'!$D$9+'Testes estatísticos'!$D$69)/2,"")</f>
        <v>-2.4854830000000021</v>
      </c>
      <c r="BN182" s="7">
        <f>IF(65&gt;=4,('Testes estatísticos'!$D$9+'Testes estatísticos'!$D$70)/2,"")</f>
        <v>-4.6312895000000012</v>
      </c>
      <c r="BO182" s="7">
        <f>IF(66&gt;=4,('Testes estatísticos'!$D$9+'Testes estatísticos'!$D$71)/2,"")</f>
        <v>-3.735437000000001</v>
      </c>
      <c r="BP182" s="7">
        <f>IF(67&gt;=4,('Testes estatísticos'!$D$9+'Testes estatísticos'!$D$72)/2,"")</f>
        <v>-6.6258960000000009</v>
      </c>
      <c r="BQ182" s="7">
        <f>IF(68&gt;=4,('Testes estatísticos'!$D$9+'Testes estatísticos'!$D$73)/2,"")</f>
        <v>-1.9626630000000027</v>
      </c>
      <c r="BR182" s="7">
        <f>IF(69&gt;=4,('Testes estatísticos'!$D$9+'Testes estatísticos'!$D$74)/2,"")</f>
        <v>-1.3304810000000025</v>
      </c>
      <c r="BS182" s="7">
        <f>IF(70&gt;=4,('Testes estatísticos'!$D$9+'Testes estatísticos'!$D$75)/2,"")</f>
        <v>-2.3349455000000034</v>
      </c>
      <c r="BT182" s="7">
        <f>IF(71&gt;=4,('Testes estatísticos'!$D$9+'Testes estatísticos'!$D$76)/2,"")</f>
        <v>-0.76058050000000321</v>
      </c>
      <c r="BU182" s="7">
        <f>IF(72&gt;=4,('Testes estatísticos'!$D$9+'Testes estatísticos'!$D$77)/2,"")</f>
        <v>-6.3602775000000022</v>
      </c>
      <c r="BV182" s="7">
        <f>IF(73&gt;=4,('Testes estatísticos'!$D$9+'Testes estatísticos'!$D$78)/2,"")</f>
        <v>-4.2868030000000026</v>
      </c>
      <c r="BW182" s="7">
        <f>IF(74&gt;=4,('Testes estatísticos'!$D$9+'Testes estatísticos'!$D$79)/2,"")</f>
        <v>-4.9701215000000012</v>
      </c>
      <c r="BX182" s="7">
        <f>IF(75&gt;=4,('Testes estatísticos'!$D$9+'Testes estatísticos'!$D$80)/2,"")</f>
        <v>-4.9918995000000024</v>
      </c>
      <c r="BY182" s="7">
        <f>IF(76&gt;=4,('Testes estatísticos'!$D$9+'Testes estatísticos'!$D$81)/2,"")</f>
        <v>-0.8604415000000003</v>
      </c>
      <c r="BZ182" s="7">
        <f>IF(77&gt;=4,('Testes estatísticos'!$D$9+'Testes estatísticos'!$D$82)/2,"")</f>
        <v>-6.1220309999999998</v>
      </c>
      <c r="CA182" s="7">
        <f>IF(78&gt;=4,('Testes estatísticos'!$D$9+'Testes estatísticos'!$D$83)/2,"")</f>
        <v>-4.3617719999999984</v>
      </c>
      <c r="CB182" s="7">
        <f>IF(79&gt;=4,('Testes estatísticos'!$D$9+'Testes estatísticos'!$D$84)/2,"")</f>
        <v>-4.3100495000000016</v>
      </c>
      <c r="CC182" s="7">
        <f>IF(80&gt;=4,('Testes estatísticos'!$D$9+'Testes estatísticos'!$D$85)/2,"")</f>
        <v>-6.1170660000000012</v>
      </c>
      <c r="CD182" s="7">
        <f>IF(81&gt;=4,('Testes estatísticos'!$D$9+'Testes estatísticos'!$D$86)/2,"")</f>
        <v>-6.1672110000000018</v>
      </c>
      <c r="CE182" s="7">
        <f>IF(82&gt;=4,('Testes estatísticos'!$D$9+'Testes estatísticos'!$D$87)/2,"")</f>
        <v>-4.0894205000000028</v>
      </c>
      <c r="CF182" s="7">
        <f>IF(83&gt;=4,('Testes estatísticos'!$D$9+'Testes estatísticos'!$D$88)/2,"")</f>
        <v>-4.6182275000000033</v>
      </c>
      <c r="CG182" s="7">
        <f>IF(84&gt;=4,('Testes estatísticos'!$D$9+'Testes estatísticos'!$D$89)/2,"")</f>
        <v>-4.9501345000000008</v>
      </c>
      <c r="CH182" s="7">
        <f>IF(85&gt;=4,('Testes estatísticos'!$D$9+'Testes estatísticos'!$D$90)/2,"")</f>
        <v>-3.1345875000000021</v>
      </c>
      <c r="CI182" s="7">
        <f>IF(86&gt;=4,('Testes estatísticos'!$D$9+'Testes estatísticos'!$D$91)/2,"")</f>
        <v>-5.8247469999999986</v>
      </c>
      <c r="CJ182" s="7">
        <f>IF(87&gt;=4,('Testes estatísticos'!$D$9+'Testes estatísticos'!$D$92)/2,"")</f>
        <v>-4.5825405000000003</v>
      </c>
      <c r="CK182" s="7">
        <f>IF(88&gt;=4,('Testes estatísticos'!$D$9+'Testes estatísticos'!$D$93)/2,"")</f>
        <v>-4.3384570000000018</v>
      </c>
      <c r="CL182" s="7">
        <f>IF(89&gt;=4,('Testes estatísticos'!$D$9+'Testes estatísticos'!$D$94)/2,"")</f>
        <v>-4.9500490000000035</v>
      </c>
      <c r="CM182" s="7">
        <f>IF(90&gt;=4,('Testes estatísticos'!$D$9+'Testes estatísticos'!$D$95)/2,"")</f>
        <v>-7.2841810000000002</v>
      </c>
      <c r="CN182" s="7">
        <f>IF(91&gt;=4,('Testes estatísticos'!$D$9+'Testes estatísticos'!$D$96)/2,"")</f>
        <v>-4.7456579999999988</v>
      </c>
      <c r="CO182" s="7">
        <f>IF(92&gt;=4,('Testes estatísticos'!$D$9+'Testes estatísticos'!$D$97)/2,"")</f>
        <v>-5.0921614999999996</v>
      </c>
      <c r="CP182" s="7">
        <f>IF(93&gt;=4,('Testes estatísticos'!$D$9+'Testes estatísticos'!$D$98)/2,"")</f>
        <v>-5.2969134999999987</v>
      </c>
      <c r="CQ182" s="7">
        <f>IF(94&gt;=4,('Testes estatísticos'!$D$9+'Testes estatísticos'!$D$99)/2,"")</f>
        <v>-3.1157555000000023</v>
      </c>
      <c r="CR182" s="7">
        <f>IF(95&gt;=4,('Testes estatísticos'!$D$9+'Testes estatísticos'!$D$100)/2,"")</f>
        <v>-5.0215485000000015</v>
      </c>
      <c r="CS182" s="7">
        <f>IF(96&gt;=4,('Testes estatísticos'!$D$9+'Testes estatísticos'!$D$101)/2,"")</f>
        <v>-4.9775615000000037</v>
      </c>
      <c r="CT182" s="7">
        <f>IF(97&gt;=4,('Testes estatísticos'!$D$9+'Testes estatísticos'!$D$102)/2,"")</f>
        <v>-4.7445110000000028</v>
      </c>
      <c r="CU182" s="7">
        <f>IF(98&gt;=4,('Testes estatísticos'!$D$9+'Testes estatísticos'!$D$103)/2,"")</f>
        <v>-4.6871849999999995</v>
      </c>
      <c r="CV182" s="7">
        <f>IF(99&gt;=4,('Testes estatísticos'!$D$9+'Testes estatísticos'!$D$104)/2,"")</f>
        <v>-5.1220110000000005</v>
      </c>
      <c r="CW182" s="7">
        <f>IF(100&gt;=4,('Testes estatísticos'!$D$9+'Testes estatísticos'!$D$105)/2,"")</f>
        <v>-5.2214770000000001</v>
      </c>
      <c r="CX182" s="7">
        <f>IF(101&gt;=4,('Testes estatísticos'!$D$9+'Testes estatísticos'!$D$106)/2,"")</f>
        <v>-4.6985504999999996</v>
      </c>
      <c r="CY182" s="7">
        <f>IF(102&gt;=4,('Testes estatísticos'!$D$9+'Testes estatísticos'!$D$107)/2,"")</f>
        <v>-4.7542155000000008</v>
      </c>
      <c r="CZ182" s="7">
        <f>IF(103&gt;=4,('Testes estatísticos'!$D$9+'Testes estatísticos'!$D$108)/2,"")</f>
        <v>-5.2783820000000006</v>
      </c>
      <c r="DA182" s="7">
        <f>IF(104&gt;=4,('Testes estatísticos'!$D$9+'Testes estatísticos'!$D$109)/2,"")</f>
        <v>-5.0157479999999985</v>
      </c>
      <c r="DB182" s="7">
        <f>IF(105&gt;=4,('Testes estatísticos'!$D$9+'Testes estatísticos'!$D$110)/2,"")</f>
        <v>-4.9814170000000004</v>
      </c>
      <c r="DC182" s="7">
        <f>IF(106&gt;=4,('Testes estatísticos'!$D$9+'Testes estatísticos'!$D$111)/2,"")</f>
        <v>-4.2384960000000014</v>
      </c>
      <c r="DD182" s="7">
        <f>IF(107&gt;=4,('Testes estatísticos'!$D$9+'Testes estatísticos'!$D$112)/2,"")</f>
        <v>-0.74532500000000113</v>
      </c>
      <c r="DE182" s="7">
        <f>IF(108&gt;=4,('Testes estatísticos'!$D$9+'Testes estatísticos'!$D$113)/2,"")</f>
        <v>-4.1679604999999995</v>
      </c>
      <c r="DF182" s="7">
        <f>IF(109&gt;=4,('Testes estatísticos'!$D$9+'Testes estatísticos'!$D$114)/2,"")</f>
        <v>-4.2042174999999986</v>
      </c>
      <c r="DG182" s="7">
        <f>IF(110&gt;=4,('Testes estatísticos'!$D$9+'Testes estatísticos'!$D$115)/2,"")</f>
        <v>-9.7513570000000023</v>
      </c>
      <c r="DH182" s="7">
        <f>IF(111&gt;=4,('Testes estatísticos'!$D$9+'Testes estatísticos'!$D$116)/2,"")</f>
        <v>-4.0705264999999997</v>
      </c>
      <c r="DI182" s="7">
        <f>IF(112&gt;=4,('Testes estatísticos'!$D$9+'Testes estatísticos'!$D$117)/2,"")</f>
        <v>1.3579134999999987</v>
      </c>
      <c r="DJ182" s="7">
        <f>IF(113&gt;=4,('Testes estatísticos'!$D$9+'Testes estatísticos'!$D$118)/2,"")</f>
        <v>-4.0986435000000014</v>
      </c>
      <c r="DK182" s="7">
        <f>IF(114&gt;=4,('Testes estatísticos'!$D$9+'Testes estatísticos'!$D$119)/2,"")</f>
        <v>-4.2003935000000006</v>
      </c>
      <c r="DL182" s="7">
        <f>IF(115&gt;=4,('Testes estatísticos'!$D$9+'Testes estatísticos'!$D$120)/2,"")</f>
        <v>-4.1539159999999988</v>
      </c>
      <c r="DM182" s="7">
        <f>IF(116&gt;=4,('Testes estatísticos'!$D$9+'Testes estatísticos'!$D$121)/2,"")</f>
        <v>-4.1453135000000003</v>
      </c>
      <c r="DN182" s="7">
        <f>IF(117&gt;=4,('Testes estatísticos'!$D$9+'Testes estatísticos'!$D$122)/2,"")</f>
        <v>-4.1222455000000018</v>
      </c>
      <c r="DO182" s="7">
        <f>IF(118&gt;=4,('Testes estatísticos'!$D$9+'Testes estatísticos'!$D$123)/2,"")</f>
        <v>-4.0723350000000025</v>
      </c>
      <c r="DP182" s="7">
        <f>IF(119&gt;=4,('Testes estatísticos'!$D$9+'Testes estatísticos'!$D$124)/2,"")</f>
        <v>-4.0935465000000022</v>
      </c>
      <c r="DQ182" s="7">
        <f>IF(120&gt;=4,('Testes estatísticos'!$D$9+'Testes estatísticos'!$D$125)/2,"")</f>
        <v>-1.0419319999999992</v>
      </c>
      <c r="DR182" s="7">
        <f>IF(121&gt;=4,('Testes estatísticos'!$D$9+'Testes estatísticos'!$D$126)/2,"")</f>
        <v>-3.8309485000000016</v>
      </c>
      <c r="DS182" s="7">
        <f>IF(122&gt;=4,('Testes estatísticos'!$D$9+'Testes estatísticos'!$D$127)/2,"")</f>
        <v>-4.8963569999999983</v>
      </c>
      <c r="DT182" s="7">
        <f>IF(123&gt;=4,('Testes estatísticos'!$D$9+'Testes estatísticos'!$D$128)/2,"")</f>
        <v>1.1725124999999963</v>
      </c>
      <c r="DU182" s="7">
        <f>IF(124&gt;=4,('Testes estatísticos'!$D$9+'Testes estatísticos'!$D$129)/2,"")</f>
        <v>-3.7232590000000023</v>
      </c>
      <c r="DV182" s="7">
        <f>IF(125&gt;=4,('Testes estatísticos'!$D$9+'Testes estatísticos'!$D$130)/2,"")</f>
        <v>-2.5649515000000029</v>
      </c>
      <c r="DW182" s="7">
        <f>IF(126&gt;=4,('Testes estatísticos'!$D$9+'Testes estatísticos'!$D$131)/2,"")</f>
        <v>-4.9684275000000007</v>
      </c>
      <c r="DX182" s="7">
        <f>IF(127&gt;=4,('Testes estatísticos'!$D$9+'Testes estatísticos'!$D$132)/2,"")</f>
        <v>-7.0246190000000013</v>
      </c>
      <c r="DY182" s="7">
        <f>IF(128&gt;=4,('Testes estatísticos'!$D$9+'Testes estatísticos'!$D$133)/2,"")</f>
        <v>-7.3657085000000002</v>
      </c>
      <c r="DZ182" s="7">
        <f>IF(129&gt;=4,('Testes estatísticos'!$D$9+'Testes estatísticos'!$D$134)/2,"")</f>
        <v>-10.789498500000001</v>
      </c>
      <c r="EA182" s="7">
        <f>IF(130&gt;=4,('Testes estatísticos'!$D$9+'Testes estatísticos'!$D$135)/2,"")</f>
        <v>-5.0277284999999985</v>
      </c>
      <c r="EB182" s="7">
        <f>IF(131&gt;=4,('Testes estatísticos'!$D$9+'Testes estatísticos'!$D$136)/2,"")</f>
        <v>-4.9398555000000037</v>
      </c>
      <c r="EC182" s="7">
        <f>IF(132&gt;=4,('Testes estatísticos'!$D$9+'Testes estatísticos'!$D$137)/2,"")</f>
        <v>-6.426592000000003</v>
      </c>
      <c r="ED182" s="7">
        <f>IF(133&gt;=4,('Testes estatísticos'!$D$9+'Testes estatísticos'!$D$138)/2,"")</f>
        <v>-4.2376545000000014</v>
      </c>
      <c r="EE182" s="7">
        <f>IF(134&gt;=4,('Testes estatísticos'!$D$9+'Testes estatísticos'!$D$139)/2,"")</f>
        <v>-6.5348450000000042</v>
      </c>
      <c r="EF182" s="7">
        <f>IF(135&gt;=4,('Testes estatísticos'!$D$9+'Testes estatísticos'!$D$140)/2,"")</f>
        <v>-3.3204124999999998</v>
      </c>
      <c r="EG182" s="7">
        <f>IF(136&gt;=4,('Testes estatísticos'!$D$9+'Testes estatísticos'!$D$141)/2,"")</f>
        <v>-5.0139025000000039</v>
      </c>
      <c r="EH182" s="7">
        <f>IF(137&gt;=4,('Testes estatísticos'!$D$9+'Testes estatísticos'!$D$142)/2,"")</f>
        <v>-3.3091625000000029</v>
      </c>
      <c r="EI182" s="7">
        <f>IF(138&gt;=4,('Testes estatísticos'!$D$9+'Testes estatísticos'!$D$143)/2,"")</f>
        <v>-4.9741779999999984</v>
      </c>
      <c r="EJ182" s="7"/>
      <c r="EK182" s="7"/>
      <c r="EL182" s="7"/>
    </row>
    <row r="183" spans="1:151" x14ac:dyDescent="0.3">
      <c r="B183" s="7" t="str">
        <f>IF(1&gt;=5,('Testes estatísticos'!$D$10+'Testes estatísticos'!$D$6)/2,"")</f>
        <v/>
      </c>
      <c r="C183" s="7" t="str">
        <f>IF(2&gt;=5,('Testes estatísticos'!$D$10+'Testes estatísticos'!$D$7)/2,"")</f>
        <v/>
      </c>
      <c r="D183" s="7" t="str">
        <f>IF(3&gt;=5,('Testes estatísticos'!$D$10+'Testes estatísticos'!$D$8)/2,"")</f>
        <v/>
      </c>
      <c r="E183" s="7" t="str">
        <f>IF(4&gt;=5,('Testes estatísticos'!$D$10+'Testes estatísticos'!$D$9)/2,"")</f>
        <v/>
      </c>
      <c r="F183" s="7">
        <f>IF(5&gt;=5,('Testes estatísticos'!$D$10+'Testes estatísticos'!$D$10)/2,"")</f>
        <v>-1.4623160000000013</v>
      </c>
      <c r="G183" s="7">
        <f>IF(6&gt;=5,('Testes estatísticos'!$D$10+'Testes estatísticos'!$D$11)/2,"")</f>
        <v>1.6253859999999989</v>
      </c>
      <c r="H183" s="7">
        <f>IF(7&gt;=5,('Testes estatísticos'!$D$10+'Testes estatísticos'!$D$12)/2,"")</f>
        <v>-5.2318234999999973</v>
      </c>
      <c r="I183" s="7">
        <f>IF(8&gt;=5,('Testes estatísticos'!$D$10+'Testes estatísticos'!$D$13)/2,"")</f>
        <v>-1.361597500000002</v>
      </c>
      <c r="J183" s="7">
        <f>IF(9&gt;=5,('Testes estatísticos'!$D$10+'Testes estatísticos'!$D$14)/2,"")</f>
        <v>-0.70853850000000307</v>
      </c>
      <c r="K183" s="7">
        <f>IF(10&gt;=5,('Testes estatísticos'!$D$10+'Testes estatísticos'!$D$15)/2,"")</f>
        <v>-1.016353500000001</v>
      </c>
      <c r="L183" s="7">
        <f>IF(11&gt;=5,('Testes estatísticos'!$D$10+'Testes estatísticos'!$D$16)/2,"")</f>
        <v>-1.6099744999999999</v>
      </c>
      <c r="M183" s="7">
        <f>IF(12&gt;=5,('Testes estatísticos'!$D$10+'Testes estatísticos'!$D$17)/2,"")</f>
        <v>-4.8792474999999982</v>
      </c>
      <c r="N183" s="7">
        <f>IF(13&gt;=5,('Testes estatísticos'!$D$10+'Testes estatísticos'!$D$18)/2,"")</f>
        <v>0.97443849999999799</v>
      </c>
      <c r="O183" s="7">
        <f>IF(14&gt;=5,('Testes estatísticos'!$D$10+'Testes estatísticos'!$D$19)/2,"")</f>
        <v>-0.36785449999999997</v>
      </c>
      <c r="P183" s="7">
        <f>IF(15&gt;=5,('Testes estatísticos'!$D$10+'Testes estatísticos'!$D$20)/2,"")</f>
        <v>1.0518490000000007</v>
      </c>
      <c r="Q183" s="7">
        <f>IF(16&gt;=5,('Testes estatísticos'!$D$10+'Testes estatísticos'!$D$21)/2,"")</f>
        <v>-6.2479855000000022</v>
      </c>
      <c r="R183" s="7">
        <f>IF(17&gt;=5,('Testes estatísticos'!$D$10+'Testes estatísticos'!$D$22)/2,"")</f>
        <v>-2.7866415000000018</v>
      </c>
      <c r="S183" s="7">
        <f>IF(18&gt;=5,('Testes estatísticos'!$D$10+'Testes estatísticos'!$D$23)/2,"")</f>
        <v>-3.860755000000001</v>
      </c>
      <c r="T183" s="7">
        <f>IF(19&gt;=5,('Testes estatísticos'!$D$10+'Testes estatísticos'!$D$24)/2,"")</f>
        <v>-3.4623140000000028</v>
      </c>
      <c r="U183" s="7">
        <f>IF(20&gt;=5,('Testes estatísticos'!$D$10+'Testes estatísticos'!$D$25)/2,"")</f>
        <v>-4.4076819999999977</v>
      </c>
      <c r="V183" s="7">
        <f>IF(21&gt;=5,('Testes estatísticos'!$D$10+'Testes estatísticos'!$D$26)/2,"")</f>
        <v>-2.548997</v>
      </c>
      <c r="W183" s="7">
        <f>IF(22&gt;=5,('Testes estatísticos'!$D$10+'Testes estatísticos'!$D$27)/2,"")</f>
        <v>-2.585226500000001</v>
      </c>
      <c r="X183" s="7">
        <f>IF(23&gt;=5,('Testes estatísticos'!$D$10+'Testes estatísticos'!$D$28)/2,"")</f>
        <v>-2.7081039999999987</v>
      </c>
      <c r="Y183" s="7">
        <f>IF(24&gt;=5,('Testes estatísticos'!$D$10+'Testes estatísticos'!$D$29)/2,"")</f>
        <v>-2.1449235000000009</v>
      </c>
      <c r="Z183" s="7">
        <f>IF(25&gt;=5,('Testes estatísticos'!$D$10+'Testes estatísticos'!$D$30)/2,"")</f>
        <v>-1.8313605000000024</v>
      </c>
      <c r="AA183" s="7">
        <f>IF(26&gt;=5,('Testes estatísticos'!$D$10+'Testes estatísticos'!$D$31)/2,"")</f>
        <v>-1.82789</v>
      </c>
      <c r="AB183" s="7">
        <f>IF(27&gt;=5,('Testes estatísticos'!$D$10+'Testes estatísticos'!$D$32)/2,"")</f>
        <v>-1.932499</v>
      </c>
      <c r="AC183" s="7">
        <f>IF(28&gt;=5,('Testes estatísticos'!$D$10+'Testes estatísticos'!$D$33)/2,"")</f>
        <v>-1.8727845000000016</v>
      </c>
      <c r="AD183" s="7">
        <f>IF(29&gt;=5,('Testes estatísticos'!$D$10+'Testes estatísticos'!$D$34)/2,"")</f>
        <v>-1.1435225000000031</v>
      </c>
      <c r="AE183" s="7">
        <f>IF(30&gt;=5,('Testes estatísticos'!$D$10+'Testes estatísticos'!$D$35)/2,"")</f>
        <v>-2.4570685000000019</v>
      </c>
      <c r="AF183" s="7">
        <f>IF(31&gt;=5,('Testes estatísticos'!$D$10+'Testes estatísticos'!$D$36)/2,"")</f>
        <v>-2.7994629999999994</v>
      </c>
      <c r="AG183" s="7">
        <f>IF(32&gt;=5,('Testes estatísticos'!$D$10+'Testes estatísticos'!$D$37)/2,"")</f>
        <v>-1.6958425000000013</v>
      </c>
      <c r="AH183" s="7">
        <f>IF(33&gt;=5,('Testes estatísticos'!$D$10+'Testes estatísticos'!$D$38)/2,"")</f>
        <v>-1.8613820000000025</v>
      </c>
      <c r="AI183" s="7">
        <f>IF(34&gt;=5,('Testes estatísticos'!$D$10+'Testes estatísticos'!$D$39)/2,"")</f>
        <v>0.9551639999999999</v>
      </c>
      <c r="AJ183" s="7">
        <f>IF(35&gt;=5,('Testes estatísticos'!$D$10+'Testes estatísticos'!$D$40)/2,"")</f>
        <v>-1.7863340000000001</v>
      </c>
      <c r="AK183" s="7">
        <f>IF(36&gt;=5,('Testes estatísticos'!$D$10+'Testes estatísticos'!$D$41)/2,"")</f>
        <v>0.48161049999999861</v>
      </c>
      <c r="AL183" s="7">
        <f>IF(37&gt;=5,('Testes estatísticos'!$D$10+'Testes estatísticos'!$D$42)/2,"")</f>
        <v>-1.7969505000000012</v>
      </c>
      <c r="AM183" s="7">
        <f>IF(38&gt;=5,('Testes estatísticos'!$D$10+'Testes estatísticos'!$D$43)/2,"")</f>
        <v>-1.7840910000000001</v>
      </c>
      <c r="AN183" s="7">
        <f>IF(39&gt;=5,('Testes estatísticos'!$D$10+'Testes estatísticos'!$D$44)/2,"")</f>
        <v>-2.9210850000000015</v>
      </c>
      <c r="AO183" s="7">
        <f>IF(40&gt;=5,('Testes estatísticos'!$D$10+'Testes estatísticos'!$D$45)/2,"")</f>
        <v>1.0538414999999972</v>
      </c>
      <c r="AP183" s="7">
        <f>IF(41&gt;=5,('Testes estatísticos'!$D$10+'Testes estatísticos'!$D$46)/2,"")</f>
        <v>-1.4520979999999994</v>
      </c>
      <c r="AQ183" s="7">
        <f>IF(42&gt;=5,('Testes estatísticos'!$D$10+'Testes estatísticos'!$D$47)/2,"")</f>
        <v>-0.30973900000000043</v>
      </c>
      <c r="AR183" s="7">
        <f>IF(43&gt;=5,('Testes estatísticos'!$D$10+'Testes estatísticos'!$D$48)/2,"")</f>
        <v>-1.3586530000000003</v>
      </c>
      <c r="AS183" s="7">
        <f>IF(44&gt;=5,('Testes estatísticos'!$D$10+'Testes estatísticos'!$D$49)/2,"")</f>
        <v>-1.8897760000000012</v>
      </c>
      <c r="AT183" s="7">
        <f>IF(45&gt;=5,('Testes estatísticos'!$D$10+'Testes estatísticos'!$D$50)/2,"")</f>
        <v>-1.0606974999999998</v>
      </c>
      <c r="AU183" s="7">
        <f>IF(46&gt;=5,('Testes estatísticos'!$D$10+'Testes estatísticos'!$D$51)/2,"")</f>
        <v>-4.0918935000000012</v>
      </c>
      <c r="AV183" s="7">
        <f>IF(47&gt;=5,('Testes estatísticos'!$D$10+'Testes estatísticos'!$D$52)/2,"")</f>
        <v>0.9782794999999993</v>
      </c>
      <c r="AW183" s="7">
        <f>IF(48&gt;=5,('Testes estatísticos'!$D$10+'Testes estatísticos'!$D$53)/2,"")</f>
        <v>-3.4577515000000005</v>
      </c>
      <c r="AX183" s="7">
        <f>IF(49&gt;=5,('Testes estatísticos'!$D$10+'Testes estatísticos'!$D$54)/2,"")</f>
        <v>-2.1979609999999994</v>
      </c>
      <c r="AY183" s="7">
        <f>IF(50&gt;=5,('Testes estatísticos'!$D$10+'Testes estatísticos'!$D$55)/2,"")</f>
        <v>-0.57279649999999904</v>
      </c>
      <c r="AZ183" s="7">
        <f>IF(51&gt;=5,('Testes estatísticos'!$D$10+'Testes estatísticos'!$D$56)/2,"")</f>
        <v>-0.52832700000000088</v>
      </c>
      <c r="BA183" s="7">
        <f>IF(52&gt;=5,('Testes estatísticos'!$D$10+'Testes estatísticos'!$D$57)/2,"")</f>
        <v>-3.9365430000000003</v>
      </c>
      <c r="BB183" s="7">
        <f>IF(53&gt;=5,('Testes estatísticos'!$D$10+'Testes estatísticos'!$D$58)/2,"")</f>
        <v>-0.52778049999999865</v>
      </c>
      <c r="BC183" s="7">
        <f>IF(54&gt;=5,('Testes estatísticos'!$D$10+'Testes estatísticos'!$D$59)/2,"")</f>
        <v>-1.4474230000000006</v>
      </c>
      <c r="BD183" s="7">
        <f>IF(55&gt;=5,('Testes estatísticos'!$D$10+'Testes estatísticos'!$D$60)/2,"")</f>
        <v>1.6482479999999988</v>
      </c>
      <c r="BE183" s="7">
        <f>IF(56&gt;=5,('Testes estatísticos'!$D$10+'Testes estatísticos'!$D$61)/2,"")</f>
        <v>-0.981720499999998</v>
      </c>
      <c r="BF183" s="7">
        <f>IF(57&gt;=5,('Testes estatísticos'!$D$10+'Testes estatísticos'!$D$62)/2,"")</f>
        <v>-4.3819105000000036</v>
      </c>
      <c r="BG183" s="7">
        <f>IF(58&gt;=5,('Testes estatísticos'!$D$10+'Testes estatísticos'!$D$63)/2,"")</f>
        <v>0.88398450000000039</v>
      </c>
      <c r="BH183" s="7">
        <f>IF(59&gt;=5,('Testes estatísticos'!$D$10+'Testes estatísticos'!$D$64)/2,"")</f>
        <v>-4.9596280000000021</v>
      </c>
      <c r="BI183" s="7">
        <f>IF(60&gt;=5,('Testes estatísticos'!$D$10+'Testes estatísticos'!$D$65)/2,"")</f>
        <v>-3.2120369999999987</v>
      </c>
      <c r="BJ183" s="7">
        <f>IF(61&gt;=5,('Testes estatísticos'!$D$10+'Testes estatísticos'!$D$66)/2,"")</f>
        <v>-0.57698200000000099</v>
      </c>
      <c r="BK183" s="7">
        <f>IF(62&gt;=5,('Testes estatísticos'!$D$10+'Testes estatísticos'!$D$67)/2,"")</f>
        <v>-1.0857770000000002</v>
      </c>
      <c r="BL183" s="7">
        <f>IF(63&gt;=5,('Testes estatísticos'!$D$10+'Testes estatísticos'!$D$68)/2,"")</f>
        <v>-0.18646250000000109</v>
      </c>
      <c r="BM183" s="7">
        <f>IF(64&gt;=5,('Testes estatísticos'!$D$10+'Testes estatísticos'!$D$69)/2,"")</f>
        <v>-0.1356205000000017</v>
      </c>
      <c r="BN183" s="7">
        <f>IF(65&gt;=5,('Testes estatísticos'!$D$10+'Testes estatísticos'!$D$70)/2,"")</f>
        <v>-2.2814270000000008</v>
      </c>
      <c r="BO183" s="7">
        <f>IF(66&gt;=5,('Testes estatísticos'!$D$10+'Testes estatísticos'!$D$71)/2,"")</f>
        <v>-1.3855745000000006</v>
      </c>
      <c r="BP183" s="7">
        <f>IF(67&gt;=5,('Testes estatísticos'!$D$10+'Testes estatísticos'!$D$72)/2,"")</f>
        <v>-4.2760335000000005</v>
      </c>
      <c r="BQ183" s="7">
        <f>IF(68&gt;=5,('Testes estatísticos'!$D$10+'Testes estatísticos'!$D$73)/2,"")</f>
        <v>0.3871994999999977</v>
      </c>
      <c r="BR183" s="7">
        <f>IF(69&gt;=5,('Testes estatísticos'!$D$10+'Testes estatísticos'!$D$74)/2,"")</f>
        <v>1.0193814999999979</v>
      </c>
      <c r="BS183" s="7">
        <f>IF(70&gt;=5,('Testes estatísticos'!$D$10+'Testes estatísticos'!$D$75)/2,"")</f>
        <v>1.491699999999696E-2</v>
      </c>
      <c r="BT183" s="7">
        <f>IF(71&gt;=5,('Testes estatísticos'!$D$10+'Testes estatísticos'!$D$76)/2,"")</f>
        <v>1.5892819999999972</v>
      </c>
      <c r="BU183" s="7">
        <f>IF(72&gt;=5,('Testes estatísticos'!$D$10+'Testes estatísticos'!$D$77)/2,"")</f>
        <v>-4.0104150000000018</v>
      </c>
      <c r="BV183" s="7">
        <f>IF(73&gt;=5,('Testes estatísticos'!$D$10+'Testes estatísticos'!$D$78)/2,"")</f>
        <v>-1.9369405000000022</v>
      </c>
      <c r="BW183" s="7">
        <f>IF(74&gt;=5,('Testes estatísticos'!$D$10+'Testes estatísticos'!$D$79)/2,"")</f>
        <v>-2.6202590000000008</v>
      </c>
      <c r="BX183" s="7">
        <f>IF(75&gt;=5,('Testes estatísticos'!$D$10+'Testes estatísticos'!$D$80)/2,"")</f>
        <v>-2.642037000000002</v>
      </c>
      <c r="BY183" s="7">
        <f>IF(76&gt;=5,('Testes estatísticos'!$D$10+'Testes estatísticos'!$D$81)/2,"")</f>
        <v>1.4894210000000001</v>
      </c>
      <c r="BZ183" s="7">
        <f>IF(77&gt;=5,('Testes estatísticos'!$D$10+'Testes estatísticos'!$D$82)/2,"")</f>
        <v>-3.7721684999999994</v>
      </c>
      <c r="CA183" s="7">
        <f>IF(78&gt;=5,('Testes estatísticos'!$D$10+'Testes estatísticos'!$D$83)/2,"")</f>
        <v>-2.011909499999998</v>
      </c>
      <c r="CB183" s="7">
        <f>IF(79&gt;=5,('Testes estatísticos'!$D$10+'Testes estatísticos'!$D$84)/2,"")</f>
        <v>-1.9601870000000012</v>
      </c>
      <c r="CC183" s="7">
        <f>IF(80&gt;=5,('Testes estatísticos'!$D$10+'Testes estatísticos'!$D$85)/2,"")</f>
        <v>-3.7672035000000008</v>
      </c>
      <c r="CD183" s="7">
        <f>IF(81&gt;=5,('Testes estatísticos'!$D$10+'Testes estatísticos'!$D$86)/2,"")</f>
        <v>-3.8173485000000014</v>
      </c>
      <c r="CE183" s="7">
        <f>IF(82&gt;=5,('Testes estatísticos'!$D$10+'Testes estatísticos'!$D$87)/2,"")</f>
        <v>-1.7395580000000024</v>
      </c>
      <c r="CF183" s="7">
        <f>IF(83&gt;=5,('Testes estatísticos'!$D$10+'Testes estatísticos'!$D$88)/2,"")</f>
        <v>-2.2683650000000029</v>
      </c>
      <c r="CG183" s="7">
        <f>IF(84&gt;=5,('Testes estatísticos'!$D$10+'Testes estatísticos'!$D$89)/2,"")</f>
        <v>-2.6002720000000004</v>
      </c>
      <c r="CH183" s="7">
        <f>IF(85&gt;=5,('Testes estatísticos'!$D$10+'Testes estatísticos'!$D$90)/2,"")</f>
        <v>-0.78472500000000167</v>
      </c>
      <c r="CI183" s="7">
        <f>IF(86&gt;=5,('Testes estatísticos'!$D$10+'Testes estatísticos'!$D$91)/2,"")</f>
        <v>-3.4748844999999982</v>
      </c>
      <c r="CJ183" s="7">
        <f>IF(87&gt;=5,('Testes estatísticos'!$D$10+'Testes estatísticos'!$D$92)/2,"")</f>
        <v>-2.2326779999999999</v>
      </c>
      <c r="CK183" s="7">
        <f>IF(88&gt;=5,('Testes estatísticos'!$D$10+'Testes estatísticos'!$D$93)/2,"")</f>
        <v>-1.9885945000000014</v>
      </c>
      <c r="CL183" s="7">
        <f>IF(89&gt;=5,('Testes estatísticos'!$D$10+'Testes estatísticos'!$D$94)/2,"")</f>
        <v>-2.6001865000000031</v>
      </c>
      <c r="CM183" s="7">
        <f>IF(90&gt;=5,('Testes estatísticos'!$D$10+'Testes estatísticos'!$D$95)/2,"")</f>
        <v>-4.9343184999999998</v>
      </c>
      <c r="CN183" s="7">
        <f>IF(91&gt;=5,('Testes estatísticos'!$D$10+'Testes estatísticos'!$D$96)/2,"")</f>
        <v>-2.3957954999999984</v>
      </c>
      <c r="CO183" s="7">
        <f>IF(92&gt;=5,('Testes estatísticos'!$D$10+'Testes estatísticos'!$D$97)/2,"")</f>
        <v>-2.7422989999999992</v>
      </c>
      <c r="CP183" s="7">
        <f>IF(93&gt;=5,('Testes estatísticos'!$D$10+'Testes estatísticos'!$D$98)/2,"")</f>
        <v>-2.9470509999999983</v>
      </c>
      <c r="CQ183" s="7">
        <f>IF(94&gt;=5,('Testes estatísticos'!$D$10+'Testes estatísticos'!$D$99)/2,"")</f>
        <v>-0.76589300000000193</v>
      </c>
      <c r="CR183" s="7">
        <f>IF(95&gt;=5,('Testes estatísticos'!$D$10+'Testes estatísticos'!$D$100)/2,"")</f>
        <v>-2.6716860000000011</v>
      </c>
      <c r="CS183" s="7">
        <f>IF(96&gt;=5,('Testes estatísticos'!$D$10+'Testes estatísticos'!$D$101)/2,"")</f>
        <v>-2.6276990000000033</v>
      </c>
      <c r="CT183" s="7">
        <f>IF(97&gt;=5,('Testes estatísticos'!$D$10+'Testes estatísticos'!$D$102)/2,"")</f>
        <v>-2.3946485000000024</v>
      </c>
      <c r="CU183" s="7">
        <f>IF(98&gt;=5,('Testes estatísticos'!$D$10+'Testes estatísticos'!$D$103)/2,"")</f>
        <v>-2.3373224999999991</v>
      </c>
      <c r="CV183" s="7">
        <f>IF(99&gt;=5,('Testes estatísticos'!$D$10+'Testes estatísticos'!$D$104)/2,"")</f>
        <v>-2.7721485000000001</v>
      </c>
      <c r="CW183" s="7">
        <f>IF(100&gt;=5,('Testes estatísticos'!$D$10+'Testes estatísticos'!$D$105)/2,"")</f>
        <v>-2.8716144999999997</v>
      </c>
      <c r="CX183" s="7">
        <f>IF(101&gt;=5,('Testes estatísticos'!$D$10+'Testes estatísticos'!$D$106)/2,"")</f>
        <v>-2.3486879999999992</v>
      </c>
      <c r="CY183" s="7">
        <f>IF(102&gt;=5,('Testes estatísticos'!$D$10+'Testes estatísticos'!$D$107)/2,"")</f>
        <v>-2.4043530000000004</v>
      </c>
      <c r="CZ183" s="7">
        <f>IF(103&gt;=5,('Testes estatísticos'!$D$10+'Testes estatísticos'!$D$108)/2,"")</f>
        <v>-2.9285195000000002</v>
      </c>
      <c r="DA183" s="7">
        <f>IF(104&gt;=5,('Testes estatísticos'!$D$10+'Testes estatísticos'!$D$109)/2,"")</f>
        <v>-2.6658854999999981</v>
      </c>
      <c r="DB183" s="7">
        <f>IF(105&gt;=5,('Testes estatísticos'!$D$10+'Testes estatísticos'!$D$110)/2,"")</f>
        <v>-2.6315545</v>
      </c>
      <c r="DC183" s="7">
        <f>IF(106&gt;=5,('Testes estatísticos'!$D$10+'Testes estatísticos'!$D$111)/2,"")</f>
        <v>-1.888633500000001</v>
      </c>
      <c r="DD183" s="7">
        <f>IF(107&gt;=5,('Testes estatísticos'!$D$10+'Testes estatísticos'!$D$112)/2,"")</f>
        <v>1.6045374999999993</v>
      </c>
      <c r="DE183" s="7">
        <f>IF(108&gt;=5,('Testes estatísticos'!$D$10+'Testes estatísticos'!$D$113)/2,"")</f>
        <v>-1.8180979999999991</v>
      </c>
      <c r="DF183" s="7">
        <f>IF(109&gt;=5,('Testes estatísticos'!$D$10+'Testes estatísticos'!$D$114)/2,"")</f>
        <v>-1.8543549999999982</v>
      </c>
      <c r="DG183" s="7">
        <f>IF(110&gt;=5,('Testes estatísticos'!$D$10+'Testes estatísticos'!$D$115)/2,"")</f>
        <v>-7.4014945000000019</v>
      </c>
      <c r="DH183" s="7">
        <f>IF(111&gt;=5,('Testes estatísticos'!$D$10+'Testes estatísticos'!$D$116)/2,"")</f>
        <v>-1.7206639999999993</v>
      </c>
      <c r="DI183" s="7">
        <f>IF(112&gt;=5,('Testes estatísticos'!$D$10+'Testes estatísticos'!$D$117)/2,"")</f>
        <v>3.7077759999999991</v>
      </c>
      <c r="DJ183" s="7">
        <f>IF(113&gt;=5,('Testes estatísticos'!$D$10+'Testes estatísticos'!$D$118)/2,"")</f>
        <v>-1.748781000000001</v>
      </c>
      <c r="DK183" s="7">
        <f>IF(114&gt;=5,('Testes estatísticos'!$D$10+'Testes estatísticos'!$D$119)/2,"")</f>
        <v>-1.8505310000000001</v>
      </c>
      <c r="DL183" s="7">
        <f>IF(115&gt;=5,('Testes estatísticos'!$D$10+'Testes estatísticos'!$D$120)/2,"")</f>
        <v>-1.8040534999999984</v>
      </c>
      <c r="DM183" s="7">
        <f>IF(116&gt;=5,('Testes estatísticos'!$D$10+'Testes estatísticos'!$D$121)/2,"")</f>
        <v>-1.7954509999999999</v>
      </c>
      <c r="DN183" s="7">
        <f>IF(117&gt;=5,('Testes estatísticos'!$D$10+'Testes estatísticos'!$D$122)/2,"")</f>
        <v>-1.7723830000000014</v>
      </c>
      <c r="DO183" s="7">
        <f>IF(118&gt;=5,('Testes estatísticos'!$D$10+'Testes estatísticos'!$D$123)/2,"")</f>
        <v>-1.7224725000000021</v>
      </c>
      <c r="DP183" s="7">
        <f>IF(119&gt;=5,('Testes estatísticos'!$D$10+'Testes estatísticos'!$D$124)/2,"")</f>
        <v>-1.7436840000000018</v>
      </c>
      <c r="DQ183" s="7">
        <f>IF(120&gt;=5,('Testes estatísticos'!$D$10+'Testes estatísticos'!$D$125)/2,"")</f>
        <v>1.3079305000000012</v>
      </c>
      <c r="DR183" s="7">
        <f>IF(121&gt;=5,('Testes estatísticos'!$D$10+'Testes estatísticos'!$D$126)/2,"")</f>
        <v>-1.4810860000000012</v>
      </c>
      <c r="DS183" s="7">
        <f>IF(122&gt;=5,('Testes estatísticos'!$D$10+'Testes estatísticos'!$D$127)/2,"")</f>
        <v>-2.5464944999999979</v>
      </c>
      <c r="DT183" s="7">
        <f>IF(123&gt;=5,('Testes estatísticos'!$D$10+'Testes estatísticos'!$D$128)/2,"")</f>
        <v>3.5223749999999967</v>
      </c>
      <c r="DU183" s="7">
        <f>IF(124&gt;=5,('Testes estatísticos'!$D$10+'Testes estatísticos'!$D$129)/2,"")</f>
        <v>-1.3733965000000019</v>
      </c>
      <c r="DV183" s="7">
        <f>IF(125&gt;=5,('Testes estatísticos'!$D$10+'Testes estatísticos'!$D$130)/2,"")</f>
        <v>-0.21508900000000253</v>
      </c>
      <c r="DW183" s="7">
        <f>IF(126&gt;=5,('Testes estatísticos'!$D$10+'Testes estatísticos'!$D$131)/2,"")</f>
        <v>-2.6185650000000003</v>
      </c>
      <c r="DX183" s="7">
        <f>IF(127&gt;=5,('Testes estatísticos'!$D$10+'Testes estatísticos'!$D$132)/2,"")</f>
        <v>-4.6747565000000009</v>
      </c>
      <c r="DY183" s="7">
        <f>IF(128&gt;=5,('Testes estatísticos'!$D$10+'Testes estatísticos'!$D$133)/2,"")</f>
        <v>-5.0158459999999998</v>
      </c>
      <c r="DZ183" s="7">
        <f>IF(129&gt;=5,('Testes estatísticos'!$D$10+'Testes estatísticos'!$D$134)/2,"")</f>
        <v>-8.4396360000000001</v>
      </c>
      <c r="EA183" s="7">
        <f>IF(130&gt;=5,('Testes estatísticos'!$D$10+'Testes estatísticos'!$D$135)/2,"")</f>
        <v>-2.6778659999999981</v>
      </c>
      <c r="EB183" s="7">
        <f>IF(131&gt;=5,('Testes estatísticos'!$D$10+'Testes estatísticos'!$D$136)/2,"")</f>
        <v>-2.5899930000000033</v>
      </c>
      <c r="EC183" s="7">
        <f>IF(132&gt;=5,('Testes estatísticos'!$D$10+'Testes estatísticos'!$D$137)/2,"")</f>
        <v>-4.0767295000000026</v>
      </c>
      <c r="ED183" s="7">
        <f>IF(133&gt;=5,('Testes estatísticos'!$D$10+'Testes estatísticos'!$D$138)/2,"")</f>
        <v>-1.887792000000001</v>
      </c>
      <c r="EE183" s="7">
        <f>IF(134&gt;=5,('Testes estatísticos'!$D$10+'Testes estatísticos'!$D$139)/2,"")</f>
        <v>-4.1849825000000038</v>
      </c>
      <c r="EF183" s="7">
        <f>IF(135&gt;=5,('Testes estatísticos'!$D$10+'Testes estatísticos'!$D$140)/2,"")</f>
        <v>-0.97054999999999936</v>
      </c>
      <c r="EG183" s="7">
        <f>IF(136&gt;=5,('Testes estatísticos'!$D$10+'Testes estatísticos'!$D$141)/2,"")</f>
        <v>-2.6640400000000035</v>
      </c>
      <c r="EH183" s="7">
        <f>IF(137&gt;=5,('Testes estatísticos'!$D$10+'Testes estatísticos'!$D$142)/2,"")</f>
        <v>-0.95930000000000248</v>
      </c>
      <c r="EI183" s="7">
        <f>IF(138&gt;=5,('Testes estatísticos'!$D$10+'Testes estatísticos'!$D$143)/2,"")</f>
        <v>-2.624315499999998</v>
      </c>
      <c r="EJ183" s="7"/>
      <c r="EK183" s="7"/>
      <c r="EL183" s="7"/>
    </row>
    <row r="184" spans="1:151" x14ac:dyDescent="0.3">
      <c r="B184" s="7" t="str">
        <f>IF(1&gt;=6,('Testes estatísticos'!$D$11+'Testes estatísticos'!$D$6)/2,"")</f>
        <v/>
      </c>
      <c r="C184" s="7" t="str">
        <f>IF(2&gt;=6,('Testes estatísticos'!$D$11+'Testes estatísticos'!$D$7)/2,"")</f>
        <v/>
      </c>
      <c r="D184" s="7" t="str">
        <f>IF(3&gt;=6,('Testes estatísticos'!$D$11+'Testes estatísticos'!$D$8)/2,"")</f>
        <v/>
      </c>
      <c r="E184" s="7" t="str">
        <f>IF(4&gt;=6,('Testes estatísticos'!$D$11+'Testes estatísticos'!$D$9)/2,"")</f>
        <v/>
      </c>
      <c r="F184" s="7" t="str">
        <f>IF(5&gt;=6,('Testes estatísticos'!$D$11+'Testes estatísticos'!$D$10)/2,"")</f>
        <v/>
      </c>
      <c r="G184" s="7">
        <f>IF(6&gt;=6,('Testes estatísticos'!$D$11+'Testes estatísticos'!$D$11)/2,"")</f>
        <v>4.7130879999999991</v>
      </c>
      <c r="H184" s="7">
        <f>IF(7&gt;=6,('Testes estatísticos'!$D$11+'Testes estatísticos'!$D$12)/2,"")</f>
        <v>-2.1441214999999971</v>
      </c>
      <c r="I184" s="7">
        <f>IF(8&gt;=6,('Testes estatísticos'!$D$11+'Testes estatísticos'!$D$13)/2,"")</f>
        <v>1.7261044999999982</v>
      </c>
      <c r="J184" s="7">
        <f>IF(9&gt;=6,('Testes estatísticos'!$D$11+'Testes estatísticos'!$D$14)/2,"")</f>
        <v>2.3791634999999971</v>
      </c>
      <c r="K184" s="7">
        <f>IF(10&gt;=6,('Testes estatísticos'!$D$11+'Testes estatísticos'!$D$15)/2,"")</f>
        <v>2.0713484999999991</v>
      </c>
      <c r="L184" s="7">
        <f>IF(11&gt;=6,('Testes estatísticos'!$D$11+'Testes estatísticos'!$D$16)/2,"")</f>
        <v>1.4777275000000003</v>
      </c>
      <c r="M184" s="7">
        <f>IF(12&gt;=6,('Testes estatísticos'!$D$11+'Testes estatísticos'!$D$17)/2,"")</f>
        <v>-1.791545499999998</v>
      </c>
      <c r="N184" s="7">
        <f>IF(13&gt;=6,('Testes estatísticos'!$D$11+'Testes estatísticos'!$D$18)/2,"")</f>
        <v>4.0621404999999982</v>
      </c>
      <c r="O184" s="7">
        <f>IF(14&gt;=6,('Testes estatísticos'!$D$11+'Testes estatísticos'!$D$19)/2,"")</f>
        <v>2.7198475000000002</v>
      </c>
      <c r="P184" s="7">
        <f>IF(15&gt;=6,('Testes estatísticos'!$D$11+'Testes estatísticos'!$D$20)/2,"")</f>
        <v>4.1395510000000009</v>
      </c>
      <c r="Q184" s="7">
        <f>IF(16&gt;=6,('Testes estatísticos'!$D$11+'Testes estatísticos'!$D$21)/2,"")</f>
        <v>-3.160283500000002</v>
      </c>
      <c r="R184" s="7">
        <f>IF(17&gt;=6,('Testes estatísticos'!$D$11+'Testes estatísticos'!$D$22)/2,"")</f>
        <v>0.3010604999999984</v>
      </c>
      <c r="S184" s="7">
        <f>IF(18&gt;=6,('Testes estatísticos'!$D$11+'Testes estatísticos'!$D$23)/2,"")</f>
        <v>-0.77305300000000088</v>
      </c>
      <c r="T184" s="7">
        <f>IF(19&gt;=6,('Testes estatísticos'!$D$11+'Testes estatísticos'!$D$24)/2,"")</f>
        <v>-0.37461200000000261</v>
      </c>
      <c r="U184" s="7">
        <f>IF(20&gt;=6,('Testes estatísticos'!$D$11+'Testes estatísticos'!$D$25)/2,"")</f>
        <v>-1.3199799999999975</v>
      </c>
      <c r="V184" s="7">
        <f>IF(21&gt;=6,('Testes estatísticos'!$D$11+'Testes estatísticos'!$D$26)/2,"")</f>
        <v>0.53870500000000021</v>
      </c>
      <c r="W184" s="7">
        <f>IF(22&gt;=6,('Testes estatísticos'!$D$11+'Testes estatísticos'!$D$27)/2,"")</f>
        <v>0.50247549999999919</v>
      </c>
      <c r="X184" s="7">
        <f>IF(23&gt;=6,('Testes estatísticos'!$D$11+'Testes estatísticos'!$D$28)/2,"")</f>
        <v>0.37959800000000143</v>
      </c>
      <c r="Y184" s="7">
        <f>IF(24&gt;=6,('Testes estatísticos'!$D$11+'Testes estatísticos'!$D$29)/2,"")</f>
        <v>0.9427784999999993</v>
      </c>
      <c r="Z184" s="7">
        <f>IF(25&gt;=6,('Testes estatísticos'!$D$11+'Testes estatísticos'!$D$30)/2,"")</f>
        <v>1.2563414999999978</v>
      </c>
      <c r="AA184" s="7">
        <f>IF(26&gt;=6,('Testes estatísticos'!$D$11+'Testes estatísticos'!$D$31)/2,"")</f>
        <v>1.2598120000000002</v>
      </c>
      <c r="AB184" s="7">
        <f>IF(27&gt;=6,('Testes estatísticos'!$D$11+'Testes estatísticos'!$D$32)/2,"")</f>
        <v>1.1552030000000002</v>
      </c>
      <c r="AC184" s="7">
        <f>IF(28&gt;=6,('Testes estatísticos'!$D$11+'Testes estatísticos'!$D$33)/2,"")</f>
        <v>1.2149174999999985</v>
      </c>
      <c r="AD184" s="7">
        <f>IF(29&gt;=6,('Testes estatísticos'!$D$11+'Testes estatísticos'!$D$34)/2,"")</f>
        <v>1.9441794999999971</v>
      </c>
      <c r="AE184" s="7">
        <f>IF(30&gt;=6,('Testes estatísticos'!$D$11+'Testes estatísticos'!$D$35)/2,"")</f>
        <v>0.63063349999999829</v>
      </c>
      <c r="AF184" s="7">
        <f>IF(31&gt;=6,('Testes estatísticos'!$D$11+'Testes estatísticos'!$D$36)/2,"")</f>
        <v>0.2882390000000008</v>
      </c>
      <c r="AG184" s="7">
        <f>IF(32&gt;=6,('Testes estatísticos'!$D$11+'Testes estatísticos'!$D$37)/2,"")</f>
        <v>1.3918594999999989</v>
      </c>
      <c r="AH184" s="7">
        <f>IF(33&gt;=6,('Testes estatísticos'!$D$11+'Testes estatísticos'!$D$38)/2,"")</f>
        <v>1.2263199999999976</v>
      </c>
      <c r="AI184" s="7">
        <f>IF(34&gt;=6,('Testes estatísticos'!$D$11+'Testes estatísticos'!$D$39)/2,"")</f>
        <v>4.0428660000000001</v>
      </c>
      <c r="AJ184" s="7">
        <f>IF(35&gt;=6,('Testes estatísticos'!$D$11+'Testes estatísticos'!$D$40)/2,"")</f>
        <v>1.3013680000000001</v>
      </c>
      <c r="AK184" s="7">
        <f>IF(36&gt;=6,('Testes estatísticos'!$D$11+'Testes estatísticos'!$D$41)/2,"")</f>
        <v>3.5693124999999988</v>
      </c>
      <c r="AL184" s="7">
        <f>IF(37&gt;=6,('Testes estatísticos'!$D$11+'Testes estatísticos'!$D$42)/2,"")</f>
        <v>1.2907514999999989</v>
      </c>
      <c r="AM184" s="7">
        <f>IF(38&gt;=6,('Testes estatísticos'!$D$11+'Testes estatísticos'!$D$43)/2,"")</f>
        <v>1.3036110000000001</v>
      </c>
      <c r="AN184" s="7">
        <f>IF(39&gt;=6,('Testes estatísticos'!$D$11+'Testes estatísticos'!$D$44)/2,"")</f>
        <v>0.16661699999999868</v>
      </c>
      <c r="AO184" s="7">
        <f>IF(40&gt;=6,('Testes estatísticos'!$D$11+'Testes estatísticos'!$D$45)/2,"")</f>
        <v>4.1415434999999974</v>
      </c>
      <c r="AP184" s="7">
        <f>IF(41&gt;=6,('Testes estatísticos'!$D$11+'Testes estatísticos'!$D$46)/2,"")</f>
        <v>1.6356040000000007</v>
      </c>
      <c r="AQ184" s="7">
        <f>IF(42&gt;=6,('Testes estatísticos'!$D$11+'Testes estatísticos'!$D$47)/2,"")</f>
        <v>2.7779629999999997</v>
      </c>
      <c r="AR184" s="7">
        <f>IF(43&gt;=6,('Testes estatísticos'!$D$11+'Testes estatísticos'!$D$48)/2,"")</f>
        <v>1.7290489999999998</v>
      </c>
      <c r="AS184" s="7">
        <f>IF(44&gt;=6,('Testes estatísticos'!$D$11+'Testes estatísticos'!$D$49)/2,"")</f>
        <v>1.1979259999999989</v>
      </c>
      <c r="AT184" s="7">
        <f>IF(45&gt;=6,('Testes estatísticos'!$D$11+'Testes estatísticos'!$D$50)/2,"")</f>
        <v>2.0270045000000003</v>
      </c>
      <c r="AU184" s="7">
        <f>IF(46&gt;=6,('Testes estatísticos'!$D$11+'Testes estatísticos'!$D$51)/2,"")</f>
        <v>-1.004191500000001</v>
      </c>
      <c r="AV184" s="7">
        <f>IF(47&gt;=6,('Testes estatísticos'!$D$11+'Testes estatísticos'!$D$52)/2,"")</f>
        <v>4.0659814999999995</v>
      </c>
      <c r="AW184" s="7">
        <f>IF(48&gt;=6,('Testes estatísticos'!$D$11+'Testes estatísticos'!$D$53)/2,"")</f>
        <v>-0.37004950000000036</v>
      </c>
      <c r="AX184" s="7">
        <f>IF(49&gt;=6,('Testes estatísticos'!$D$11+'Testes estatísticos'!$D$54)/2,"")</f>
        <v>0.88974100000000078</v>
      </c>
      <c r="AY184" s="7">
        <f>IF(50&gt;=6,('Testes estatísticos'!$D$11+'Testes estatísticos'!$D$55)/2,"")</f>
        <v>2.5149055000000011</v>
      </c>
      <c r="AZ184" s="7">
        <f>IF(51&gt;=6,('Testes estatísticos'!$D$11+'Testes estatísticos'!$D$56)/2,"")</f>
        <v>2.5593749999999993</v>
      </c>
      <c r="BA184" s="7">
        <f>IF(52&gt;=6,('Testes estatísticos'!$D$11+'Testes estatísticos'!$D$57)/2,"")</f>
        <v>-0.84884100000000018</v>
      </c>
      <c r="BB184" s="7">
        <f>IF(53&gt;=6,('Testes estatísticos'!$D$11+'Testes estatísticos'!$D$58)/2,"")</f>
        <v>2.5599215000000015</v>
      </c>
      <c r="BC184" s="7">
        <f>IF(54&gt;=6,('Testes estatísticos'!$D$11+'Testes estatísticos'!$D$59)/2,"")</f>
        <v>1.6402789999999996</v>
      </c>
      <c r="BD184" s="7">
        <f>IF(55&gt;=6,('Testes estatísticos'!$D$11+'Testes estatísticos'!$D$60)/2,"")</f>
        <v>4.735949999999999</v>
      </c>
      <c r="BE184" s="7">
        <f>IF(56&gt;=6,('Testes estatísticos'!$D$11+'Testes estatísticos'!$D$61)/2,"")</f>
        <v>2.1059815000000022</v>
      </c>
      <c r="BF184" s="7">
        <f>IF(57&gt;=6,('Testes estatísticos'!$D$11+'Testes estatísticos'!$D$62)/2,"")</f>
        <v>-1.2942085000000034</v>
      </c>
      <c r="BG184" s="7">
        <f>IF(58&gt;=6,('Testes estatísticos'!$D$11+'Testes estatísticos'!$D$63)/2,"")</f>
        <v>3.9716865000000006</v>
      </c>
      <c r="BH184" s="7">
        <f>IF(59&gt;=6,('Testes estatísticos'!$D$11+'Testes estatísticos'!$D$64)/2,"")</f>
        <v>-1.871926000000002</v>
      </c>
      <c r="BI184" s="7">
        <f>IF(60&gt;=6,('Testes estatísticos'!$D$11+'Testes estatísticos'!$D$65)/2,"")</f>
        <v>-0.12433499999999853</v>
      </c>
      <c r="BJ184" s="7">
        <f>IF(61&gt;=6,('Testes estatísticos'!$D$11+'Testes estatísticos'!$D$66)/2,"")</f>
        <v>2.5107199999999992</v>
      </c>
      <c r="BK184" s="7">
        <f>IF(62&gt;=6,('Testes estatísticos'!$D$11+'Testes estatísticos'!$D$67)/2,"")</f>
        <v>2.001925</v>
      </c>
      <c r="BL184" s="7">
        <f>IF(63&gt;=6,('Testes estatísticos'!$D$11+'Testes estatísticos'!$D$68)/2,"")</f>
        <v>2.9012394999999991</v>
      </c>
      <c r="BM184" s="7">
        <f>IF(64&gt;=6,('Testes estatísticos'!$D$11+'Testes estatísticos'!$D$69)/2,"")</f>
        <v>2.9520814999999985</v>
      </c>
      <c r="BN184" s="7">
        <f>IF(65&gt;=6,('Testes estatísticos'!$D$11+'Testes estatísticos'!$D$70)/2,"")</f>
        <v>0.80627499999999941</v>
      </c>
      <c r="BO184" s="7">
        <f>IF(66&gt;=6,('Testes estatísticos'!$D$11+'Testes estatísticos'!$D$71)/2,"")</f>
        <v>1.7021274999999996</v>
      </c>
      <c r="BP184" s="7">
        <f>IF(67&gt;=6,('Testes estatísticos'!$D$11+'Testes estatísticos'!$D$72)/2,"")</f>
        <v>-1.1883315000000003</v>
      </c>
      <c r="BQ184" s="7">
        <f>IF(68&gt;=6,('Testes estatísticos'!$D$11+'Testes estatísticos'!$D$73)/2,"")</f>
        <v>3.4749014999999979</v>
      </c>
      <c r="BR184" s="7">
        <f>IF(69&gt;=6,('Testes estatísticos'!$D$11+'Testes estatísticos'!$D$74)/2,"")</f>
        <v>4.1070834999999981</v>
      </c>
      <c r="BS184" s="7">
        <f>IF(70&gt;=6,('Testes estatísticos'!$D$11+'Testes estatísticos'!$D$75)/2,"")</f>
        <v>3.1026189999999971</v>
      </c>
      <c r="BT184" s="7">
        <f>IF(71&gt;=6,('Testes estatísticos'!$D$11+'Testes estatísticos'!$D$76)/2,"")</f>
        <v>4.6769839999999974</v>
      </c>
      <c r="BU184" s="7">
        <f>IF(72&gt;=6,('Testes estatísticos'!$D$11+'Testes estatísticos'!$D$77)/2,"")</f>
        <v>-0.92271300000000167</v>
      </c>
      <c r="BV184" s="7">
        <f>IF(73&gt;=6,('Testes estatísticos'!$D$11+'Testes estatísticos'!$D$78)/2,"")</f>
        <v>1.150761499999998</v>
      </c>
      <c r="BW184" s="7">
        <f>IF(74&gt;=6,('Testes estatísticos'!$D$11+'Testes estatísticos'!$D$79)/2,"")</f>
        <v>0.46744299999999939</v>
      </c>
      <c r="BX184" s="7">
        <f>IF(75&gt;=6,('Testes estatísticos'!$D$11+'Testes estatísticos'!$D$80)/2,"")</f>
        <v>0.4456649999999982</v>
      </c>
      <c r="BY184" s="7">
        <f>IF(76&gt;=6,('Testes estatísticos'!$D$11+'Testes estatísticos'!$D$81)/2,"")</f>
        <v>4.5771230000000003</v>
      </c>
      <c r="BZ184" s="7">
        <f>IF(77&gt;=6,('Testes estatísticos'!$D$11+'Testes estatísticos'!$D$82)/2,"")</f>
        <v>-0.6844664999999992</v>
      </c>
      <c r="CA184" s="7">
        <f>IF(78&gt;=6,('Testes estatísticos'!$D$11+'Testes estatísticos'!$D$83)/2,"")</f>
        <v>1.0757925000000021</v>
      </c>
      <c r="CB184" s="7">
        <f>IF(79&gt;=6,('Testes estatísticos'!$D$11+'Testes estatísticos'!$D$84)/2,"")</f>
        <v>1.1275149999999989</v>
      </c>
      <c r="CC184" s="7">
        <f>IF(80&gt;=6,('Testes estatísticos'!$D$11+'Testes estatísticos'!$D$85)/2,"")</f>
        <v>-0.67950150000000065</v>
      </c>
      <c r="CD184" s="7">
        <f>IF(81&gt;=6,('Testes estatísticos'!$D$11+'Testes estatísticos'!$D$86)/2,"")</f>
        <v>-0.7296465000000012</v>
      </c>
      <c r="CE184" s="7">
        <f>IF(82&gt;=6,('Testes estatísticos'!$D$11+'Testes estatísticos'!$D$87)/2,"")</f>
        <v>1.3481439999999978</v>
      </c>
      <c r="CF184" s="7">
        <f>IF(83&gt;=6,('Testes estatísticos'!$D$11+'Testes estatísticos'!$D$88)/2,"")</f>
        <v>0.81933699999999732</v>
      </c>
      <c r="CG184" s="7">
        <f>IF(84&gt;=6,('Testes estatísticos'!$D$11+'Testes estatísticos'!$D$89)/2,"")</f>
        <v>0.48742999999999981</v>
      </c>
      <c r="CH184" s="7">
        <f>IF(85&gt;=6,('Testes estatísticos'!$D$11+'Testes estatísticos'!$D$90)/2,"")</f>
        <v>2.3029769999999985</v>
      </c>
      <c r="CI184" s="7">
        <f>IF(86&gt;=6,('Testes estatísticos'!$D$11+'Testes estatísticos'!$D$91)/2,"")</f>
        <v>-0.38718249999999799</v>
      </c>
      <c r="CJ184" s="7">
        <f>IF(87&gt;=6,('Testes estatísticos'!$D$11+'Testes estatísticos'!$D$92)/2,"")</f>
        <v>0.85502400000000023</v>
      </c>
      <c r="CK184" s="7">
        <f>IF(88&gt;=6,('Testes estatísticos'!$D$11+'Testes estatísticos'!$D$93)/2,"")</f>
        <v>1.0991074999999988</v>
      </c>
      <c r="CL184" s="7">
        <f>IF(89&gt;=6,('Testes estatísticos'!$D$11+'Testes estatísticos'!$D$94)/2,"")</f>
        <v>0.4875154999999971</v>
      </c>
      <c r="CM184" s="7">
        <f>IF(90&gt;=6,('Testes estatísticos'!$D$11+'Testes estatísticos'!$D$95)/2,"")</f>
        <v>-1.8466164999999997</v>
      </c>
      <c r="CN184" s="7">
        <f>IF(91&gt;=6,('Testes estatísticos'!$D$11+'Testes estatísticos'!$D$96)/2,"")</f>
        <v>0.69190650000000176</v>
      </c>
      <c r="CO184" s="7">
        <f>IF(92&gt;=6,('Testes estatísticos'!$D$11+'Testes estatísticos'!$D$97)/2,"")</f>
        <v>0.34540300000000101</v>
      </c>
      <c r="CP184" s="7">
        <f>IF(93&gt;=6,('Testes estatísticos'!$D$11+'Testes estatísticos'!$D$98)/2,"")</f>
        <v>0.14065100000000186</v>
      </c>
      <c r="CQ184" s="7">
        <f>IF(94&gt;=6,('Testes estatísticos'!$D$11+'Testes estatísticos'!$D$99)/2,"")</f>
        <v>2.3218089999999982</v>
      </c>
      <c r="CR184" s="7">
        <f>IF(95&gt;=6,('Testes estatísticos'!$D$11+'Testes estatísticos'!$D$100)/2,"")</f>
        <v>0.41601599999999905</v>
      </c>
      <c r="CS184" s="7">
        <f>IF(96&gt;=6,('Testes estatísticos'!$D$11+'Testes estatísticos'!$D$101)/2,"")</f>
        <v>0.46000299999999683</v>
      </c>
      <c r="CT184" s="7">
        <f>IF(97&gt;=6,('Testes estatísticos'!$D$11+'Testes estatísticos'!$D$102)/2,"")</f>
        <v>0.69305349999999777</v>
      </c>
      <c r="CU184" s="7">
        <f>IF(98&gt;=6,('Testes estatísticos'!$D$11+'Testes estatísticos'!$D$103)/2,"")</f>
        <v>0.75037950000000109</v>
      </c>
      <c r="CV184" s="7">
        <f>IF(99&gt;=6,('Testes estatísticos'!$D$11+'Testes estatísticos'!$D$104)/2,"")</f>
        <v>0.31555350000000004</v>
      </c>
      <c r="CW184" s="7">
        <f>IF(100&gt;=6,('Testes estatísticos'!$D$11+'Testes estatísticos'!$D$105)/2,"")</f>
        <v>0.21608750000000043</v>
      </c>
      <c r="CX184" s="7">
        <f>IF(101&gt;=6,('Testes estatísticos'!$D$11+'Testes estatísticos'!$D$106)/2,"")</f>
        <v>0.73901400000000095</v>
      </c>
      <c r="CY184" s="7">
        <f>IF(102&gt;=6,('Testes estatísticos'!$D$11+'Testes estatísticos'!$D$107)/2,"")</f>
        <v>0.68334899999999976</v>
      </c>
      <c r="CZ184" s="7">
        <f>IF(103&gt;=6,('Testes estatísticos'!$D$11+'Testes estatísticos'!$D$108)/2,"")</f>
        <v>0.1591825</v>
      </c>
      <c r="DA184" s="7">
        <f>IF(104&gt;=6,('Testes estatísticos'!$D$11+'Testes estatísticos'!$D$109)/2,"")</f>
        <v>0.42181650000000204</v>
      </c>
      <c r="DB184" s="7">
        <f>IF(105&gt;=6,('Testes estatísticos'!$D$11+'Testes estatísticos'!$D$110)/2,"")</f>
        <v>0.45614750000000015</v>
      </c>
      <c r="DC184" s="7">
        <f>IF(106&gt;=6,('Testes estatísticos'!$D$11+'Testes estatísticos'!$D$111)/2,"")</f>
        <v>1.1990684999999992</v>
      </c>
      <c r="DD184" s="7">
        <f>IF(107&gt;=6,('Testes estatísticos'!$D$11+'Testes estatísticos'!$D$112)/2,"")</f>
        <v>4.6922394999999995</v>
      </c>
      <c r="DE184" s="7">
        <f>IF(108&gt;=6,('Testes estatísticos'!$D$11+'Testes estatísticos'!$D$113)/2,"")</f>
        <v>1.2696040000000011</v>
      </c>
      <c r="DF184" s="7">
        <f>IF(109&gt;=6,('Testes estatísticos'!$D$11+'Testes estatísticos'!$D$114)/2,"")</f>
        <v>1.233347000000002</v>
      </c>
      <c r="DG184" s="7">
        <f>IF(110&gt;=6,('Testes estatísticos'!$D$11+'Testes estatísticos'!$D$115)/2,"")</f>
        <v>-4.3137925000000017</v>
      </c>
      <c r="DH184" s="7">
        <f>IF(111&gt;=6,('Testes estatísticos'!$D$11+'Testes estatísticos'!$D$116)/2,"")</f>
        <v>1.3670380000000009</v>
      </c>
      <c r="DI184" s="7">
        <f>IF(112&gt;=6,('Testes estatísticos'!$D$11+'Testes estatísticos'!$D$117)/2,"")</f>
        <v>6.7954779999999992</v>
      </c>
      <c r="DJ184" s="7">
        <f>IF(113&gt;=6,('Testes estatísticos'!$D$11+'Testes estatísticos'!$D$118)/2,"")</f>
        <v>1.3389209999999991</v>
      </c>
      <c r="DK184" s="7">
        <f>IF(114&gt;=6,('Testes estatísticos'!$D$11+'Testes estatísticos'!$D$119)/2,"")</f>
        <v>1.237171</v>
      </c>
      <c r="DL184" s="7">
        <f>IF(115&gt;=6,('Testes estatísticos'!$D$11+'Testes estatísticos'!$D$120)/2,"")</f>
        <v>1.2836485000000017</v>
      </c>
      <c r="DM184" s="7">
        <f>IF(116&gt;=6,('Testes estatísticos'!$D$11+'Testes estatísticos'!$D$121)/2,"")</f>
        <v>1.2922510000000003</v>
      </c>
      <c r="DN184" s="7">
        <f>IF(117&gt;=6,('Testes estatísticos'!$D$11+'Testes estatísticos'!$D$122)/2,"")</f>
        <v>1.3153189999999988</v>
      </c>
      <c r="DO184" s="7">
        <f>IF(118&gt;=6,('Testes estatísticos'!$D$11+'Testes estatísticos'!$D$123)/2,"")</f>
        <v>1.3652294999999981</v>
      </c>
      <c r="DP184" s="7">
        <f>IF(119&gt;=6,('Testes estatísticos'!$D$11+'Testes estatísticos'!$D$124)/2,"")</f>
        <v>1.3440179999999984</v>
      </c>
      <c r="DQ184" s="7">
        <f>IF(120&gt;=6,('Testes estatísticos'!$D$11+'Testes estatísticos'!$D$125)/2,"")</f>
        <v>4.3956325000000014</v>
      </c>
      <c r="DR184" s="7">
        <f>IF(121&gt;=6,('Testes estatísticos'!$D$11+'Testes estatísticos'!$D$126)/2,"")</f>
        <v>1.6066159999999989</v>
      </c>
      <c r="DS184" s="7">
        <f>IF(122&gt;=6,('Testes estatísticos'!$D$11+'Testes estatísticos'!$D$127)/2,"")</f>
        <v>0.54120750000000228</v>
      </c>
      <c r="DT184" s="7">
        <f>IF(123&gt;=6,('Testes estatísticos'!$D$11+'Testes estatísticos'!$D$128)/2,"")</f>
        <v>6.6100769999999969</v>
      </c>
      <c r="DU184" s="7">
        <f>IF(124&gt;=6,('Testes estatísticos'!$D$11+'Testes estatísticos'!$D$129)/2,"")</f>
        <v>1.7143054999999983</v>
      </c>
      <c r="DV184" s="7">
        <f>IF(125&gt;=6,('Testes estatísticos'!$D$11+'Testes estatísticos'!$D$130)/2,"")</f>
        <v>2.8726129999999976</v>
      </c>
      <c r="DW184" s="7">
        <f>IF(126&gt;=6,('Testes estatísticos'!$D$11+'Testes estatísticos'!$D$131)/2,"")</f>
        <v>0.46913699999999992</v>
      </c>
      <c r="DX184" s="7">
        <f>IF(127&gt;=6,('Testes estatísticos'!$D$11+'Testes estatísticos'!$D$132)/2,"")</f>
        <v>-1.5870545000000007</v>
      </c>
      <c r="DY184" s="7">
        <f>IF(128&gt;=6,('Testes estatísticos'!$D$11+'Testes estatísticos'!$D$133)/2,"")</f>
        <v>-1.9281439999999996</v>
      </c>
      <c r="DZ184" s="7">
        <f>IF(129&gt;=6,('Testes estatísticos'!$D$11+'Testes estatísticos'!$D$134)/2,"")</f>
        <v>-5.351934</v>
      </c>
      <c r="EA184" s="7">
        <f>IF(130&gt;=6,('Testes estatísticos'!$D$11+'Testes estatísticos'!$D$135)/2,"")</f>
        <v>0.40983600000000209</v>
      </c>
      <c r="EB184" s="7">
        <f>IF(131&gt;=6,('Testes estatísticos'!$D$11+'Testes estatísticos'!$D$136)/2,"")</f>
        <v>0.49770899999999685</v>
      </c>
      <c r="EC184" s="7">
        <f>IF(132&gt;=6,('Testes estatísticos'!$D$11+'Testes estatísticos'!$D$137)/2,"")</f>
        <v>-0.98902750000000239</v>
      </c>
      <c r="ED184" s="7">
        <f>IF(133&gt;=6,('Testes estatísticos'!$D$11+'Testes estatísticos'!$D$138)/2,"")</f>
        <v>1.1999099999999991</v>
      </c>
      <c r="EE184" s="7">
        <f>IF(134&gt;=6,('Testes estatísticos'!$D$11+'Testes estatísticos'!$D$139)/2,"")</f>
        <v>-1.0972805000000037</v>
      </c>
      <c r="EF184" s="7">
        <f>IF(135&gt;=6,('Testes estatísticos'!$D$11+'Testes estatísticos'!$D$140)/2,"")</f>
        <v>2.1171520000000008</v>
      </c>
      <c r="EG184" s="7">
        <f>IF(136&gt;=6,('Testes estatísticos'!$D$11+'Testes estatísticos'!$D$141)/2,"")</f>
        <v>0.42366199999999665</v>
      </c>
      <c r="EH184" s="7">
        <f>IF(137&gt;=6,('Testes estatísticos'!$D$11+'Testes estatísticos'!$D$142)/2,"")</f>
        <v>2.1284019999999977</v>
      </c>
      <c r="EI184" s="7">
        <f>IF(138&gt;=6,('Testes estatísticos'!$D$11+'Testes estatísticos'!$D$143)/2,"")</f>
        <v>0.46338650000000214</v>
      </c>
      <c r="EJ184" s="7"/>
      <c r="EK184" s="7"/>
      <c r="EL184" s="7"/>
    </row>
    <row r="185" spans="1:151" x14ac:dyDescent="0.3">
      <c r="B185" s="7" t="str">
        <f>IF(1&gt;=7,('Testes estatísticos'!$D$12+'Testes estatísticos'!$D$6)/2,"")</f>
        <v/>
      </c>
      <c r="C185" s="7" t="str">
        <f>IF(2&gt;=7,('Testes estatísticos'!$D$12+'Testes estatísticos'!$D$7)/2,"")</f>
        <v/>
      </c>
      <c r="D185" s="7" t="str">
        <f>IF(3&gt;=7,('Testes estatísticos'!$D$12+'Testes estatísticos'!$D$8)/2,"")</f>
        <v/>
      </c>
      <c r="E185" s="7" t="str">
        <f>IF(4&gt;=7,('Testes estatísticos'!$D$12+'Testes estatísticos'!$D$9)/2,"")</f>
        <v/>
      </c>
      <c r="F185" s="7" t="str">
        <f>IF(5&gt;=7,('Testes estatísticos'!$D$12+'Testes estatísticos'!$D$10)/2,"")</f>
        <v/>
      </c>
      <c r="G185" s="7" t="str">
        <f>IF(6&gt;=7,('Testes estatísticos'!$D$12+'Testes estatísticos'!$D$11)/2,"")</f>
        <v/>
      </c>
      <c r="H185" s="7">
        <f>IF(7&gt;=7,('Testes estatísticos'!$D$12+'Testes estatísticos'!$D$12)/2,"")</f>
        <v>-9.0013309999999933</v>
      </c>
      <c r="I185" s="7">
        <f>IF(8&gt;=7,('Testes estatísticos'!$D$12+'Testes estatísticos'!$D$13)/2,"")</f>
        <v>-5.131104999999998</v>
      </c>
      <c r="J185" s="7">
        <f>IF(9&gt;=7,('Testes estatísticos'!$D$12+'Testes estatísticos'!$D$14)/2,"")</f>
        <v>-4.4780459999999991</v>
      </c>
      <c r="K185" s="7">
        <f>IF(10&gt;=7,('Testes estatísticos'!$D$12+'Testes estatísticos'!$D$15)/2,"")</f>
        <v>-4.785860999999997</v>
      </c>
      <c r="L185" s="7">
        <f>IF(11&gt;=7,('Testes estatísticos'!$D$12+'Testes estatísticos'!$D$16)/2,"")</f>
        <v>-5.3794819999999959</v>
      </c>
      <c r="M185" s="7">
        <f>IF(12&gt;=7,('Testes estatísticos'!$D$12+'Testes estatísticos'!$D$17)/2,"")</f>
        <v>-8.6487549999999942</v>
      </c>
      <c r="N185" s="7">
        <f>IF(13&gt;=7,('Testes estatísticos'!$D$12+'Testes estatísticos'!$D$18)/2,"")</f>
        <v>-2.795068999999998</v>
      </c>
      <c r="O185" s="7">
        <f>IF(14&gt;=7,('Testes estatísticos'!$D$12+'Testes estatísticos'!$D$19)/2,"")</f>
        <v>-4.137361999999996</v>
      </c>
      <c r="P185" s="7">
        <f>IF(15&gt;=7,('Testes estatísticos'!$D$12+'Testes estatísticos'!$D$20)/2,"")</f>
        <v>-2.7176584999999953</v>
      </c>
      <c r="Q185" s="7">
        <f>IF(16&gt;=7,('Testes estatísticos'!$D$12+'Testes estatísticos'!$D$21)/2,"")</f>
        <v>-10.017492999999998</v>
      </c>
      <c r="R185" s="7">
        <f>IF(17&gt;=7,('Testes estatísticos'!$D$12+'Testes estatísticos'!$D$22)/2,"")</f>
        <v>-6.5561489999999978</v>
      </c>
      <c r="S185" s="7">
        <f>IF(18&gt;=7,('Testes estatísticos'!$D$12+'Testes estatísticos'!$D$23)/2,"")</f>
        <v>-7.6302624999999971</v>
      </c>
      <c r="T185" s="7">
        <f>IF(19&gt;=7,('Testes estatísticos'!$D$12+'Testes estatísticos'!$D$24)/2,"")</f>
        <v>-7.2318214999999988</v>
      </c>
      <c r="U185" s="7">
        <f>IF(20&gt;=7,('Testes estatísticos'!$D$12+'Testes estatísticos'!$D$25)/2,"")</f>
        <v>-8.1771894999999937</v>
      </c>
      <c r="V185" s="7">
        <f>IF(21&gt;=7,('Testes estatísticos'!$D$12+'Testes estatísticos'!$D$26)/2,"")</f>
        <v>-6.318504499999996</v>
      </c>
      <c r="W185" s="7">
        <f>IF(22&gt;=7,('Testes estatísticos'!$D$12+'Testes estatísticos'!$D$27)/2,"")</f>
        <v>-6.354733999999997</v>
      </c>
      <c r="X185" s="7">
        <f>IF(23&gt;=7,('Testes estatísticos'!$D$12+'Testes estatísticos'!$D$28)/2,"")</f>
        <v>-6.4776114999999947</v>
      </c>
      <c r="Y185" s="7">
        <f>IF(24&gt;=7,('Testes estatísticos'!$D$12+'Testes estatísticos'!$D$29)/2,"")</f>
        <v>-5.9144309999999969</v>
      </c>
      <c r="Z185" s="7">
        <f>IF(25&gt;=7,('Testes estatísticos'!$D$12+'Testes estatísticos'!$D$30)/2,"")</f>
        <v>-5.6008679999999984</v>
      </c>
      <c r="AA185" s="7">
        <f>IF(26&gt;=7,('Testes estatísticos'!$D$12+'Testes estatísticos'!$D$31)/2,"")</f>
        <v>-5.597397499999996</v>
      </c>
      <c r="AB185" s="7">
        <f>IF(27&gt;=7,('Testes estatísticos'!$D$12+'Testes estatísticos'!$D$32)/2,"")</f>
        <v>-5.702006499999996</v>
      </c>
      <c r="AC185" s="7">
        <f>IF(28&gt;=7,('Testes estatísticos'!$D$12+'Testes estatísticos'!$D$33)/2,"")</f>
        <v>-5.6422919999999976</v>
      </c>
      <c r="AD185" s="7">
        <f>IF(29&gt;=7,('Testes estatísticos'!$D$12+'Testes estatísticos'!$D$34)/2,"")</f>
        <v>-4.9130299999999991</v>
      </c>
      <c r="AE185" s="7">
        <f>IF(30&gt;=7,('Testes estatísticos'!$D$12+'Testes estatísticos'!$D$35)/2,"")</f>
        <v>-6.2265759999999979</v>
      </c>
      <c r="AF185" s="7">
        <f>IF(31&gt;=7,('Testes estatísticos'!$D$12+'Testes estatísticos'!$D$36)/2,"")</f>
        <v>-6.5689704999999954</v>
      </c>
      <c r="AG185" s="7">
        <f>IF(32&gt;=7,('Testes estatísticos'!$D$12+'Testes estatísticos'!$D$37)/2,"")</f>
        <v>-5.4653499999999973</v>
      </c>
      <c r="AH185" s="7">
        <f>IF(33&gt;=7,('Testes estatísticos'!$D$12+'Testes estatísticos'!$D$38)/2,"")</f>
        <v>-5.6308894999999985</v>
      </c>
      <c r="AI185" s="7">
        <f>IF(34&gt;=7,('Testes estatísticos'!$D$12+'Testes estatísticos'!$D$39)/2,"")</f>
        <v>-2.8143434999999961</v>
      </c>
      <c r="AJ185" s="7">
        <f>IF(35&gt;=7,('Testes estatísticos'!$D$12+'Testes estatísticos'!$D$40)/2,"")</f>
        <v>-5.5558414999999961</v>
      </c>
      <c r="AK185" s="7">
        <f>IF(36&gt;=7,('Testes estatísticos'!$D$12+'Testes estatísticos'!$D$41)/2,"")</f>
        <v>-3.2878969999999974</v>
      </c>
      <c r="AL185" s="7">
        <f>IF(37&gt;=7,('Testes estatísticos'!$D$12+'Testes estatísticos'!$D$42)/2,"")</f>
        <v>-5.5664579999999972</v>
      </c>
      <c r="AM185" s="7">
        <f>IF(38&gt;=7,('Testes estatísticos'!$D$12+'Testes estatísticos'!$D$43)/2,"")</f>
        <v>-5.5535984999999961</v>
      </c>
      <c r="AN185" s="7">
        <f>IF(39&gt;=7,('Testes estatísticos'!$D$12+'Testes estatísticos'!$D$44)/2,"")</f>
        <v>-6.6905924999999975</v>
      </c>
      <c r="AO185" s="7">
        <f>IF(40&gt;=7,('Testes estatísticos'!$D$12+'Testes estatísticos'!$D$45)/2,"")</f>
        <v>-2.7156659999999988</v>
      </c>
      <c r="AP185" s="7">
        <f>IF(41&gt;=7,('Testes estatísticos'!$D$12+'Testes estatísticos'!$D$46)/2,"")</f>
        <v>-5.2216054999999955</v>
      </c>
      <c r="AQ185" s="7">
        <f>IF(42&gt;=7,('Testes estatísticos'!$D$12+'Testes estatísticos'!$D$47)/2,"")</f>
        <v>-4.0792464999999964</v>
      </c>
      <c r="AR185" s="7">
        <f>IF(43&gt;=7,('Testes estatísticos'!$D$12+'Testes estatísticos'!$D$48)/2,"")</f>
        <v>-5.1281604999999963</v>
      </c>
      <c r="AS185" s="7">
        <f>IF(44&gt;=7,('Testes estatísticos'!$D$12+'Testes estatísticos'!$D$49)/2,"")</f>
        <v>-5.6592834999999972</v>
      </c>
      <c r="AT185" s="7">
        <f>IF(45&gt;=7,('Testes estatísticos'!$D$12+'Testes estatísticos'!$D$50)/2,"")</f>
        <v>-4.8302049999999959</v>
      </c>
      <c r="AU185" s="7">
        <f>IF(46&gt;=7,('Testes estatísticos'!$D$12+'Testes estatísticos'!$D$51)/2,"")</f>
        <v>-7.8614009999999972</v>
      </c>
      <c r="AV185" s="7">
        <f>IF(47&gt;=7,('Testes estatísticos'!$D$12+'Testes estatísticos'!$D$52)/2,"")</f>
        <v>-2.7912279999999967</v>
      </c>
      <c r="AW185" s="7">
        <f>IF(48&gt;=7,('Testes estatísticos'!$D$12+'Testes estatísticos'!$D$53)/2,"")</f>
        <v>-7.2272589999999965</v>
      </c>
      <c r="AX185" s="7">
        <f>IF(49&gt;=7,('Testes estatísticos'!$D$12+'Testes estatísticos'!$D$54)/2,"")</f>
        <v>-5.9674684999999954</v>
      </c>
      <c r="AY185" s="7">
        <f>IF(50&gt;=7,('Testes estatísticos'!$D$12+'Testes estatísticos'!$D$55)/2,"")</f>
        <v>-4.3423039999999951</v>
      </c>
      <c r="AZ185" s="7">
        <f>IF(51&gt;=7,('Testes estatísticos'!$D$12+'Testes estatísticos'!$D$56)/2,"")</f>
        <v>-4.2978344999999969</v>
      </c>
      <c r="BA185" s="7">
        <f>IF(52&gt;=7,('Testes estatísticos'!$D$12+'Testes estatísticos'!$D$57)/2,"")</f>
        <v>-7.7060504999999964</v>
      </c>
      <c r="BB185" s="7">
        <f>IF(53&gt;=7,('Testes estatísticos'!$D$12+'Testes estatísticos'!$D$58)/2,"")</f>
        <v>-4.2972879999999947</v>
      </c>
      <c r="BC185" s="7">
        <f>IF(54&gt;=7,('Testes estatísticos'!$D$12+'Testes estatísticos'!$D$59)/2,"")</f>
        <v>-5.2169304999999966</v>
      </c>
      <c r="BD185" s="7">
        <f>IF(55&gt;=7,('Testes estatísticos'!$D$12+'Testes estatísticos'!$D$60)/2,"")</f>
        <v>-2.1212594999999972</v>
      </c>
      <c r="BE185" s="7">
        <f>IF(56&gt;=7,('Testes estatísticos'!$D$12+'Testes estatísticos'!$D$61)/2,"")</f>
        <v>-4.751227999999994</v>
      </c>
      <c r="BF185" s="7">
        <f>IF(57&gt;=7,('Testes estatísticos'!$D$12+'Testes estatísticos'!$D$62)/2,"")</f>
        <v>-8.1514179999999996</v>
      </c>
      <c r="BG185" s="7">
        <f>IF(58&gt;=7,('Testes estatísticos'!$D$12+'Testes estatísticos'!$D$63)/2,"")</f>
        <v>-2.8855229999999956</v>
      </c>
      <c r="BH185" s="7">
        <f>IF(59&gt;=7,('Testes estatísticos'!$D$12+'Testes estatísticos'!$D$64)/2,"")</f>
        <v>-8.7291354999999982</v>
      </c>
      <c r="BI185" s="7">
        <f>IF(60&gt;=7,('Testes estatísticos'!$D$12+'Testes estatísticos'!$D$65)/2,"")</f>
        <v>-6.9815444999999947</v>
      </c>
      <c r="BJ185" s="7">
        <f>IF(61&gt;=7,('Testes estatísticos'!$D$12+'Testes estatísticos'!$D$66)/2,"")</f>
        <v>-4.346489499999997</v>
      </c>
      <c r="BK185" s="7">
        <f>IF(62&gt;=7,('Testes estatísticos'!$D$12+'Testes estatísticos'!$D$67)/2,"")</f>
        <v>-4.8552844999999962</v>
      </c>
      <c r="BL185" s="7">
        <f>IF(63&gt;=7,('Testes estatísticos'!$D$12+'Testes estatísticos'!$D$68)/2,"")</f>
        <v>-3.9559699999999971</v>
      </c>
      <c r="BM185" s="7">
        <f>IF(64&gt;=7,('Testes estatísticos'!$D$12+'Testes estatísticos'!$D$69)/2,"")</f>
        <v>-3.9051279999999977</v>
      </c>
      <c r="BN185" s="7">
        <f>IF(65&gt;=7,('Testes estatísticos'!$D$12+'Testes estatísticos'!$D$70)/2,"")</f>
        <v>-6.0509344999999968</v>
      </c>
      <c r="BO185" s="7">
        <f>IF(66&gt;=7,('Testes estatísticos'!$D$12+'Testes estatísticos'!$D$71)/2,"")</f>
        <v>-5.1550819999999966</v>
      </c>
      <c r="BP185" s="7">
        <f>IF(67&gt;=7,('Testes estatísticos'!$D$12+'Testes estatísticos'!$D$72)/2,"")</f>
        <v>-8.0455409999999965</v>
      </c>
      <c r="BQ185" s="7">
        <f>IF(68&gt;=7,('Testes estatísticos'!$D$12+'Testes estatísticos'!$D$73)/2,"")</f>
        <v>-3.3823079999999983</v>
      </c>
      <c r="BR185" s="7">
        <f>IF(69&gt;=7,('Testes estatísticos'!$D$12+'Testes estatísticos'!$D$74)/2,"")</f>
        <v>-2.7501259999999981</v>
      </c>
      <c r="BS185" s="7">
        <f>IF(70&gt;=7,('Testes estatísticos'!$D$12+'Testes estatísticos'!$D$75)/2,"")</f>
        <v>-3.7545904999999991</v>
      </c>
      <c r="BT185" s="7">
        <f>IF(71&gt;=7,('Testes estatísticos'!$D$12+'Testes estatísticos'!$D$76)/2,"")</f>
        <v>-2.1802254999999988</v>
      </c>
      <c r="BU185" s="7">
        <f>IF(72&gt;=7,('Testes estatísticos'!$D$12+'Testes estatísticos'!$D$77)/2,"")</f>
        <v>-7.7799224999999979</v>
      </c>
      <c r="BV185" s="7">
        <f>IF(73&gt;=7,('Testes estatísticos'!$D$12+'Testes estatísticos'!$D$78)/2,"")</f>
        <v>-5.7064479999999982</v>
      </c>
      <c r="BW185" s="7">
        <f>IF(74&gt;=7,('Testes estatísticos'!$D$12+'Testes estatísticos'!$D$79)/2,"")</f>
        <v>-6.3897664999999968</v>
      </c>
      <c r="BX185" s="7">
        <f>IF(75&gt;=7,('Testes estatísticos'!$D$12+'Testes estatísticos'!$D$80)/2,"")</f>
        <v>-6.411544499999998</v>
      </c>
      <c r="BY185" s="7">
        <f>IF(76&gt;=7,('Testes estatísticos'!$D$12+'Testes estatísticos'!$D$81)/2,"")</f>
        <v>-2.2800864999999959</v>
      </c>
      <c r="BZ185" s="7">
        <f>IF(77&gt;=7,('Testes estatísticos'!$D$12+'Testes estatísticos'!$D$82)/2,"")</f>
        <v>-7.5416759999999954</v>
      </c>
      <c r="CA185" s="7">
        <f>IF(78&gt;=7,('Testes estatísticos'!$D$12+'Testes estatísticos'!$D$83)/2,"")</f>
        <v>-5.781416999999994</v>
      </c>
      <c r="CB185" s="7">
        <f>IF(79&gt;=7,('Testes estatísticos'!$D$12+'Testes estatísticos'!$D$84)/2,"")</f>
        <v>-5.7296944999999972</v>
      </c>
      <c r="CC185" s="7">
        <f>IF(80&gt;=7,('Testes estatísticos'!$D$12+'Testes estatísticos'!$D$85)/2,"")</f>
        <v>-7.5367109999999968</v>
      </c>
      <c r="CD185" s="7">
        <f>IF(81&gt;=7,('Testes estatísticos'!$D$12+'Testes estatísticos'!$D$86)/2,"")</f>
        <v>-7.5868559999999974</v>
      </c>
      <c r="CE185" s="7">
        <f>IF(82&gt;=7,('Testes estatísticos'!$D$12+'Testes estatísticos'!$D$87)/2,"")</f>
        <v>-5.5090654999999984</v>
      </c>
      <c r="CF185" s="7">
        <f>IF(83&gt;=7,('Testes estatísticos'!$D$12+'Testes estatísticos'!$D$88)/2,"")</f>
        <v>-6.0378724999999989</v>
      </c>
      <c r="CG185" s="7">
        <f>IF(84&gt;=7,('Testes estatísticos'!$D$12+'Testes estatísticos'!$D$89)/2,"")</f>
        <v>-6.3697794999999964</v>
      </c>
      <c r="CH185" s="7">
        <f>IF(85&gt;=7,('Testes estatísticos'!$D$12+'Testes estatísticos'!$D$90)/2,"")</f>
        <v>-4.5542324999999977</v>
      </c>
      <c r="CI185" s="7">
        <f>IF(86&gt;=7,('Testes estatísticos'!$D$12+'Testes estatísticos'!$D$91)/2,"")</f>
        <v>-7.2443919999999942</v>
      </c>
      <c r="CJ185" s="7">
        <f>IF(87&gt;=7,('Testes estatísticos'!$D$12+'Testes estatísticos'!$D$92)/2,"")</f>
        <v>-6.002185499999996</v>
      </c>
      <c r="CK185" s="7">
        <f>IF(88&gt;=7,('Testes estatísticos'!$D$12+'Testes estatísticos'!$D$93)/2,"")</f>
        <v>-5.7581019999999974</v>
      </c>
      <c r="CL185" s="7">
        <f>IF(89&gt;=7,('Testes estatísticos'!$D$12+'Testes estatísticos'!$D$94)/2,"")</f>
        <v>-6.3696939999999991</v>
      </c>
      <c r="CM185" s="7">
        <f>IF(90&gt;=7,('Testes estatísticos'!$D$12+'Testes estatísticos'!$D$95)/2,"")</f>
        <v>-8.7038259999999958</v>
      </c>
      <c r="CN185" s="7">
        <f>IF(91&gt;=7,('Testes estatísticos'!$D$12+'Testes estatísticos'!$D$96)/2,"")</f>
        <v>-6.1653029999999944</v>
      </c>
      <c r="CO185" s="7">
        <f>IF(92&gt;=7,('Testes estatísticos'!$D$12+'Testes estatísticos'!$D$97)/2,"")</f>
        <v>-6.5118064999999952</v>
      </c>
      <c r="CP185" s="7">
        <f>IF(93&gt;=7,('Testes estatísticos'!$D$12+'Testes estatísticos'!$D$98)/2,"")</f>
        <v>-6.7165584999999943</v>
      </c>
      <c r="CQ185" s="7">
        <f>IF(94&gt;=7,('Testes estatísticos'!$D$12+'Testes estatísticos'!$D$99)/2,"")</f>
        <v>-4.5354004999999979</v>
      </c>
      <c r="CR185" s="7">
        <f>IF(95&gt;=7,('Testes estatísticos'!$D$12+'Testes estatísticos'!$D$100)/2,"")</f>
        <v>-6.4411934999999971</v>
      </c>
      <c r="CS185" s="7">
        <f>IF(96&gt;=7,('Testes estatísticos'!$D$12+'Testes estatísticos'!$D$101)/2,"")</f>
        <v>-6.3972064999999994</v>
      </c>
      <c r="CT185" s="7">
        <f>IF(97&gt;=7,('Testes estatísticos'!$D$12+'Testes estatísticos'!$D$102)/2,"")</f>
        <v>-6.1641559999999984</v>
      </c>
      <c r="CU185" s="7">
        <f>IF(98&gt;=7,('Testes estatísticos'!$D$12+'Testes estatísticos'!$D$103)/2,"")</f>
        <v>-6.1068299999999951</v>
      </c>
      <c r="CV185" s="7">
        <f>IF(99&gt;=7,('Testes estatísticos'!$D$12+'Testes estatísticos'!$D$104)/2,"")</f>
        <v>-6.5416559999999961</v>
      </c>
      <c r="CW185" s="7">
        <f>IF(100&gt;=7,('Testes estatísticos'!$D$12+'Testes estatísticos'!$D$105)/2,"")</f>
        <v>-6.6411219999999958</v>
      </c>
      <c r="CX185" s="7">
        <f>IF(101&gt;=7,('Testes estatísticos'!$D$12+'Testes estatísticos'!$D$106)/2,"")</f>
        <v>-6.1181954999999952</v>
      </c>
      <c r="CY185" s="7">
        <f>IF(102&gt;=7,('Testes estatísticos'!$D$12+'Testes estatísticos'!$D$107)/2,"")</f>
        <v>-6.1738604999999964</v>
      </c>
      <c r="CZ185" s="7">
        <f>IF(103&gt;=7,('Testes estatísticos'!$D$12+'Testes estatísticos'!$D$108)/2,"")</f>
        <v>-6.6980269999999962</v>
      </c>
      <c r="DA185" s="7">
        <f>IF(104&gt;=7,('Testes estatísticos'!$D$12+'Testes estatísticos'!$D$109)/2,"")</f>
        <v>-6.4353929999999941</v>
      </c>
      <c r="DB185" s="7">
        <f>IF(105&gt;=7,('Testes estatísticos'!$D$12+'Testes estatísticos'!$D$110)/2,"")</f>
        <v>-6.401061999999996</v>
      </c>
      <c r="DC185" s="7">
        <f>IF(106&gt;=7,('Testes estatísticos'!$D$12+'Testes estatísticos'!$D$111)/2,"")</f>
        <v>-5.658140999999997</v>
      </c>
      <c r="DD185" s="7">
        <f>IF(107&gt;=7,('Testes estatísticos'!$D$12+'Testes estatísticos'!$D$112)/2,"")</f>
        <v>-2.1649699999999967</v>
      </c>
      <c r="DE185" s="7">
        <f>IF(108&gt;=7,('Testes estatísticos'!$D$12+'Testes estatísticos'!$D$113)/2,"")</f>
        <v>-5.5876054999999951</v>
      </c>
      <c r="DF185" s="7">
        <f>IF(109&gt;=7,('Testes estatísticos'!$D$12+'Testes estatísticos'!$D$114)/2,"")</f>
        <v>-5.6238624999999942</v>
      </c>
      <c r="DG185" s="7">
        <f>IF(110&gt;=7,('Testes estatísticos'!$D$12+'Testes estatísticos'!$D$115)/2,"")</f>
        <v>-11.171001999999998</v>
      </c>
      <c r="DH185" s="7">
        <f>IF(111&gt;=7,('Testes estatísticos'!$D$12+'Testes estatísticos'!$D$116)/2,"")</f>
        <v>-5.4901714999999953</v>
      </c>
      <c r="DI185" s="7">
        <f>IF(112&gt;=7,('Testes estatísticos'!$D$12+'Testes estatísticos'!$D$117)/2,"")</f>
        <v>-6.1731499999996942E-2</v>
      </c>
      <c r="DJ185" s="7">
        <f>IF(113&gt;=7,('Testes estatísticos'!$D$12+'Testes estatísticos'!$D$118)/2,"")</f>
        <v>-5.518288499999997</v>
      </c>
      <c r="DK185" s="7">
        <f>IF(114&gt;=7,('Testes estatísticos'!$D$12+'Testes estatísticos'!$D$119)/2,"")</f>
        <v>-5.6200384999999962</v>
      </c>
      <c r="DL185" s="7">
        <f>IF(115&gt;=7,('Testes estatísticos'!$D$12+'Testes estatísticos'!$D$120)/2,"")</f>
        <v>-5.5735609999999944</v>
      </c>
      <c r="DM185" s="7">
        <f>IF(116&gt;=7,('Testes estatísticos'!$D$12+'Testes estatísticos'!$D$121)/2,"")</f>
        <v>-5.5649584999999959</v>
      </c>
      <c r="DN185" s="7">
        <f>IF(117&gt;=7,('Testes estatísticos'!$D$12+'Testes estatísticos'!$D$122)/2,"")</f>
        <v>-5.5418904999999974</v>
      </c>
      <c r="DO185" s="7">
        <f>IF(118&gt;=7,('Testes estatísticos'!$D$12+'Testes estatísticos'!$D$123)/2,"")</f>
        <v>-5.4919799999999981</v>
      </c>
      <c r="DP185" s="7">
        <f>IF(119&gt;=7,('Testes estatísticos'!$D$12+'Testes estatísticos'!$D$124)/2,"")</f>
        <v>-5.5131914999999978</v>
      </c>
      <c r="DQ185" s="7">
        <f>IF(120&gt;=7,('Testes estatísticos'!$D$12+'Testes estatísticos'!$D$125)/2,"")</f>
        <v>-2.4615769999999948</v>
      </c>
      <c r="DR185" s="7">
        <f>IF(121&gt;=7,('Testes estatísticos'!$D$12+'Testes estatísticos'!$D$126)/2,"")</f>
        <v>-5.2505934999999972</v>
      </c>
      <c r="DS185" s="7">
        <f>IF(122&gt;=7,('Testes estatísticos'!$D$12+'Testes estatísticos'!$D$127)/2,"")</f>
        <v>-6.3160019999999939</v>
      </c>
      <c r="DT185" s="7">
        <f>IF(123&gt;=7,('Testes estatísticos'!$D$12+'Testes estatísticos'!$D$128)/2,"")</f>
        <v>-0.24713249999999931</v>
      </c>
      <c r="DU185" s="7">
        <f>IF(124&gt;=7,('Testes estatísticos'!$D$12+'Testes estatísticos'!$D$129)/2,"")</f>
        <v>-5.1429039999999979</v>
      </c>
      <c r="DV185" s="7">
        <f>IF(125&gt;=7,('Testes estatísticos'!$D$12+'Testes estatísticos'!$D$130)/2,"")</f>
        <v>-3.9845964999999985</v>
      </c>
      <c r="DW185" s="7">
        <f>IF(126&gt;=7,('Testes estatísticos'!$D$12+'Testes estatísticos'!$D$131)/2,"")</f>
        <v>-6.3880724999999963</v>
      </c>
      <c r="DX185" s="7">
        <f>IF(127&gt;=7,('Testes estatísticos'!$D$12+'Testes estatísticos'!$D$132)/2,"")</f>
        <v>-8.4442639999999969</v>
      </c>
      <c r="DY185" s="7">
        <f>IF(128&gt;=7,('Testes estatísticos'!$D$12+'Testes estatísticos'!$D$133)/2,"")</f>
        <v>-8.7853534999999958</v>
      </c>
      <c r="DZ185" s="7">
        <f>IF(129&gt;=7,('Testes estatísticos'!$D$12+'Testes estatísticos'!$D$134)/2,"")</f>
        <v>-12.209143499999996</v>
      </c>
      <c r="EA185" s="7">
        <f>IF(130&gt;=7,('Testes estatísticos'!$D$12+'Testes estatísticos'!$D$135)/2,"")</f>
        <v>-6.4473734999999941</v>
      </c>
      <c r="EB185" s="7">
        <f>IF(131&gt;=7,('Testes estatísticos'!$D$12+'Testes estatísticos'!$D$136)/2,"")</f>
        <v>-6.3595004999999993</v>
      </c>
      <c r="EC185" s="7">
        <f>IF(132&gt;=7,('Testes estatísticos'!$D$12+'Testes estatísticos'!$D$137)/2,"")</f>
        <v>-7.8462369999999986</v>
      </c>
      <c r="ED185" s="7">
        <f>IF(133&gt;=7,('Testes estatísticos'!$D$12+'Testes estatísticos'!$D$138)/2,"")</f>
        <v>-5.657299499999997</v>
      </c>
      <c r="EE185" s="7">
        <f>IF(134&gt;=7,('Testes estatísticos'!$D$12+'Testes estatísticos'!$D$139)/2,"")</f>
        <v>-7.9544899999999998</v>
      </c>
      <c r="EF185" s="7">
        <f>IF(135&gt;=7,('Testes estatísticos'!$D$12+'Testes estatísticos'!$D$140)/2,"")</f>
        <v>-4.7400574999999954</v>
      </c>
      <c r="EG185" s="7">
        <f>IF(136&gt;=7,('Testes estatísticos'!$D$12+'Testes estatísticos'!$D$141)/2,"")</f>
        <v>-6.4335474999999995</v>
      </c>
      <c r="EH185" s="7">
        <f>IF(137&gt;=7,('Testes estatísticos'!$D$12+'Testes estatísticos'!$D$142)/2,"")</f>
        <v>-4.7288074999999985</v>
      </c>
      <c r="EI185" s="7">
        <f>IF(138&gt;=7,('Testes estatísticos'!$D$12+'Testes estatísticos'!$D$143)/2,"")</f>
        <v>-6.393822999999994</v>
      </c>
      <c r="EJ185" s="7"/>
      <c r="EK185" s="7"/>
      <c r="EL185" s="7"/>
    </row>
    <row r="186" spans="1:151" x14ac:dyDescent="0.3">
      <c r="B186" s="7" t="str">
        <f>IF(1&gt;=8,('Testes estatísticos'!$D$13+'Testes estatísticos'!$D$6)/2,"")</f>
        <v/>
      </c>
      <c r="C186" s="7" t="str">
        <f>IF(2&gt;=8,('Testes estatísticos'!$D$13+'Testes estatísticos'!$D$7)/2,"")</f>
        <v/>
      </c>
      <c r="D186" s="7" t="str">
        <f>IF(3&gt;=8,('Testes estatísticos'!$D$13+'Testes estatísticos'!$D$8)/2,"")</f>
        <v/>
      </c>
      <c r="E186" s="7" t="str">
        <f>IF(4&gt;=8,('Testes estatísticos'!$D$13+'Testes estatísticos'!$D$9)/2,"")</f>
        <v/>
      </c>
      <c r="F186" s="7" t="str">
        <f>IF(5&gt;=8,('Testes estatísticos'!$D$13+'Testes estatísticos'!$D$10)/2,"")</f>
        <v/>
      </c>
      <c r="G186" s="7" t="str">
        <f>IF(6&gt;=8,('Testes estatísticos'!$D$13+'Testes estatísticos'!$D$11)/2,"")</f>
        <v/>
      </c>
      <c r="H186" s="7" t="str">
        <f>IF(7&gt;=8,('Testes estatísticos'!$D$13+'Testes estatísticos'!$D$12)/2,"")</f>
        <v/>
      </c>
      <c r="I186" s="7">
        <f>IF(8&gt;=8,('Testes estatísticos'!$D$13+'Testes estatísticos'!$D$13)/2,"")</f>
        <v>-1.2608790000000027</v>
      </c>
      <c r="J186" s="7">
        <f>IF(9&gt;=8,('Testes estatísticos'!$D$13+'Testes estatísticos'!$D$14)/2,"")</f>
        <v>-0.6078200000000038</v>
      </c>
      <c r="K186" s="7">
        <f>IF(10&gt;=8,('Testes estatísticos'!$D$13+'Testes estatísticos'!$D$15)/2,"")</f>
        <v>-0.91563500000000175</v>
      </c>
      <c r="L186" s="7">
        <f>IF(11&gt;=8,('Testes estatísticos'!$D$13+'Testes estatísticos'!$D$16)/2,"")</f>
        <v>-1.5092560000000006</v>
      </c>
      <c r="M186" s="7">
        <f>IF(12&gt;=8,('Testes estatísticos'!$D$13+'Testes estatísticos'!$D$17)/2,"")</f>
        <v>-4.7785289999999989</v>
      </c>
      <c r="N186" s="7">
        <f>IF(13&gt;=8,('Testes estatísticos'!$D$13+'Testes estatísticos'!$D$18)/2,"")</f>
        <v>1.0751569999999973</v>
      </c>
      <c r="O186" s="7">
        <f>IF(14&gt;=8,('Testes estatísticos'!$D$13+'Testes estatísticos'!$D$19)/2,"")</f>
        <v>-0.26713600000000071</v>
      </c>
      <c r="P186" s="7">
        <f>IF(15&gt;=8,('Testes estatísticos'!$D$13+'Testes estatísticos'!$D$20)/2,"")</f>
        <v>1.1525675</v>
      </c>
      <c r="Q186" s="7">
        <f>IF(16&gt;=8,('Testes estatísticos'!$D$13+'Testes estatísticos'!$D$21)/2,"")</f>
        <v>-6.1472670000000029</v>
      </c>
      <c r="R186" s="7">
        <f>IF(17&gt;=8,('Testes estatísticos'!$D$13+'Testes estatísticos'!$D$22)/2,"")</f>
        <v>-2.6859230000000025</v>
      </c>
      <c r="S186" s="7">
        <f>IF(18&gt;=8,('Testes estatísticos'!$D$13+'Testes estatísticos'!$D$23)/2,"")</f>
        <v>-3.7600365000000018</v>
      </c>
      <c r="T186" s="7">
        <f>IF(19&gt;=8,('Testes estatísticos'!$D$13+'Testes estatísticos'!$D$24)/2,"")</f>
        <v>-3.3615955000000035</v>
      </c>
      <c r="U186" s="7">
        <f>IF(20&gt;=8,('Testes estatísticos'!$D$13+'Testes estatísticos'!$D$25)/2,"")</f>
        <v>-4.3069634999999984</v>
      </c>
      <c r="V186" s="7">
        <f>IF(21&gt;=8,('Testes estatísticos'!$D$13+'Testes estatísticos'!$D$26)/2,"")</f>
        <v>-2.4482785000000007</v>
      </c>
      <c r="W186" s="7">
        <f>IF(22&gt;=8,('Testes estatísticos'!$D$13+'Testes estatísticos'!$D$27)/2,"")</f>
        <v>-2.4845080000000017</v>
      </c>
      <c r="X186" s="7">
        <f>IF(23&gt;=8,('Testes estatísticos'!$D$13+'Testes estatísticos'!$D$28)/2,"")</f>
        <v>-2.6073854999999995</v>
      </c>
      <c r="Y186" s="7">
        <f>IF(24&gt;=8,('Testes estatísticos'!$D$13+'Testes estatísticos'!$D$29)/2,"")</f>
        <v>-2.0442050000000016</v>
      </c>
      <c r="Z186" s="7">
        <f>IF(25&gt;=8,('Testes estatísticos'!$D$13+'Testes estatísticos'!$D$30)/2,"")</f>
        <v>-1.7306420000000031</v>
      </c>
      <c r="AA186" s="7">
        <f>IF(26&gt;=8,('Testes estatísticos'!$D$13+'Testes estatísticos'!$D$31)/2,"")</f>
        <v>-1.7271715000000007</v>
      </c>
      <c r="AB186" s="7">
        <f>IF(27&gt;=8,('Testes estatísticos'!$D$13+'Testes estatísticos'!$D$32)/2,"")</f>
        <v>-1.8317805000000007</v>
      </c>
      <c r="AC186" s="7">
        <f>IF(28&gt;=8,('Testes estatísticos'!$D$13+'Testes estatísticos'!$D$33)/2,"")</f>
        <v>-1.7720660000000024</v>
      </c>
      <c r="AD186" s="7">
        <f>IF(29&gt;=8,('Testes estatísticos'!$D$13+'Testes estatísticos'!$D$34)/2,"")</f>
        <v>-1.0428040000000038</v>
      </c>
      <c r="AE186" s="7">
        <f>IF(30&gt;=8,('Testes estatísticos'!$D$13+'Testes estatísticos'!$D$35)/2,"")</f>
        <v>-2.3563500000000026</v>
      </c>
      <c r="AF186" s="7">
        <f>IF(31&gt;=8,('Testes estatísticos'!$D$13+'Testes estatísticos'!$D$36)/2,"")</f>
        <v>-2.6987445000000001</v>
      </c>
      <c r="AG186" s="7">
        <f>IF(32&gt;=8,('Testes estatísticos'!$D$13+'Testes estatísticos'!$D$37)/2,"")</f>
        <v>-1.595124000000002</v>
      </c>
      <c r="AH186" s="7">
        <f>IF(33&gt;=8,('Testes estatísticos'!$D$13+'Testes estatísticos'!$D$38)/2,"")</f>
        <v>-1.7606635000000033</v>
      </c>
      <c r="AI186" s="7">
        <f>IF(34&gt;=8,('Testes estatísticos'!$D$13+'Testes estatísticos'!$D$39)/2,"")</f>
        <v>1.0558824999999992</v>
      </c>
      <c r="AJ186" s="7">
        <f>IF(35&gt;=8,('Testes estatísticos'!$D$13+'Testes estatísticos'!$D$40)/2,"")</f>
        <v>-1.6856155000000008</v>
      </c>
      <c r="AK186" s="7">
        <f>IF(36&gt;=8,('Testes estatísticos'!$D$13+'Testes estatísticos'!$D$41)/2,"")</f>
        <v>0.58232899999999788</v>
      </c>
      <c r="AL186" s="7">
        <f>IF(37&gt;=8,('Testes estatísticos'!$D$13+'Testes estatísticos'!$D$42)/2,"")</f>
        <v>-1.696232000000002</v>
      </c>
      <c r="AM186" s="7">
        <f>IF(38&gt;=8,('Testes estatísticos'!$D$13+'Testes estatísticos'!$D$43)/2,"")</f>
        <v>-1.6833725000000008</v>
      </c>
      <c r="AN186" s="7">
        <f>IF(39&gt;=8,('Testes estatísticos'!$D$13+'Testes estatísticos'!$D$44)/2,"")</f>
        <v>-2.8203665000000022</v>
      </c>
      <c r="AO186" s="7">
        <f>IF(40&gt;=8,('Testes estatísticos'!$D$13+'Testes estatísticos'!$D$45)/2,"")</f>
        <v>1.1545599999999965</v>
      </c>
      <c r="AP186" s="7">
        <f>IF(41&gt;=8,('Testes estatísticos'!$D$13+'Testes estatísticos'!$D$46)/2,"")</f>
        <v>-1.3513795000000002</v>
      </c>
      <c r="AQ186" s="7">
        <f>IF(42&gt;=8,('Testes estatísticos'!$D$13+'Testes estatísticos'!$D$47)/2,"")</f>
        <v>-0.20902050000000116</v>
      </c>
      <c r="AR186" s="7">
        <f>IF(43&gt;=8,('Testes estatísticos'!$D$13+'Testes estatísticos'!$D$48)/2,"")</f>
        <v>-1.2579345000000011</v>
      </c>
      <c r="AS186" s="7">
        <f>IF(44&gt;=8,('Testes estatísticos'!$D$13+'Testes estatísticos'!$D$49)/2,"")</f>
        <v>-1.789057500000002</v>
      </c>
      <c r="AT186" s="7">
        <f>IF(45&gt;=8,('Testes estatísticos'!$D$13+'Testes estatísticos'!$D$50)/2,"")</f>
        <v>-0.95997900000000058</v>
      </c>
      <c r="AU186" s="7">
        <f>IF(46&gt;=8,('Testes estatísticos'!$D$13+'Testes estatísticos'!$D$51)/2,"")</f>
        <v>-3.9911750000000019</v>
      </c>
      <c r="AV186" s="7">
        <f>IF(47&gt;=8,('Testes estatísticos'!$D$13+'Testes estatísticos'!$D$52)/2,"")</f>
        <v>1.0789979999999986</v>
      </c>
      <c r="AW186" s="7">
        <f>IF(48&gt;=8,('Testes estatísticos'!$D$13+'Testes estatísticos'!$D$53)/2,"")</f>
        <v>-3.3570330000000013</v>
      </c>
      <c r="AX186" s="7">
        <f>IF(49&gt;=8,('Testes estatísticos'!$D$13+'Testes estatísticos'!$D$54)/2,"")</f>
        <v>-2.0972425000000001</v>
      </c>
      <c r="AY186" s="7">
        <f>IF(50&gt;=8,('Testes estatísticos'!$D$13+'Testes estatísticos'!$D$55)/2,"")</f>
        <v>-0.47207799999999978</v>
      </c>
      <c r="AZ186" s="7">
        <f>IF(51&gt;=8,('Testes estatísticos'!$D$13+'Testes estatísticos'!$D$56)/2,"")</f>
        <v>-0.42760850000000161</v>
      </c>
      <c r="BA186" s="7">
        <f>IF(52&gt;=8,('Testes estatísticos'!$D$13+'Testes estatísticos'!$D$57)/2,"")</f>
        <v>-3.8358245000000011</v>
      </c>
      <c r="BB186" s="7">
        <f>IF(53&gt;=8,('Testes estatísticos'!$D$13+'Testes estatísticos'!$D$58)/2,"")</f>
        <v>-0.42706199999999939</v>
      </c>
      <c r="BC186" s="7">
        <f>IF(54&gt;=8,('Testes estatísticos'!$D$13+'Testes estatísticos'!$D$59)/2,"")</f>
        <v>-1.3467045000000013</v>
      </c>
      <c r="BD186" s="7">
        <f>IF(55&gt;=8,('Testes estatísticos'!$D$13+'Testes estatísticos'!$D$60)/2,"")</f>
        <v>1.7489664999999981</v>
      </c>
      <c r="BE186" s="7">
        <f>IF(56&gt;=8,('Testes estatísticos'!$D$13+'Testes estatísticos'!$D$61)/2,"")</f>
        <v>-0.88100199999999873</v>
      </c>
      <c r="BF186" s="7">
        <f>IF(57&gt;=8,('Testes estatísticos'!$D$13+'Testes estatísticos'!$D$62)/2,"")</f>
        <v>-4.2811920000000043</v>
      </c>
      <c r="BG186" s="7">
        <f>IF(58&gt;=8,('Testes estatísticos'!$D$13+'Testes estatísticos'!$D$63)/2,"")</f>
        <v>0.98470299999999966</v>
      </c>
      <c r="BH186" s="7">
        <f>IF(59&gt;=8,('Testes estatísticos'!$D$13+'Testes estatísticos'!$D$64)/2,"")</f>
        <v>-4.8589095000000029</v>
      </c>
      <c r="BI186" s="7">
        <f>IF(60&gt;=8,('Testes estatísticos'!$D$13+'Testes estatísticos'!$D$65)/2,"")</f>
        <v>-3.1113184999999994</v>
      </c>
      <c r="BJ186" s="7">
        <f>IF(61&gt;=8,('Testes estatísticos'!$D$13+'Testes estatísticos'!$D$66)/2,"")</f>
        <v>-0.47626350000000173</v>
      </c>
      <c r="BK186" s="7">
        <f>IF(62&gt;=8,('Testes estatísticos'!$D$13+'Testes estatísticos'!$D$67)/2,"")</f>
        <v>-0.98505850000000095</v>
      </c>
      <c r="BL186" s="7">
        <f>IF(63&gt;=8,('Testes estatísticos'!$D$13+'Testes estatísticos'!$D$68)/2,"")</f>
        <v>-8.5744000000001819E-2</v>
      </c>
      <c r="BM186" s="7">
        <f>IF(64&gt;=8,('Testes estatísticos'!$D$13+'Testes estatísticos'!$D$69)/2,"")</f>
        <v>-3.4902000000002431E-2</v>
      </c>
      <c r="BN186" s="7">
        <f>IF(65&gt;=8,('Testes estatísticos'!$D$13+'Testes estatísticos'!$D$70)/2,"")</f>
        <v>-2.1807085000000015</v>
      </c>
      <c r="BO186" s="7">
        <f>IF(66&gt;=8,('Testes estatísticos'!$D$13+'Testes estatísticos'!$D$71)/2,"")</f>
        <v>-1.2848560000000013</v>
      </c>
      <c r="BP186" s="7">
        <f>IF(67&gt;=8,('Testes estatísticos'!$D$13+'Testes estatísticos'!$D$72)/2,"")</f>
        <v>-4.1753150000000012</v>
      </c>
      <c r="BQ186" s="7">
        <f>IF(68&gt;=8,('Testes estatísticos'!$D$13+'Testes estatísticos'!$D$73)/2,"")</f>
        <v>0.48791799999999697</v>
      </c>
      <c r="BR186" s="7">
        <f>IF(69&gt;=8,('Testes estatísticos'!$D$13+'Testes estatísticos'!$D$74)/2,"")</f>
        <v>1.1200999999999972</v>
      </c>
      <c r="BS186" s="7">
        <f>IF(70&gt;=8,('Testes estatísticos'!$D$13+'Testes estatísticos'!$D$75)/2,"")</f>
        <v>0.11563549999999623</v>
      </c>
      <c r="BT186" s="7">
        <f>IF(71&gt;=8,('Testes estatísticos'!$D$13+'Testes estatísticos'!$D$76)/2,"")</f>
        <v>1.6900004999999965</v>
      </c>
      <c r="BU186" s="7">
        <f>IF(72&gt;=8,('Testes estatísticos'!$D$13+'Testes estatísticos'!$D$77)/2,"")</f>
        <v>-3.9096965000000026</v>
      </c>
      <c r="BV186" s="7">
        <f>IF(73&gt;=8,('Testes estatísticos'!$D$13+'Testes estatísticos'!$D$78)/2,"")</f>
        <v>-1.8362220000000029</v>
      </c>
      <c r="BW186" s="7">
        <f>IF(74&gt;=8,('Testes estatísticos'!$D$13+'Testes estatísticos'!$D$79)/2,"")</f>
        <v>-2.5195405000000015</v>
      </c>
      <c r="BX186" s="7">
        <f>IF(75&gt;=8,('Testes estatísticos'!$D$13+'Testes estatísticos'!$D$80)/2,"")</f>
        <v>-2.5413185000000027</v>
      </c>
      <c r="BY186" s="7">
        <f>IF(76&gt;=8,('Testes estatísticos'!$D$13+'Testes estatísticos'!$D$81)/2,"")</f>
        <v>1.5901394999999994</v>
      </c>
      <c r="BZ186" s="7">
        <f>IF(77&gt;=8,('Testes estatísticos'!$D$13+'Testes estatísticos'!$D$82)/2,"")</f>
        <v>-3.6714500000000001</v>
      </c>
      <c r="CA186" s="7">
        <f>IF(78&gt;=8,('Testes estatísticos'!$D$13+'Testes estatísticos'!$D$83)/2,"")</f>
        <v>-1.9111909999999988</v>
      </c>
      <c r="CB186" s="7">
        <f>IF(79&gt;=8,('Testes estatísticos'!$D$13+'Testes estatísticos'!$D$84)/2,"")</f>
        <v>-1.859468500000002</v>
      </c>
      <c r="CC186" s="7">
        <f>IF(80&gt;=8,('Testes estatísticos'!$D$13+'Testes estatísticos'!$D$85)/2,"")</f>
        <v>-3.6664850000000015</v>
      </c>
      <c r="CD186" s="7">
        <f>IF(81&gt;=8,('Testes estatísticos'!$D$13+'Testes estatísticos'!$D$86)/2,"")</f>
        <v>-3.7166300000000021</v>
      </c>
      <c r="CE186" s="7">
        <f>IF(82&gt;=8,('Testes estatísticos'!$D$13+'Testes estatísticos'!$D$87)/2,"")</f>
        <v>-1.6388395000000031</v>
      </c>
      <c r="CF186" s="7">
        <f>IF(83&gt;=8,('Testes estatísticos'!$D$13+'Testes estatísticos'!$D$88)/2,"")</f>
        <v>-2.1676465000000036</v>
      </c>
      <c r="CG186" s="7">
        <f>IF(84&gt;=8,('Testes estatísticos'!$D$13+'Testes estatísticos'!$D$89)/2,"")</f>
        <v>-2.4995535000000011</v>
      </c>
      <c r="CH186" s="7">
        <f>IF(85&gt;=8,('Testes estatísticos'!$D$13+'Testes estatísticos'!$D$90)/2,"")</f>
        <v>-0.6840065000000024</v>
      </c>
      <c r="CI186" s="7">
        <f>IF(86&gt;=8,('Testes estatísticos'!$D$13+'Testes estatísticos'!$D$91)/2,"")</f>
        <v>-3.3741659999999989</v>
      </c>
      <c r="CJ186" s="7">
        <f>IF(87&gt;=8,('Testes estatísticos'!$D$13+'Testes estatísticos'!$D$92)/2,"")</f>
        <v>-2.1319595000000007</v>
      </c>
      <c r="CK186" s="7">
        <f>IF(88&gt;=8,('Testes estatísticos'!$D$13+'Testes estatísticos'!$D$93)/2,"")</f>
        <v>-1.8878760000000021</v>
      </c>
      <c r="CL186" s="7">
        <f>IF(89&gt;=8,('Testes estatísticos'!$D$13+'Testes estatísticos'!$D$94)/2,"")</f>
        <v>-2.4994680000000038</v>
      </c>
      <c r="CM186" s="7">
        <f>IF(90&gt;=8,('Testes estatísticos'!$D$13+'Testes estatísticos'!$D$95)/2,"")</f>
        <v>-4.8336000000000006</v>
      </c>
      <c r="CN186" s="7">
        <f>IF(91&gt;=8,('Testes estatísticos'!$D$13+'Testes estatísticos'!$D$96)/2,"")</f>
        <v>-2.2950769999999991</v>
      </c>
      <c r="CO186" s="7">
        <f>IF(92&gt;=8,('Testes estatísticos'!$D$13+'Testes estatísticos'!$D$97)/2,"")</f>
        <v>-2.6415804999999999</v>
      </c>
      <c r="CP186" s="7">
        <f>IF(93&gt;=8,('Testes estatísticos'!$D$13+'Testes estatísticos'!$D$98)/2,"")</f>
        <v>-2.846332499999999</v>
      </c>
      <c r="CQ186" s="7">
        <f>IF(94&gt;=8,('Testes estatísticos'!$D$13+'Testes estatísticos'!$D$99)/2,"")</f>
        <v>-0.66517450000000267</v>
      </c>
      <c r="CR186" s="7">
        <f>IF(95&gt;=8,('Testes estatísticos'!$D$13+'Testes estatísticos'!$D$100)/2,"")</f>
        <v>-2.5709675000000018</v>
      </c>
      <c r="CS186" s="7">
        <f>IF(96&gt;=8,('Testes estatísticos'!$D$13+'Testes estatísticos'!$D$101)/2,"")</f>
        <v>-2.5269805000000041</v>
      </c>
      <c r="CT186" s="7">
        <f>IF(97&gt;=8,('Testes estatísticos'!$D$13+'Testes estatísticos'!$D$102)/2,"")</f>
        <v>-2.2939300000000031</v>
      </c>
      <c r="CU186" s="7">
        <f>IF(98&gt;=8,('Testes estatísticos'!$D$13+'Testes estatísticos'!$D$103)/2,"")</f>
        <v>-2.2366039999999998</v>
      </c>
      <c r="CV186" s="7">
        <f>IF(99&gt;=8,('Testes estatísticos'!$D$13+'Testes estatísticos'!$D$104)/2,"")</f>
        <v>-2.6714300000000009</v>
      </c>
      <c r="CW186" s="7">
        <f>IF(100&gt;=8,('Testes estatísticos'!$D$13+'Testes estatísticos'!$D$105)/2,"")</f>
        <v>-2.7708960000000005</v>
      </c>
      <c r="CX186" s="7">
        <f>IF(101&gt;=8,('Testes estatísticos'!$D$13+'Testes estatísticos'!$D$106)/2,"")</f>
        <v>-2.2479695</v>
      </c>
      <c r="CY186" s="7">
        <f>IF(102&gt;=8,('Testes estatísticos'!$D$13+'Testes estatísticos'!$D$107)/2,"")</f>
        <v>-2.3036345000000011</v>
      </c>
      <c r="CZ186" s="7">
        <f>IF(103&gt;=8,('Testes estatísticos'!$D$13+'Testes estatísticos'!$D$108)/2,"")</f>
        <v>-2.8278010000000009</v>
      </c>
      <c r="DA186" s="7">
        <f>IF(104&gt;=8,('Testes estatísticos'!$D$13+'Testes estatísticos'!$D$109)/2,"")</f>
        <v>-2.5651669999999989</v>
      </c>
      <c r="DB186" s="7">
        <f>IF(105&gt;=8,('Testes estatísticos'!$D$13+'Testes estatísticos'!$D$110)/2,"")</f>
        <v>-2.5308360000000008</v>
      </c>
      <c r="DC186" s="7">
        <f>IF(106&gt;=8,('Testes estatísticos'!$D$13+'Testes estatísticos'!$D$111)/2,"")</f>
        <v>-1.7879150000000017</v>
      </c>
      <c r="DD186" s="7">
        <f>IF(107&gt;=8,('Testes estatísticos'!$D$13+'Testes estatísticos'!$D$112)/2,"")</f>
        <v>1.7052559999999986</v>
      </c>
      <c r="DE186" s="7">
        <f>IF(108&gt;=8,('Testes estatísticos'!$D$13+'Testes estatísticos'!$D$113)/2,"")</f>
        <v>-1.7173794999999998</v>
      </c>
      <c r="DF186" s="7">
        <f>IF(109&gt;=8,('Testes estatísticos'!$D$13+'Testes estatísticos'!$D$114)/2,"")</f>
        <v>-1.7536364999999989</v>
      </c>
      <c r="DG186" s="7">
        <f>IF(110&gt;=8,('Testes estatísticos'!$D$13+'Testes estatísticos'!$D$115)/2,"")</f>
        <v>-7.3007760000000026</v>
      </c>
      <c r="DH186" s="7">
        <f>IF(111&gt;=8,('Testes estatísticos'!$D$13+'Testes estatísticos'!$D$116)/2,"")</f>
        <v>-1.6199455</v>
      </c>
      <c r="DI186" s="7">
        <f>IF(112&gt;=8,('Testes estatísticos'!$D$13+'Testes estatísticos'!$D$117)/2,"")</f>
        <v>3.8084944999999983</v>
      </c>
      <c r="DJ186" s="7">
        <f>IF(113&gt;=8,('Testes estatísticos'!$D$13+'Testes estatísticos'!$D$118)/2,"")</f>
        <v>-1.6480625000000018</v>
      </c>
      <c r="DK186" s="7">
        <f>IF(114&gt;=8,('Testes estatísticos'!$D$13+'Testes estatísticos'!$D$119)/2,"")</f>
        <v>-1.7498125000000009</v>
      </c>
      <c r="DL186" s="7">
        <f>IF(115&gt;=8,('Testes estatísticos'!$D$13+'Testes estatísticos'!$D$120)/2,"")</f>
        <v>-1.7033349999999992</v>
      </c>
      <c r="DM186" s="7">
        <f>IF(116&gt;=8,('Testes estatísticos'!$D$13+'Testes estatísticos'!$D$121)/2,"")</f>
        <v>-1.6947325000000006</v>
      </c>
      <c r="DN186" s="7">
        <f>IF(117&gt;=8,('Testes estatísticos'!$D$13+'Testes estatísticos'!$D$122)/2,"")</f>
        <v>-1.6716645000000021</v>
      </c>
      <c r="DO186" s="7">
        <f>IF(118&gt;=8,('Testes estatísticos'!$D$13+'Testes estatísticos'!$D$123)/2,"")</f>
        <v>-1.6217540000000028</v>
      </c>
      <c r="DP186" s="7">
        <f>IF(119&gt;=8,('Testes estatísticos'!$D$13+'Testes estatísticos'!$D$124)/2,"")</f>
        <v>-1.6429655000000025</v>
      </c>
      <c r="DQ186" s="7">
        <f>IF(120&gt;=8,('Testes estatísticos'!$D$13+'Testes estatísticos'!$D$125)/2,"")</f>
        <v>1.4086490000000005</v>
      </c>
      <c r="DR186" s="7">
        <f>IF(121&gt;=8,('Testes estatísticos'!$D$13+'Testes estatísticos'!$D$126)/2,"")</f>
        <v>-1.380367500000002</v>
      </c>
      <c r="DS186" s="7">
        <f>IF(122&gt;=8,('Testes estatísticos'!$D$13+'Testes estatísticos'!$D$127)/2,"")</f>
        <v>-2.4457759999999986</v>
      </c>
      <c r="DT186" s="7">
        <f>IF(123&gt;=8,('Testes estatísticos'!$D$13+'Testes estatísticos'!$D$128)/2,"")</f>
        <v>3.623093499999996</v>
      </c>
      <c r="DU186" s="7">
        <f>IF(124&gt;=8,('Testes estatísticos'!$D$13+'Testes estatísticos'!$D$129)/2,"")</f>
        <v>-1.2726780000000026</v>
      </c>
      <c r="DV186" s="7">
        <f>IF(125&gt;=8,('Testes estatísticos'!$D$13+'Testes estatísticos'!$D$130)/2,"")</f>
        <v>-0.11437050000000326</v>
      </c>
      <c r="DW186" s="7">
        <f>IF(126&gt;=8,('Testes estatísticos'!$D$13+'Testes estatísticos'!$D$131)/2,"")</f>
        <v>-2.517846500000001</v>
      </c>
      <c r="DX186" s="7">
        <f>IF(127&gt;=8,('Testes estatísticos'!$D$13+'Testes estatísticos'!$D$132)/2,"")</f>
        <v>-4.5740380000000016</v>
      </c>
      <c r="DY186" s="7">
        <f>IF(128&gt;=8,('Testes estatísticos'!$D$13+'Testes estatísticos'!$D$133)/2,"")</f>
        <v>-4.9151275000000005</v>
      </c>
      <c r="DZ186" s="7">
        <f>IF(129&gt;=8,('Testes estatísticos'!$D$13+'Testes estatísticos'!$D$134)/2,"")</f>
        <v>-8.3389175000000009</v>
      </c>
      <c r="EA186" s="7">
        <f>IF(130&gt;=8,('Testes estatísticos'!$D$13+'Testes estatísticos'!$D$135)/2,"")</f>
        <v>-2.5771474999999988</v>
      </c>
      <c r="EB186" s="7">
        <f>IF(131&gt;=8,('Testes estatísticos'!$D$13+'Testes estatísticos'!$D$136)/2,"")</f>
        <v>-2.4892745000000041</v>
      </c>
      <c r="EC186" s="7">
        <f>IF(132&gt;=8,('Testes estatísticos'!$D$13+'Testes estatísticos'!$D$137)/2,"")</f>
        <v>-3.9760110000000033</v>
      </c>
      <c r="ED186" s="7">
        <f>IF(133&gt;=8,('Testes estatísticos'!$D$13+'Testes estatísticos'!$D$138)/2,"")</f>
        <v>-1.7870735000000018</v>
      </c>
      <c r="EE186" s="7">
        <f>IF(134&gt;=8,('Testes estatísticos'!$D$13+'Testes estatísticos'!$D$139)/2,"")</f>
        <v>-4.0842640000000046</v>
      </c>
      <c r="EF186" s="7">
        <f>IF(135&gt;=8,('Testes estatísticos'!$D$13+'Testes estatísticos'!$D$140)/2,"")</f>
        <v>-0.86983150000000009</v>
      </c>
      <c r="EG186" s="7">
        <f>IF(136&gt;=8,('Testes estatísticos'!$D$13+'Testes estatísticos'!$D$141)/2,"")</f>
        <v>-2.5633215000000042</v>
      </c>
      <c r="EH186" s="7">
        <f>IF(137&gt;=8,('Testes estatísticos'!$D$13+'Testes estatísticos'!$D$142)/2,"")</f>
        <v>-0.85858150000000322</v>
      </c>
      <c r="EI186" s="7">
        <f>IF(138&gt;=8,('Testes estatísticos'!$D$13+'Testes estatísticos'!$D$143)/2,"")</f>
        <v>-2.5235969999999988</v>
      </c>
      <c r="EJ186" s="7"/>
      <c r="EK186" s="7"/>
      <c r="EL186" s="7"/>
    </row>
    <row r="187" spans="1:151" x14ac:dyDescent="0.3">
      <c r="B187" s="7" t="str">
        <f>IF(1&gt;=9,('Testes estatísticos'!$D$14+'Testes estatísticos'!$D$6)/2,"")</f>
        <v/>
      </c>
      <c r="C187" s="7" t="str">
        <f>IF(2&gt;=9,('Testes estatísticos'!$D$14+'Testes estatísticos'!$D$7)/2,"")</f>
        <v/>
      </c>
      <c r="D187" s="7" t="str">
        <f>IF(3&gt;=9,('Testes estatísticos'!$D$14+'Testes estatísticos'!$D$8)/2,"")</f>
        <v/>
      </c>
      <c r="E187" s="7" t="str">
        <f>IF(4&gt;=9,('Testes estatísticos'!$D$14+'Testes estatísticos'!$D$9)/2,"")</f>
        <v/>
      </c>
      <c r="F187" s="7" t="str">
        <f>IF(5&gt;=9,('Testes estatísticos'!$D$14+'Testes estatísticos'!$D$10)/2,"")</f>
        <v/>
      </c>
      <c r="G187" s="7" t="str">
        <f>IF(6&gt;=9,('Testes estatísticos'!$D$14+'Testes estatísticos'!$D$11)/2,"")</f>
        <v/>
      </c>
      <c r="H187" s="7" t="str">
        <f>IF(7&gt;=9,('Testes estatísticos'!$D$14+'Testes estatísticos'!$D$12)/2,"")</f>
        <v/>
      </c>
      <c r="I187" s="7" t="str">
        <f>IF(8&gt;=9,('Testes estatísticos'!$D$14+'Testes estatísticos'!$D$13)/2,"")</f>
        <v/>
      </c>
      <c r="J187" s="7">
        <f>IF(9&gt;=9,('Testes estatísticos'!$D$14+'Testes estatísticos'!$D$14)/2,"")</f>
        <v>4.5238999999995144E-2</v>
      </c>
      <c r="K187" s="7">
        <f>IF(10&gt;=9,('Testes estatísticos'!$D$14+'Testes estatísticos'!$D$15)/2,"")</f>
        <v>-0.26257600000000281</v>
      </c>
      <c r="L187" s="7">
        <f>IF(11&gt;=9,('Testes estatísticos'!$D$14+'Testes estatísticos'!$D$16)/2,"")</f>
        <v>-0.85619700000000165</v>
      </c>
      <c r="M187" s="7">
        <f>IF(12&gt;=9,('Testes estatísticos'!$D$14+'Testes estatísticos'!$D$17)/2,"")</f>
        <v>-4.12547</v>
      </c>
      <c r="N187" s="7">
        <f>IF(13&gt;=9,('Testes estatísticos'!$D$14+'Testes estatísticos'!$D$18)/2,"")</f>
        <v>1.7282159999999962</v>
      </c>
      <c r="O187" s="7">
        <f>IF(14&gt;=9,('Testes estatísticos'!$D$14+'Testes estatísticos'!$D$19)/2,"")</f>
        <v>0.38592299999999824</v>
      </c>
      <c r="P187" s="7">
        <f>IF(15&gt;=9,('Testes estatísticos'!$D$14+'Testes estatísticos'!$D$20)/2,"")</f>
        <v>1.8056264999999989</v>
      </c>
      <c r="Q187" s="7">
        <f>IF(16&gt;=9,('Testes estatísticos'!$D$14+'Testes estatísticos'!$D$21)/2,"")</f>
        <v>-5.494208000000004</v>
      </c>
      <c r="R187" s="7">
        <f>IF(17&gt;=9,('Testes estatísticos'!$D$14+'Testes estatísticos'!$D$22)/2,"")</f>
        <v>-2.0328640000000036</v>
      </c>
      <c r="S187" s="7">
        <f>IF(18&gt;=9,('Testes estatísticos'!$D$14+'Testes estatísticos'!$D$23)/2,"")</f>
        <v>-3.1069775000000028</v>
      </c>
      <c r="T187" s="7">
        <f>IF(19&gt;=9,('Testes estatísticos'!$D$14+'Testes estatísticos'!$D$24)/2,"")</f>
        <v>-2.7085365000000046</v>
      </c>
      <c r="U187" s="7">
        <f>IF(20&gt;=9,('Testes estatísticos'!$D$14+'Testes estatísticos'!$D$25)/2,"")</f>
        <v>-3.6539044999999994</v>
      </c>
      <c r="V187" s="7">
        <f>IF(21&gt;=9,('Testes estatísticos'!$D$14+'Testes estatísticos'!$D$26)/2,"")</f>
        <v>-1.7952195000000017</v>
      </c>
      <c r="W187" s="7">
        <f>IF(22&gt;=9,('Testes estatísticos'!$D$14+'Testes estatísticos'!$D$27)/2,"")</f>
        <v>-1.8314490000000028</v>
      </c>
      <c r="X187" s="7">
        <f>IF(23&gt;=9,('Testes estatísticos'!$D$14+'Testes estatísticos'!$D$28)/2,"")</f>
        <v>-1.9543265000000005</v>
      </c>
      <c r="Y187" s="7">
        <f>IF(24&gt;=9,('Testes estatísticos'!$D$14+'Testes estatísticos'!$D$29)/2,"")</f>
        <v>-1.3911460000000027</v>
      </c>
      <c r="Z187" s="7">
        <f>IF(25&gt;=9,('Testes estatísticos'!$D$14+'Testes estatísticos'!$D$30)/2,"")</f>
        <v>-1.0775830000000042</v>
      </c>
      <c r="AA187" s="7">
        <f>IF(26&gt;=9,('Testes estatísticos'!$D$14+'Testes estatísticos'!$D$31)/2,"")</f>
        <v>-1.0741125000000018</v>
      </c>
      <c r="AB187" s="7">
        <f>IF(27&gt;=9,('Testes estatísticos'!$D$14+'Testes estatísticos'!$D$32)/2,"")</f>
        <v>-1.1787215000000018</v>
      </c>
      <c r="AC187" s="7">
        <f>IF(28&gt;=9,('Testes estatísticos'!$D$14+'Testes estatísticos'!$D$33)/2,"")</f>
        <v>-1.1190070000000034</v>
      </c>
      <c r="AD187" s="7">
        <f>IF(29&gt;=9,('Testes estatísticos'!$D$14+'Testes estatísticos'!$D$34)/2,"")</f>
        <v>-0.38974500000000489</v>
      </c>
      <c r="AE187" s="7">
        <f>IF(30&gt;=9,('Testes estatísticos'!$D$14+'Testes estatísticos'!$D$35)/2,"")</f>
        <v>-1.7032910000000037</v>
      </c>
      <c r="AF187" s="7">
        <f>IF(31&gt;=9,('Testes estatísticos'!$D$14+'Testes estatísticos'!$D$36)/2,"")</f>
        <v>-2.0456855000000012</v>
      </c>
      <c r="AG187" s="7">
        <f>IF(32&gt;=9,('Testes estatísticos'!$D$14+'Testes estatísticos'!$D$37)/2,"")</f>
        <v>-0.94206500000000304</v>
      </c>
      <c r="AH187" s="7">
        <f>IF(33&gt;=9,('Testes estatísticos'!$D$14+'Testes estatísticos'!$D$38)/2,"")</f>
        <v>-1.1076045000000043</v>
      </c>
      <c r="AI187" s="7">
        <f>IF(34&gt;=9,('Testes estatísticos'!$D$14+'Testes estatísticos'!$D$39)/2,"")</f>
        <v>1.7089414999999981</v>
      </c>
      <c r="AJ187" s="7">
        <f>IF(35&gt;=9,('Testes estatísticos'!$D$14+'Testes estatísticos'!$D$40)/2,"")</f>
        <v>-1.0325565000000019</v>
      </c>
      <c r="AK187" s="7">
        <f>IF(36&gt;=9,('Testes estatísticos'!$D$14+'Testes estatísticos'!$D$41)/2,"")</f>
        <v>1.2353879999999968</v>
      </c>
      <c r="AL187" s="7">
        <f>IF(37&gt;=9,('Testes estatísticos'!$D$14+'Testes estatísticos'!$D$42)/2,"")</f>
        <v>-1.043173000000003</v>
      </c>
      <c r="AM187" s="7">
        <f>IF(38&gt;=9,('Testes estatísticos'!$D$14+'Testes estatísticos'!$D$43)/2,"")</f>
        <v>-1.0303135000000019</v>
      </c>
      <c r="AN187" s="7">
        <f>IF(39&gt;=9,('Testes estatísticos'!$D$14+'Testes estatísticos'!$D$44)/2,"")</f>
        <v>-2.1673075000000033</v>
      </c>
      <c r="AO187" s="7">
        <f>IF(40&gt;=9,('Testes estatísticos'!$D$14+'Testes estatísticos'!$D$45)/2,"")</f>
        <v>1.8076189999999954</v>
      </c>
      <c r="AP187" s="7">
        <f>IF(41&gt;=9,('Testes estatísticos'!$D$14+'Testes estatísticos'!$D$46)/2,"")</f>
        <v>-0.69832050000000123</v>
      </c>
      <c r="AQ187" s="7">
        <f>IF(42&gt;=9,('Testes estatísticos'!$D$14+'Testes estatísticos'!$D$47)/2,"")</f>
        <v>0.44403849999999778</v>
      </c>
      <c r="AR187" s="7">
        <f>IF(43&gt;=9,('Testes estatísticos'!$D$14+'Testes estatísticos'!$D$48)/2,"")</f>
        <v>-0.60487550000000212</v>
      </c>
      <c r="AS187" s="7">
        <f>IF(44&gt;=9,('Testes estatísticos'!$D$14+'Testes estatísticos'!$D$49)/2,"")</f>
        <v>-1.135998500000003</v>
      </c>
      <c r="AT187" s="7">
        <f>IF(45&gt;=9,('Testes estatísticos'!$D$14+'Testes estatísticos'!$D$50)/2,"")</f>
        <v>-0.30692000000000164</v>
      </c>
      <c r="AU187" s="7">
        <f>IF(46&gt;=9,('Testes estatísticos'!$D$14+'Testes estatísticos'!$D$51)/2,"")</f>
        <v>-3.338116000000003</v>
      </c>
      <c r="AV187" s="7">
        <f>IF(47&gt;=9,('Testes estatísticos'!$D$14+'Testes estatísticos'!$D$52)/2,"")</f>
        <v>1.7320569999999975</v>
      </c>
      <c r="AW187" s="7">
        <f>IF(48&gt;=9,('Testes estatísticos'!$D$14+'Testes estatísticos'!$D$53)/2,"")</f>
        <v>-2.7039740000000023</v>
      </c>
      <c r="AX187" s="7">
        <f>IF(49&gt;=9,('Testes estatísticos'!$D$14+'Testes estatísticos'!$D$54)/2,"")</f>
        <v>-1.4441835000000012</v>
      </c>
      <c r="AY187" s="7">
        <f>IF(50&gt;=9,('Testes estatísticos'!$D$14+'Testes estatísticos'!$D$55)/2,"")</f>
        <v>0.18098099999999917</v>
      </c>
      <c r="AZ187" s="7">
        <f>IF(51&gt;=9,('Testes estatísticos'!$D$14+'Testes estatísticos'!$D$56)/2,"")</f>
        <v>0.22545049999999733</v>
      </c>
      <c r="BA187" s="7">
        <f>IF(52&gt;=9,('Testes estatísticos'!$D$14+'Testes estatísticos'!$D$57)/2,"")</f>
        <v>-3.1827655000000021</v>
      </c>
      <c r="BB187" s="7">
        <f>IF(53&gt;=9,('Testes estatísticos'!$D$14+'Testes estatísticos'!$D$58)/2,"")</f>
        <v>0.22599699999999956</v>
      </c>
      <c r="BC187" s="7">
        <f>IF(54&gt;=9,('Testes estatísticos'!$D$14+'Testes estatísticos'!$D$59)/2,"")</f>
        <v>-0.69364550000000236</v>
      </c>
      <c r="BD187" s="7">
        <f>IF(55&gt;=9,('Testes estatísticos'!$D$14+'Testes estatísticos'!$D$60)/2,"")</f>
        <v>2.402025499999997</v>
      </c>
      <c r="BE187" s="7">
        <f>IF(56&gt;=9,('Testes estatísticos'!$D$14+'Testes estatísticos'!$D$61)/2,"")</f>
        <v>-0.22794299999999978</v>
      </c>
      <c r="BF187" s="7">
        <f>IF(57&gt;=9,('Testes estatísticos'!$D$14+'Testes estatísticos'!$D$62)/2,"")</f>
        <v>-3.6281330000000054</v>
      </c>
      <c r="BG187" s="7">
        <f>IF(58&gt;=9,('Testes estatísticos'!$D$14+'Testes estatísticos'!$D$63)/2,"")</f>
        <v>1.6377619999999986</v>
      </c>
      <c r="BH187" s="7">
        <f>IF(59&gt;=9,('Testes estatísticos'!$D$14+'Testes estatísticos'!$D$64)/2,"")</f>
        <v>-4.2058505000000039</v>
      </c>
      <c r="BI187" s="7">
        <f>IF(60&gt;=9,('Testes estatísticos'!$D$14+'Testes estatísticos'!$D$65)/2,"")</f>
        <v>-2.4582595000000005</v>
      </c>
      <c r="BJ187" s="7">
        <f>IF(61&gt;=9,('Testes estatísticos'!$D$14+'Testes estatísticos'!$D$66)/2,"")</f>
        <v>0.17679549999999722</v>
      </c>
      <c r="BK187" s="7">
        <f>IF(62&gt;=9,('Testes estatísticos'!$D$14+'Testes estatísticos'!$D$67)/2,"")</f>
        <v>-0.331999500000002</v>
      </c>
      <c r="BL187" s="7">
        <f>IF(63&gt;=9,('Testes estatísticos'!$D$14+'Testes estatísticos'!$D$68)/2,"")</f>
        <v>0.56731499999999713</v>
      </c>
      <c r="BM187" s="7">
        <f>IF(64&gt;=9,('Testes estatísticos'!$D$14+'Testes estatísticos'!$D$69)/2,"")</f>
        <v>0.61815699999999651</v>
      </c>
      <c r="BN187" s="7">
        <f>IF(65&gt;=9,('Testes estatísticos'!$D$14+'Testes estatísticos'!$D$70)/2,"")</f>
        <v>-1.5276495000000025</v>
      </c>
      <c r="BO187" s="7">
        <f>IF(66&gt;=9,('Testes estatísticos'!$D$14+'Testes estatísticos'!$D$71)/2,"")</f>
        <v>-0.63179700000000238</v>
      </c>
      <c r="BP187" s="7">
        <f>IF(67&gt;=9,('Testes estatísticos'!$D$14+'Testes estatísticos'!$D$72)/2,"")</f>
        <v>-3.5222560000000023</v>
      </c>
      <c r="BQ187" s="7">
        <f>IF(68&gt;=9,('Testes estatísticos'!$D$14+'Testes estatísticos'!$D$73)/2,"")</f>
        <v>1.1409769999999959</v>
      </c>
      <c r="BR187" s="7">
        <f>IF(69&gt;=9,('Testes estatísticos'!$D$14+'Testes estatísticos'!$D$74)/2,"")</f>
        <v>1.7731589999999962</v>
      </c>
      <c r="BS187" s="7">
        <f>IF(70&gt;=9,('Testes estatísticos'!$D$14+'Testes estatísticos'!$D$75)/2,"")</f>
        <v>0.76869449999999517</v>
      </c>
      <c r="BT187" s="7">
        <f>IF(71&gt;=9,('Testes estatísticos'!$D$14+'Testes estatísticos'!$D$76)/2,"")</f>
        <v>2.3430594999999954</v>
      </c>
      <c r="BU187" s="7">
        <f>IF(72&gt;=9,('Testes estatísticos'!$D$14+'Testes estatísticos'!$D$77)/2,"")</f>
        <v>-3.2566375000000036</v>
      </c>
      <c r="BV187" s="7">
        <f>IF(73&gt;=9,('Testes estatísticos'!$D$14+'Testes estatísticos'!$D$78)/2,"")</f>
        <v>-1.183163000000004</v>
      </c>
      <c r="BW187" s="7">
        <f>IF(74&gt;=9,('Testes estatísticos'!$D$14+'Testes estatísticos'!$D$79)/2,"")</f>
        <v>-1.8664815000000026</v>
      </c>
      <c r="BX187" s="7">
        <f>IF(75&gt;=9,('Testes estatísticos'!$D$14+'Testes estatísticos'!$D$80)/2,"")</f>
        <v>-1.8882595000000038</v>
      </c>
      <c r="BY187" s="7">
        <f>IF(76&gt;=9,('Testes estatísticos'!$D$14+'Testes estatísticos'!$D$81)/2,"")</f>
        <v>2.2431984999999983</v>
      </c>
      <c r="BZ187" s="7">
        <f>IF(77&gt;=9,('Testes estatísticos'!$D$14+'Testes estatísticos'!$D$82)/2,"")</f>
        <v>-3.0183910000000012</v>
      </c>
      <c r="CA187" s="7">
        <f>IF(78&gt;=9,('Testes estatísticos'!$D$14+'Testes estatísticos'!$D$83)/2,"")</f>
        <v>-1.2581319999999998</v>
      </c>
      <c r="CB187" s="7">
        <f>IF(79&gt;=9,('Testes estatísticos'!$D$14+'Testes estatísticos'!$D$84)/2,"")</f>
        <v>-1.206409500000003</v>
      </c>
      <c r="CC187" s="7">
        <f>IF(80&gt;=9,('Testes estatísticos'!$D$14+'Testes estatísticos'!$D$85)/2,"")</f>
        <v>-3.0134260000000026</v>
      </c>
      <c r="CD187" s="7">
        <f>IF(81&gt;=9,('Testes estatísticos'!$D$14+'Testes estatísticos'!$D$86)/2,"")</f>
        <v>-3.0635710000000032</v>
      </c>
      <c r="CE187" s="7">
        <f>IF(82&gt;=9,('Testes estatísticos'!$D$14+'Testes estatísticos'!$D$87)/2,"")</f>
        <v>-0.98578050000000417</v>
      </c>
      <c r="CF187" s="7">
        <f>IF(83&gt;=9,('Testes estatísticos'!$D$14+'Testes estatísticos'!$D$88)/2,"")</f>
        <v>-1.5145875000000046</v>
      </c>
      <c r="CG187" s="7">
        <f>IF(84&gt;=9,('Testes estatísticos'!$D$14+'Testes estatísticos'!$D$89)/2,"")</f>
        <v>-1.8464945000000021</v>
      </c>
      <c r="CH187" s="7">
        <f>IF(85&gt;=9,('Testes estatísticos'!$D$14+'Testes estatísticos'!$D$90)/2,"")</f>
        <v>-3.0947500000003458E-2</v>
      </c>
      <c r="CI187" s="7">
        <f>IF(86&gt;=9,('Testes estatísticos'!$D$14+'Testes estatísticos'!$D$91)/2,"")</f>
        <v>-2.7211069999999999</v>
      </c>
      <c r="CJ187" s="7">
        <f>IF(87&gt;=9,('Testes estatísticos'!$D$14+'Testes estatísticos'!$D$92)/2,"")</f>
        <v>-1.4789005000000017</v>
      </c>
      <c r="CK187" s="7">
        <f>IF(88&gt;=9,('Testes estatísticos'!$D$14+'Testes estatísticos'!$D$93)/2,"")</f>
        <v>-1.2348170000000032</v>
      </c>
      <c r="CL187" s="7">
        <f>IF(89&gt;=9,('Testes estatísticos'!$D$14+'Testes estatísticos'!$D$94)/2,"")</f>
        <v>-1.8464090000000049</v>
      </c>
      <c r="CM187" s="7">
        <f>IF(90&gt;=9,('Testes estatísticos'!$D$14+'Testes estatísticos'!$D$95)/2,"")</f>
        <v>-4.1805410000000016</v>
      </c>
      <c r="CN187" s="7">
        <f>IF(91&gt;=9,('Testes estatísticos'!$D$14+'Testes estatísticos'!$D$96)/2,"")</f>
        <v>-1.6420180000000002</v>
      </c>
      <c r="CO187" s="7">
        <f>IF(92&gt;=9,('Testes estatísticos'!$D$14+'Testes estatísticos'!$D$97)/2,"")</f>
        <v>-1.9885215000000009</v>
      </c>
      <c r="CP187" s="7">
        <f>IF(93&gt;=9,('Testes estatísticos'!$D$14+'Testes estatísticos'!$D$98)/2,"")</f>
        <v>-2.1932735000000001</v>
      </c>
      <c r="CQ187" s="7">
        <f>IF(94&gt;=9,('Testes estatísticos'!$D$14+'Testes estatísticos'!$D$99)/2,"")</f>
        <v>-1.2115500000003721E-2</v>
      </c>
      <c r="CR187" s="7">
        <f>IF(95&gt;=9,('Testes estatísticos'!$D$14+'Testes estatísticos'!$D$100)/2,"")</f>
        <v>-1.9179085000000029</v>
      </c>
      <c r="CS187" s="7">
        <f>IF(96&gt;=9,('Testes estatísticos'!$D$14+'Testes estatísticos'!$D$101)/2,"")</f>
        <v>-1.8739215000000051</v>
      </c>
      <c r="CT187" s="7">
        <f>IF(97&gt;=9,('Testes estatísticos'!$D$14+'Testes estatísticos'!$D$102)/2,"")</f>
        <v>-1.6408710000000042</v>
      </c>
      <c r="CU187" s="7">
        <f>IF(98&gt;=9,('Testes estatísticos'!$D$14+'Testes estatísticos'!$D$103)/2,"")</f>
        <v>-1.5835450000000009</v>
      </c>
      <c r="CV187" s="7">
        <f>IF(99&gt;=9,('Testes estatísticos'!$D$14+'Testes estatísticos'!$D$104)/2,"")</f>
        <v>-2.0183710000000019</v>
      </c>
      <c r="CW187" s="7">
        <f>IF(100&gt;=9,('Testes estatísticos'!$D$14+'Testes estatísticos'!$D$105)/2,"")</f>
        <v>-2.1178370000000015</v>
      </c>
      <c r="CX187" s="7">
        <f>IF(101&gt;=9,('Testes estatísticos'!$D$14+'Testes estatísticos'!$D$106)/2,"")</f>
        <v>-1.594910500000001</v>
      </c>
      <c r="CY187" s="7">
        <f>IF(102&gt;=9,('Testes estatísticos'!$D$14+'Testes estatísticos'!$D$107)/2,"")</f>
        <v>-1.6505755000000022</v>
      </c>
      <c r="CZ187" s="7">
        <f>IF(103&gt;=9,('Testes estatísticos'!$D$14+'Testes estatísticos'!$D$108)/2,"")</f>
        <v>-2.174742000000002</v>
      </c>
      <c r="DA187" s="7">
        <f>IF(104&gt;=9,('Testes estatísticos'!$D$14+'Testes estatísticos'!$D$109)/2,"")</f>
        <v>-1.9121079999999999</v>
      </c>
      <c r="DB187" s="7">
        <f>IF(105&gt;=9,('Testes estatísticos'!$D$14+'Testes estatísticos'!$D$110)/2,"")</f>
        <v>-1.8777770000000018</v>
      </c>
      <c r="DC187" s="7">
        <f>IF(106&gt;=9,('Testes estatísticos'!$D$14+'Testes estatísticos'!$D$111)/2,"")</f>
        <v>-1.1348560000000028</v>
      </c>
      <c r="DD187" s="7">
        <f>IF(107&gt;=9,('Testes estatísticos'!$D$14+'Testes estatísticos'!$D$112)/2,"")</f>
        <v>2.3583149999999975</v>
      </c>
      <c r="DE187" s="7">
        <f>IF(108&gt;=9,('Testes estatísticos'!$D$14+'Testes estatísticos'!$D$113)/2,"")</f>
        <v>-1.0643205000000009</v>
      </c>
      <c r="DF187" s="7">
        <f>IF(109&gt;=9,('Testes estatísticos'!$D$14+'Testes estatísticos'!$D$114)/2,"")</f>
        <v>-1.1005775</v>
      </c>
      <c r="DG187" s="7">
        <f>IF(110&gt;=9,('Testes estatísticos'!$D$14+'Testes estatísticos'!$D$115)/2,"")</f>
        <v>-6.6477170000000037</v>
      </c>
      <c r="DH187" s="7">
        <f>IF(111&gt;=9,('Testes estatísticos'!$D$14+'Testes estatísticos'!$D$116)/2,"")</f>
        <v>-0.96688650000000109</v>
      </c>
      <c r="DI187" s="7">
        <f>IF(112&gt;=9,('Testes estatísticos'!$D$14+'Testes estatísticos'!$D$117)/2,"")</f>
        <v>4.4615534999999973</v>
      </c>
      <c r="DJ187" s="7">
        <f>IF(113&gt;=9,('Testes estatísticos'!$D$14+'Testes estatísticos'!$D$118)/2,"")</f>
        <v>-0.99500350000000282</v>
      </c>
      <c r="DK187" s="7">
        <f>IF(114&gt;=9,('Testes estatísticos'!$D$14+'Testes estatísticos'!$D$119)/2,"")</f>
        <v>-1.0967535000000019</v>
      </c>
      <c r="DL187" s="7">
        <f>IF(115&gt;=9,('Testes estatísticos'!$D$14+'Testes estatísticos'!$D$120)/2,"")</f>
        <v>-1.0502760000000002</v>
      </c>
      <c r="DM187" s="7">
        <f>IF(116&gt;=9,('Testes estatísticos'!$D$14+'Testes estatísticos'!$D$121)/2,"")</f>
        <v>-1.0416735000000017</v>
      </c>
      <c r="DN187" s="7">
        <f>IF(117&gt;=9,('Testes estatísticos'!$D$14+'Testes estatísticos'!$D$122)/2,"")</f>
        <v>-1.0186055000000032</v>
      </c>
      <c r="DO187" s="7">
        <f>IF(118&gt;=9,('Testes estatísticos'!$D$14+'Testes estatísticos'!$D$123)/2,"")</f>
        <v>-0.96869500000000386</v>
      </c>
      <c r="DP187" s="7">
        <f>IF(119&gt;=9,('Testes estatísticos'!$D$14+'Testes estatísticos'!$D$124)/2,"")</f>
        <v>-0.98990650000000358</v>
      </c>
      <c r="DQ187" s="7">
        <f>IF(120&gt;=9,('Testes estatísticos'!$D$14+'Testes estatísticos'!$D$125)/2,"")</f>
        <v>2.0617079999999994</v>
      </c>
      <c r="DR187" s="7">
        <f>IF(121&gt;=9,('Testes estatísticos'!$D$14+'Testes estatísticos'!$D$126)/2,"")</f>
        <v>-0.72730850000000302</v>
      </c>
      <c r="DS187" s="7">
        <f>IF(122&gt;=9,('Testes estatísticos'!$D$14+'Testes estatísticos'!$D$127)/2,"")</f>
        <v>-1.7927169999999997</v>
      </c>
      <c r="DT187" s="7">
        <f>IF(123&gt;=9,('Testes estatísticos'!$D$14+'Testes estatísticos'!$D$128)/2,"")</f>
        <v>4.2761524999999949</v>
      </c>
      <c r="DU187" s="7">
        <f>IF(124&gt;=9,('Testes estatísticos'!$D$14+'Testes estatísticos'!$D$129)/2,"")</f>
        <v>-0.61961900000000369</v>
      </c>
      <c r="DV187" s="7">
        <f>IF(125&gt;=9,('Testes estatísticos'!$D$14+'Testes estatísticos'!$D$130)/2,"")</f>
        <v>0.53868849999999568</v>
      </c>
      <c r="DW187" s="7">
        <f>IF(126&gt;=9,('Testes estatísticos'!$D$14+'Testes estatísticos'!$D$131)/2,"")</f>
        <v>-1.864787500000002</v>
      </c>
      <c r="DX187" s="7">
        <f>IF(127&gt;=9,('Testes estatísticos'!$D$14+'Testes estatísticos'!$D$132)/2,"")</f>
        <v>-3.9209790000000027</v>
      </c>
      <c r="DY187" s="7">
        <f>IF(128&gt;=9,('Testes estatísticos'!$D$14+'Testes estatísticos'!$D$133)/2,"")</f>
        <v>-4.2620685000000016</v>
      </c>
      <c r="DZ187" s="7">
        <f>IF(129&gt;=9,('Testes estatísticos'!$D$14+'Testes estatísticos'!$D$134)/2,"")</f>
        <v>-7.6858585000000019</v>
      </c>
      <c r="EA187" s="7">
        <f>IF(130&gt;=9,('Testes estatísticos'!$D$14+'Testes estatísticos'!$D$135)/2,"")</f>
        <v>-1.9240884999999999</v>
      </c>
      <c r="EB187" s="7">
        <f>IF(131&gt;=9,('Testes estatísticos'!$D$14+'Testes estatísticos'!$D$136)/2,"")</f>
        <v>-1.8362155000000051</v>
      </c>
      <c r="EC187" s="7">
        <f>IF(132&gt;=9,('Testes estatísticos'!$D$14+'Testes estatísticos'!$D$137)/2,"")</f>
        <v>-3.3229520000000043</v>
      </c>
      <c r="ED187" s="7">
        <f>IF(133&gt;=9,('Testes estatísticos'!$D$14+'Testes estatísticos'!$D$138)/2,"")</f>
        <v>-1.1340145000000028</v>
      </c>
      <c r="EE187" s="7">
        <f>IF(134&gt;=9,('Testes estatísticos'!$D$14+'Testes estatísticos'!$D$139)/2,"")</f>
        <v>-3.4312050000000056</v>
      </c>
      <c r="EF187" s="7">
        <f>IF(135&gt;=9,('Testes estatísticos'!$D$14+'Testes estatísticos'!$D$140)/2,"")</f>
        <v>-0.21677250000000114</v>
      </c>
      <c r="EG187" s="7">
        <f>IF(136&gt;=9,('Testes estatísticos'!$D$14+'Testes estatísticos'!$D$141)/2,"")</f>
        <v>-1.9102625000000053</v>
      </c>
      <c r="EH187" s="7">
        <f>IF(137&gt;=9,('Testes estatísticos'!$D$14+'Testes estatísticos'!$D$142)/2,"")</f>
        <v>-0.20552250000000427</v>
      </c>
      <c r="EI187" s="7">
        <f>IF(138&gt;=9,('Testes estatísticos'!$D$14+'Testes estatísticos'!$D$143)/2,"")</f>
        <v>-1.8705379999999998</v>
      </c>
      <c r="EJ187" s="7"/>
      <c r="EK187" s="7"/>
      <c r="EL187" s="7"/>
    </row>
    <row r="188" spans="1:151" x14ac:dyDescent="0.3">
      <c r="B188" s="7" t="str">
        <f>IF(1&gt;=10,('Testes estatísticos'!$D$15+'Testes estatísticos'!$D$6)/2,"")</f>
        <v/>
      </c>
      <c r="C188" s="7" t="str">
        <f>IF(2&gt;=10,('Testes estatísticos'!$D$15+'Testes estatísticos'!$D$7)/2,"")</f>
        <v/>
      </c>
      <c r="D188" s="7" t="str">
        <f>IF(3&gt;=10,('Testes estatísticos'!$D$15+'Testes estatísticos'!$D$8)/2,"")</f>
        <v/>
      </c>
      <c r="E188" s="7" t="str">
        <f>IF(4&gt;=10,('Testes estatísticos'!$D$15+'Testes estatísticos'!$D$9)/2,"")</f>
        <v/>
      </c>
      <c r="F188" s="7" t="str">
        <f>IF(5&gt;=10,('Testes estatísticos'!$D$15+'Testes estatísticos'!$D$10)/2,"")</f>
        <v/>
      </c>
      <c r="G188" s="7" t="str">
        <f>IF(6&gt;=10,('Testes estatísticos'!$D$15+'Testes estatísticos'!$D$11)/2,"")</f>
        <v/>
      </c>
      <c r="H188" s="7" t="str">
        <f>IF(7&gt;=10,('Testes estatísticos'!$D$15+'Testes estatísticos'!$D$12)/2,"")</f>
        <v/>
      </c>
      <c r="I188" s="7" t="str">
        <f>IF(8&gt;=10,('Testes estatísticos'!$D$15+'Testes estatísticos'!$D$13)/2,"")</f>
        <v/>
      </c>
      <c r="J188" s="7" t="str">
        <f>IF(9&gt;=10,('Testes estatísticos'!$D$15+'Testes estatísticos'!$D$14)/2,"")</f>
        <v/>
      </c>
      <c r="K188" s="7">
        <f>IF(10&gt;=10,('Testes estatísticos'!$D$15+'Testes estatísticos'!$D$15)/2,"")</f>
        <v>-0.57039100000000076</v>
      </c>
      <c r="L188" s="7">
        <f>IF(11&gt;=10,('Testes estatísticos'!$D$15+'Testes estatísticos'!$D$16)/2,"")</f>
        <v>-1.1640119999999996</v>
      </c>
      <c r="M188" s="7">
        <f>IF(12&gt;=10,('Testes estatísticos'!$D$15+'Testes estatísticos'!$D$17)/2,"")</f>
        <v>-4.4332849999999979</v>
      </c>
      <c r="N188" s="7">
        <f>IF(13&gt;=10,('Testes estatísticos'!$D$15+'Testes estatísticos'!$D$18)/2,"")</f>
        <v>1.4204009999999982</v>
      </c>
      <c r="O188" s="7">
        <f>IF(14&gt;=10,('Testes estatísticos'!$D$15+'Testes estatísticos'!$D$19)/2,"")</f>
        <v>7.8108000000000288E-2</v>
      </c>
      <c r="P188" s="7">
        <f>IF(15&gt;=10,('Testes estatísticos'!$D$15+'Testes estatísticos'!$D$20)/2,"")</f>
        <v>1.497811500000001</v>
      </c>
      <c r="Q188" s="7">
        <f>IF(16&gt;=10,('Testes estatísticos'!$D$15+'Testes estatísticos'!$D$21)/2,"")</f>
        <v>-5.8020230000000019</v>
      </c>
      <c r="R188" s="7">
        <f>IF(17&gt;=10,('Testes estatísticos'!$D$15+'Testes estatísticos'!$D$22)/2,"")</f>
        <v>-2.3406790000000015</v>
      </c>
      <c r="S188" s="7">
        <f>IF(18&gt;=10,('Testes estatísticos'!$D$15+'Testes estatísticos'!$D$23)/2,"")</f>
        <v>-3.4147925000000008</v>
      </c>
      <c r="T188" s="7">
        <f>IF(19&gt;=10,('Testes estatísticos'!$D$15+'Testes estatísticos'!$D$24)/2,"")</f>
        <v>-3.0163515000000025</v>
      </c>
      <c r="U188" s="7">
        <f>IF(20&gt;=10,('Testes estatísticos'!$D$15+'Testes estatísticos'!$D$25)/2,"")</f>
        <v>-3.9617194999999974</v>
      </c>
      <c r="V188" s="7">
        <f>IF(21&gt;=10,('Testes estatísticos'!$D$15+'Testes estatísticos'!$D$26)/2,"")</f>
        <v>-2.1030344999999997</v>
      </c>
      <c r="W188" s="7">
        <f>IF(22&gt;=10,('Testes estatísticos'!$D$15+'Testes estatísticos'!$D$27)/2,"")</f>
        <v>-2.1392640000000007</v>
      </c>
      <c r="X188" s="7">
        <f>IF(23&gt;=10,('Testes estatísticos'!$D$15+'Testes estatísticos'!$D$28)/2,"")</f>
        <v>-2.2621414999999985</v>
      </c>
      <c r="Y188" s="7">
        <f>IF(24&gt;=10,('Testes estatísticos'!$D$15+'Testes estatísticos'!$D$29)/2,"")</f>
        <v>-1.6989610000000006</v>
      </c>
      <c r="Z188" s="7">
        <f>IF(25&gt;=10,('Testes estatísticos'!$D$15+'Testes estatísticos'!$D$30)/2,"")</f>
        <v>-1.3853980000000021</v>
      </c>
      <c r="AA188" s="7">
        <f>IF(26&gt;=10,('Testes estatísticos'!$D$15+'Testes estatísticos'!$D$31)/2,"")</f>
        <v>-1.3819274999999998</v>
      </c>
      <c r="AB188" s="7">
        <f>IF(27&gt;=10,('Testes estatísticos'!$D$15+'Testes estatísticos'!$D$32)/2,"")</f>
        <v>-1.4865364999999997</v>
      </c>
      <c r="AC188" s="7">
        <f>IF(28&gt;=10,('Testes estatísticos'!$D$15+'Testes estatísticos'!$D$33)/2,"")</f>
        <v>-1.4268220000000014</v>
      </c>
      <c r="AD188" s="7">
        <f>IF(29&gt;=10,('Testes estatísticos'!$D$15+'Testes estatísticos'!$D$34)/2,"")</f>
        <v>-0.69756000000000284</v>
      </c>
      <c r="AE188" s="7">
        <f>IF(30&gt;=10,('Testes estatísticos'!$D$15+'Testes estatísticos'!$D$35)/2,"")</f>
        <v>-2.0111060000000016</v>
      </c>
      <c r="AF188" s="7">
        <f>IF(31&gt;=10,('Testes estatísticos'!$D$15+'Testes estatísticos'!$D$36)/2,"")</f>
        <v>-2.3535004999999991</v>
      </c>
      <c r="AG188" s="7">
        <f>IF(32&gt;=10,('Testes estatísticos'!$D$15+'Testes estatísticos'!$D$37)/2,"")</f>
        <v>-1.249880000000001</v>
      </c>
      <c r="AH188" s="7">
        <f>IF(33&gt;=10,('Testes estatísticos'!$D$15+'Testes estatísticos'!$D$38)/2,"")</f>
        <v>-1.4154195000000023</v>
      </c>
      <c r="AI188" s="7">
        <f>IF(34&gt;=10,('Testes estatísticos'!$D$15+'Testes estatísticos'!$D$39)/2,"")</f>
        <v>1.4011265000000002</v>
      </c>
      <c r="AJ188" s="7">
        <f>IF(35&gt;=10,('Testes estatísticos'!$D$15+'Testes estatísticos'!$D$40)/2,"")</f>
        <v>-1.3403714999999998</v>
      </c>
      <c r="AK188" s="7">
        <f>IF(36&gt;=10,('Testes estatísticos'!$D$15+'Testes estatísticos'!$D$41)/2,"")</f>
        <v>0.92757299999999887</v>
      </c>
      <c r="AL188" s="7">
        <f>IF(37&gt;=10,('Testes estatísticos'!$D$15+'Testes estatísticos'!$D$42)/2,"")</f>
        <v>-1.350988000000001</v>
      </c>
      <c r="AM188" s="7">
        <f>IF(38&gt;=10,('Testes estatísticos'!$D$15+'Testes estatísticos'!$D$43)/2,"")</f>
        <v>-1.3381284999999998</v>
      </c>
      <c r="AN188" s="7">
        <f>IF(39&gt;=10,('Testes estatísticos'!$D$15+'Testes estatísticos'!$D$44)/2,"")</f>
        <v>-2.4751225000000012</v>
      </c>
      <c r="AO188" s="7">
        <f>IF(40&gt;=10,('Testes estatísticos'!$D$15+'Testes estatísticos'!$D$45)/2,"")</f>
        <v>1.4998039999999975</v>
      </c>
      <c r="AP188" s="7">
        <f>IF(41&gt;=10,('Testes estatísticos'!$D$15+'Testes estatísticos'!$D$46)/2,"")</f>
        <v>-1.0061354999999992</v>
      </c>
      <c r="AQ188" s="7">
        <f>IF(42&gt;=10,('Testes estatísticos'!$D$15+'Testes estatísticos'!$D$47)/2,"")</f>
        <v>0.13622349999999983</v>
      </c>
      <c r="AR188" s="7">
        <f>IF(43&gt;=10,('Testes estatísticos'!$D$15+'Testes estatísticos'!$D$48)/2,"")</f>
        <v>-0.91269050000000007</v>
      </c>
      <c r="AS188" s="7">
        <f>IF(44&gt;=10,('Testes estatísticos'!$D$15+'Testes estatísticos'!$D$49)/2,"")</f>
        <v>-1.443813500000001</v>
      </c>
      <c r="AT188" s="7">
        <f>IF(45&gt;=10,('Testes estatísticos'!$D$15+'Testes estatísticos'!$D$50)/2,"")</f>
        <v>-0.61473499999999959</v>
      </c>
      <c r="AU188" s="7">
        <f>IF(46&gt;=10,('Testes estatísticos'!$D$15+'Testes estatísticos'!$D$51)/2,"")</f>
        <v>-3.6459310000000009</v>
      </c>
      <c r="AV188" s="7">
        <f>IF(47&gt;=10,('Testes estatísticos'!$D$15+'Testes estatísticos'!$D$52)/2,"")</f>
        <v>1.4242419999999996</v>
      </c>
      <c r="AW188" s="7">
        <f>IF(48&gt;=10,('Testes estatísticos'!$D$15+'Testes estatísticos'!$D$53)/2,"")</f>
        <v>-3.0117890000000003</v>
      </c>
      <c r="AX188" s="7">
        <f>IF(49&gt;=10,('Testes estatísticos'!$D$15+'Testes estatísticos'!$D$54)/2,"")</f>
        <v>-1.7519984999999991</v>
      </c>
      <c r="AY188" s="7">
        <f>IF(50&gt;=10,('Testes estatísticos'!$D$15+'Testes estatísticos'!$D$55)/2,"")</f>
        <v>-0.12683399999999878</v>
      </c>
      <c r="AZ188" s="7">
        <f>IF(51&gt;=10,('Testes estatísticos'!$D$15+'Testes estatísticos'!$D$56)/2,"")</f>
        <v>-8.2364500000000618E-2</v>
      </c>
      <c r="BA188" s="7">
        <f>IF(52&gt;=10,('Testes estatísticos'!$D$15+'Testes estatísticos'!$D$57)/2,"")</f>
        <v>-3.4905805000000001</v>
      </c>
      <c r="BB188" s="7">
        <f>IF(53&gt;=10,('Testes estatísticos'!$D$15+'Testes estatísticos'!$D$58)/2,"")</f>
        <v>-8.1817999999998392E-2</v>
      </c>
      <c r="BC188" s="7">
        <f>IF(54&gt;=10,('Testes estatísticos'!$D$15+'Testes estatísticos'!$D$59)/2,"")</f>
        <v>-1.0014605000000003</v>
      </c>
      <c r="BD188" s="7">
        <f>IF(55&gt;=10,('Testes estatísticos'!$D$15+'Testes estatísticos'!$D$60)/2,"")</f>
        <v>2.0942104999999991</v>
      </c>
      <c r="BE188" s="7">
        <f>IF(56&gt;=10,('Testes estatísticos'!$D$15+'Testes estatísticos'!$D$61)/2,"")</f>
        <v>-0.53575799999999774</v>
      </c>
      <c r="BF188" s="7">
        <f>IF(57&gt;=10,('Testes estatísticos'!$D$15+'Testes estatísticos'!$D$62)/2,"")</f>
        <v>-3.9359480000000033</v>
      </c>
      <c r="BG188" s="7">
        <f>IF(58&gt;=10,('Testes estatísticos'!$D$15+'Testes estatísticos'!$D$63)/2,"")</f>
        <v>1.3299470000000007</v>
      </c>
      <c r="BH188" s="7">
        <f>IF(59&gt;=10,('Testes estatísticos'!$D$15+'Testes estatísticos'!$D$64)/2,"")</f>
        <v>-4.5136655000000019</v>
      </c>
      <c r="BI188" s="7">
        <f>IF(60&gt;=10,('Testes estatísticos'!$D$15+'Testes estatísticos'!$D$65)/2,"")</f>
        <v>-2.7660744999999984</v>
      </c>
      <c r="BJ188" s="7">
        <f>IF(61&gt;=10,('Testes estatísticos'!$D$15+'Testes estatísticos'!$D$66)/2,"")</f>
        <v>-0.13101950000000073</v>
      </c>
      <c r="BK188" s="7">
        <f>IF(62&gt;=10,('Testes estatísticos'!$D$15+'Testes estatísticos'!$D$67)/2,"")</f>
        <v>-0.63981449999999995</v>
      </c>
      <c r="BL188" s="7">
        <f>IF(63&gt;=10,('Testes estatísticos'!$D$15+'Testes estatísticos'!$D$68)/2,"")</f>
        <v>0.25949999999999918</v>
      </c>
      <c r="BM188" s="7">
        <f>IF(64&gt;=10,('Testes estatísticos'!$D$15+'Testes estatísticos'!$D$69)/2,"")</f>
        <v>0.31034199999999856</v>
      </c>
      <c r="BN188" s="7">
        <f>IF(65&gt;=10,('Testes estatísticos'!$D$15+'Testes estatísticos'!$D$70)/2,"")</f>
        <v>-1.8354645000000005</v>
      </c>
      <c r="BO188" s="7">
        <f>IF(66&gt;=10,('Testes estatísticos'!$D$15+'Testes estatísticos'!$D$71)/2,"")</f>
        <v>-0.93961200000000034</v>
      </c>
      <c r="BP188" s="7">
        <f>IF(67&gt;=10,('Testes estatísticos'!$D$15+'Testes estatísticos'!$D$72)/2,"")</f>
        <v>-3.8300710000000002</v>
      </c>
      <c r="BQ188" s="7">
        <f>IF(68&gt;=10,('Testes estatísticos'!$D$15+'Testes estatísticos'!$D$73)/2,"")</f>
        <v>0.83316199999999796</v>
      </c>
      <c r="BR188" s="7">
        <f>IF(69&gt;=10,('Testes estatísticos'!$D$15+'Testes estatísticos'!$D$74)/2,"")</f>
        <v>1.4653439999999982</v>
      </c>
      <c r="BS188" s="7">
        <f>IF(70&gt;=10,('Testes estatísticos'!$D$15+'Testes estatísticos'!$D$75)/2,"")</f>
        <v>0.46087949999999722</v>
      </c>
      <c r="BT188" s="7">
        <f>IF(71&gt;=10,('Testes estatísticos'!$D$15+'Testes estatísticos'!$D$76)/2,"")</f>
        <v>2.0352444999999975</v>
      </c>
      <c r="BU188" s="7">
        <f>IF(72&gt;=10,('Testes estatísticos'!$D$15+'Testes estatísticos'!$D$77)/2,"")</f>
        <v>-3.5644525000000016</v>
      </c>
      <c r="BV188" s="7">
        <f>IF(73&gt;=10,('Testes estatísticos'!$D$15+'Testes estatísticos'!$D$78)/2,"")</f>
        <v>-1.4909780000000019</v>
      </c>
      <c r="BW188" s="7">
        <f>IF(74&gt;=10,('Testes estatísticos'!$D$15+'Testes estatísticos'!$D$79)/2,"")</f>
        <v>-2.1742965000000005</v>
      </c>
      <c r="BX188" s="7">
        <f>IF(75&gt;=10,('Testes estatísticos'!$D$15+'Testes estatísticos'!$D$80)/2,"")</f>
        <v>-2.1960745000000017</v>
      </c>
      <c r="BY188" s="7">
        <f>IF(76&gt;=10,('Testes estatísticos'!$D$15+'Testes estatísticos'!$D$81)/2,"")</f>
        <v>1.9353835000000004</v>
      </c>
      <c r="BZ188" s="7">
        <f>IF(77&gt;=10,('Testes estatísticos'!$D$15+'Testes estatísticos'!$D$82)/2,"")</f>
        <v>-3.3262059999999991</v>
      </c>
      <c r="CA188" s="7">
        <f>IF(78&gt;=10,('Testes estatísticos'!$D$15+'Testes estatísticos'!$D$83)/2,"")</f>
        <v>-1.5659469999999978</v>
      </c>
      <c r="CB188" s="7">
        <f>IF(79&gt;=10,('Testes estatísticos'!$D$15+'Testes estatísticos'!$D$84)/2,"")</f>
        <v>-1.514224500000001</v>
      </c>
      <c r="CC188" s="7">
        <f>IF(80&gt;=10,('Testes estatísticos'!$D$15+'Testes estatísticos'!$D$85)/2,"")</f>
        <v>-3.3212410000000006</v>
      </c>
      <c r="CD188" s="7">
        <f>IF(81&gt;=10,('Testes estatísticos'!$D$15+'Testes estatísticos'!$D$86)/2,"")</f>
        <v>-3.3713860000000011</v>
      </c>
      <c r="CE188" s="7">
        <f>IF(82&gt;=10,('Testes estatísticos'!$D$15+'Testes estatísticos'!$D$87)/2,"")</f>
        <v>-1.2935955000000021</v>
      </c>
      <c r="CF188" s="7">
        <f>IF(83&gt;=10,('Testes estatísticos'!$D$15+'Testes estatísticos'!$D$88)/2,"")</f>
        <v>-1.8224025000000026</v>
      </c>
      <c r="CG188" s="7">
        <f>IF(84&gt;=10,('Testes estatísticos'!$D$15+'Testes estatísticos'!$D$89)/2,"")</f>
        <v>-2.1543095000000001</v>
      </c>
      <c r="CH188" s="7">
        <f>IF(85&gt;=10,('Testes estatísticos'!$D$15+'Testes estatísticos'!$D$90)/2,"")</f>
        <v>-0.33876250000000141</v>
      </c>
      <c r="CI188" s="7">
        <f>IF(86&gt;=10,('Testes estatísticos'!$D$15+'Testes estatísticos'!$D$91)/2,"")</f>
        <v>-3.0289219999999979</v>
      </c>
      <c r="CJ188" s="7">
        <f>IF(87&gt;=10,('Testes estatísticos'!$D$15+'Testes estatísticos'!$D$92)/2,"")</f>
        <v>-1.7867154999999997</v>
      </c>
      <c r="CK188" s="7">
        <f>IF(88&gt;=10,('Testes estatísticos'!$D$15+'Testes estatísticos'!$D$93)/2,"")</f>
        <v>-1.5426320000000011</v>
      </c>
      <c r="CL188" s="7">
        <f>IF(89&gt;=10,('Testes estatísticos'!$D$15+'Testes estatísticos'!$D$94)/2,"")</f>
        <v>-2.1542240000000028</v>
      </c>
      <c r="CM188" s="7">
        <f>IF(90&gt;=10,('Testes estatísticos'!$D$15+'Testes estatísticos'!$D$95)/2,"")</f>
        <v>-4.4883559999999996</v>
      </c>
      <c r="CN188" s="7">
        <f>IF(91&gt;=10,('Testes estatísticos'!$D$15+'Testes estatísticos'!$D$96)/2,"")</f>
        <v>-1.9498329999999982</v>
      </c>
      <c r="CO188" s="7">
        <f>IF(92&gt;=10,('Testes estatísticos'!$D$15+'Testes estatísticos'!$D$97)/2,"")</f>
        <v>-2.2963364999999989</v>
      </c>
      <c r="CP188" s="7">
        <f>IF(93&gt;=10,('Testes estatísticos'!$D$15+'Testes estatísticos'!$D$98)/2,"")</f>
        <v>-2.501088499999998</v>
      </c>
      <c r="CQ188" s="7">
        <f>IF(94&gt;=10,('Testes estatísticos'!$D$15+'Testes estatísticos'!$D$99)/2,"")</f>
        <v>-0.31993050000000167</v>
      </c>
      <c r="CR188" s="7">
        <f>IF(95&gt;=10,('Testes estatísticos'!$D$15+'Testes estatísticos'!$D$100)/2,"")</f>
        <v>-2.2257235000000009</v>
      </c>
      <c r="CS188" s="7">
        <f>IF(96&gt;=10,('Testes estatísticos'!$D$15+'Testes estatísticos'!$D$101)/2,"")</f>
        <v>-2.1817365000000031</v>
      </c>
      <c r="CT188" s="7">
        <f>IF(97&gt;=10,('Testes estatísticos'!$D$15+'Testes estatísticos'!$D$102)/2,"")</f>
        <v>-1.9486860000000021</v>
      </c>
      <c r="CU188" s="7">
        <f>IF(98&gt;=10,('Testes estatísticos'!$D$15+'Testes estatísticos'!$D$103)/2,"")</f>
        <v>-1.8913599999999988</v>
      </c>
      <c r="CV188" s="7">
        <f>IF(99&gt;=10,('Testes estatísticos'!$D$15+'Testes estatísticos'!$D$104)/2,"")</f>
        <v>-2.3261859999999999</v>
      </c>
      <c r="CW188" s="7">
        <f>IF(100&gt;=10,('Testes estatísticos'!$D$15+'Testes estatísticos'!$D$105)/2,"")</f>
        <v>-2.4256519999999995</v>
      </c>
      <c r="CX188" s="7">
        <f>IF(101&gt;=10,('Testes estatísticos'!$D$15+'Testes estatísticos'!$D$106)/2,"")</f>
        <v>-1.902725499999999</v>
      </c>
      <c r="CY188" s="7">
        <f>IF(102&gt;=10,('Testes estatísticos'!$D$15+'Testes estatísticos'!$D$107)/2,"")</f>
        <v>-1.9583905000000001</v>
      </c>
      <c r="CZ188" s="7">
        <f>IF(103&gt;=10,('Testes estatísticos'!$D$15+'Testes estatísticos'!$D$108)/2,"")</f>
        <v>-2.4825569999999999</v>
      </c>
      <c r="DA188" s="7">
        <f>IF(104&gt;=10,('Testes estatísticos'!$D$15+'Testes estatísticos'!$D$109)/2,"")</f>
        <v>-2.2199229999999979</v>
      </c>
      <c r="DB188" s="7">
        <f>IF(105&gt;=10,('Testes estatísticos'!$D$15+'Testes estatísticos'!$D$110)/2,"")</f>
        <v>-2.1855919999999998</v>
      </c>
      <c r="DC188" s="7">
        <f>IF(106&gt;=10,('Testes estatísticos'!$D$15+'Testes estatísticos'!$D$111)/2,"")</f>
        <v>-1.4426710000000007</v>
      </c>
      <c r="DD188" s="7">
        <f>IF(107&gt;=10,('Testes estatísticos'!$D$15+'Testes estatísticos'!$D$112)/2,"")</f>
        <v>2.0504999999999995</v>
      </c>
      <c r="DE188" s="7">
        <f>IF(108&gt;=10,('Testes estatísticos'!$D$15+'Testes estatísticos'!$D$113)/2,"")</f>
        <v>-1.3721354999999988</v>
      </c>
      <c r="DF188" s="7">
        <f>IF(109&gt;=10,('Testes estatísticos'!$D$15+'Testes estatísticos'!$D$114)/2,"")</f>
        <v>-1.4083924999999979</v>
      </c>
      <c r="DG188" s="7">
        <f>IF(110&gt;=10,('Testes estatísticos'!$D$15+'Testes estatísticos'!$D$115)/2,"")</f>
        <v>-6.9555320000000016</v>
      </c>
      <c r="DH188" s="7">
        <f>IF(111&gt;=10,('Testes estatísticos'!$D$15+'Testes estatísticos'!$D$116)/2,"")</f>
        <v>-1.274701499999999</v>
      </c>
      <c r="DI188" s="7">
        <f>IF(112&gt;=10,('Testes estatísticos'!$D$15+'Testes estatísticos'!$D$117)/2,"")</f>
        <v>4.1537384999999993</v>
      </c>
      <c r="DJ188" s="7">
        <f>IF(113&gt;=10,('Testes estatísticos'!$D$15+'Testes estatísticos'!$D$118)/2,"")</f>
        <v>-1.3028185000000008</v>
      </c>
      <c r="DK188" s="7">
        <f>IF(114&gt;=10,('Testes estatísticos'!$D$15+'Testes estatísticos'!$D$119)/2,"")</f>
        <v>-1.4045684999999999</v>
      </c>
      <c r="DL188" s="7">
        <f>IF(115&gt;=10,('Testes estatísticos'!$D$15+'Testes estatísticos'!$D$120)/2,"")</f>
        <v>-1.3580909999999982</v>
      </c>
      <c r="DM188" s="7">
        <f>IF(116&gt;=10,('Testes estatísticos'!$D$15+'Testes estatísticos'!$D$121)/2,"")</f>
        <v>-1.3494884999999996</v>
      </c>
      <c r="DN188" s="7">
        <f>IF(117&gt;=10,('Testes estatísticos'!$D$15+'Testes estatísticos'!$D$122)/2,"")</f>
        <v>-1.3264205000000011</v>
      </c>
      <c r="DO188" s="7">
        <f>IF(118&gt;=10,('Testes estatísticos'!$D$15+'Testes estatísticos'!$D$123)/2,"")</f>
        <v>-1.2765100000000018</v>
      </c>
      <c r="DP188" s="7">
        <f>IF(119&gt;=10,('Testes estatísticos'!$D$15+'Testes estatísticos'!$D$124)/2,"")</f>
        <v>-1.2977215000000015</v>
      </c>
      <c r="DQ188" s="7">
        <f>IF(120&gt;=10,('Testes estatísticos'!$D$15+'Testes estatísticos'!$D$125)/2,"")</f>
        <v>1.7538930000000015</v>
      </c>
      <c r="DR188" s="7">
        <f>IF(121&gt;=10,('Testes estatísticos'!$D$15+'Testes estatísticos'!$D$126)/2,"")</f>
        <v>-1.035123500000001</v>
      </c>
      <c r="DS188" s="7">
        <f>IF(122&gt;=10,('Testes estatísticos'!$D$15+'Testes estatísticos'!$D$127)/2,"")</f>
        <v>-2.1005319999999976</v>
      </c>
      <c r="DT188" s="7">
        <f>IF(123&gt;=10,('Testes estatísticos'!$D$15+'Testes estatísticos'!$D$128)/2,"")</f>
        <v>3.968337499999997</v>
      </c>
      <c r="DU188" s="7">
        <f>IF(124&gt;=10,('Testes estatísticos'!$D$15+'Testes estatísticos'!$D$129)/2,"")</f>
        <v>-0.92743400000000165</v>
      </c>
      <c r="DV188" s="7">
        <f>IF(125&gt;=10,('Testes estatísticos'!$D$15+'Testes estatísticos'!$D$130)/2,"")</f>
        <v>0.23087349999999773</v>
      </c>
      <c r="DW188" s="7">
        <f>IF(126&gt;=10,('Testes estatísticos'!$D$15+'Testes estatísticos'!$D$131)/2,"")</f>
        <v>-2.1726025</v>
      </c>
      <c r="DX188" s="7">
        <f>IF(127&gt;=10,('Testes estatísticos'!$D$15+'Testes estatísticos'!$D$132)/2,"")</f>
        <v>-4.2287940000000006</v>
      </c>
      <c r="DY188" s="7">
        <f>IF(128&gt;=10,('Testes estatísticos'!$D$15+'Testes estatísticos'!$D$133)/2,"")</f>
        <v>-4.5698834999999995</v>
      </c>
      <c r="DZ188" s="7">
        <f>IF(129&gt;=10,('Testes estatísticos'!$D$15+'Testes estatísticos'!$D$134)/2,"")</f>
        <v>-7.9936734999999999</v>
      </c>
      <c r="EA188" s="7">
        <f>IF(130&gt;=10,('Testes estatísticos'!$D$15+'Testes estatísticos'!$D$135)/2,"")</f>
        <v>-2.2319034999999978</v>
      </c>
      <c r="EB188" s="7">
        <f>IF(131&gt;=10,('Testes estatísticos'!$D$15+'Testes estatísticos'!$D$136)/2,"")</f>
        <v>-2.1440305000000031</v>
      </c>
      <c r="EC188" s="7">
        <f>IF(132&gt;=10,('Testes estatísticos'!$D$15+'Testes estatísticos'!$D$137)/2,"")</f>
        <v>-3.6307670000000023</v>
      </c>
      <c r="ED188" s="7">
        <f>IF(133&gt;=10,('Testes estatísticos'!$D$15+'Testes estatísticos'!$D$138)/2,"")</f>
        <v>-1.4418295000000008</v>
      </c>
      <c r="EE188" s="7">
        <f>IF(134&gt;=10,('Testes estatísticos'!$D$15+'Testes estatísticos'!$D$139)/2,"")</f>
        <v>-3.7390200000000036</v>
      </c>
      <c r="EF188" s="7">
        <f>IF(135&gt;=10,('Testes estatísticos'!$D$15+'Testes estatísticos'!$D$140)/2,"")</f>
        <v>-0.5245874999999991</v>
      </c>
      <c r="EG188" s="7">
        <f>IF(136&gt;=10,('Testes estatísticos'!$D$15+'Testes estatísticos'!$D$141)/2,"")</f>
        <v>-2.2180775000000033</v>
      </c>
      <c r="EH188" s="7">
        <f>IF(137&gt;=10,('Testes estatísticos'!$D$15+'Testes estatísticos'!$D$142)/2,"")</f>
        <v>-0.51333750000000222</v>
      </c>
      <c r="EI188" s="7">
        <f>IF(138&gt;=10,('Testes estatísticos'!$D$15+'Testes estatísticos'!$D$143)/2,"")</f>
        <v>-2.1783529999999978</v>
      </c>
      <c r="EJ188" s="7"/>
      <c r="EK188" s="7"/>
      <c r="EL188" s="7"/>
    </row>
    <row r="189" spans="1:151" x14ac:dyDescent="0.3">
      <c r="B189" s="7" t="str">
        <f>IF(1&gt;=11,('Testes estatísticos'!$D$16+'Testes estatísticos'!$D$6)/2,"")</f>
        <v/>
      </c>
      <c r="C189" s="7" t="str">
        <f>IF(2&gt;=11,('Testes estatísticos'!$D$16+'Testes estatísticos'!$D$7)/2,"")</f>
        <v/>
      </c>
      <c r="D189" s="7" t="str">
        <f>IF(3&gt;=11,('Testes estatísticos'!$D$16+'Testes estatísticos'!$D$8)/2,"")</f>
        <v/>
      </c>
      <c r="E189" s="7" t="str">
        <f>IF(4&gt;=11,('Testes estatísticos'!$D$16+'Testes estatísticos'!$D$9)/2,"")</f>
        <v/>
      </c>
      <c r="F189" s="7" t="str">
        <f>IF(5&gt;=11,('Testes estatísticos'!$D$16+'Testes estatísticos'!$D$10)/2,"")</f>
        <v/>
      </c>
      <c r="G189" s="7" t="str">
        <f>IF(6&gt;=11,('Testes estatísticos'!$D$16+'Testes estatísticos'!$D$11)/2,"")</f>
        <v/>
      </c>
      <c r="H189" s="7" t="str">
        <f>IF(7&gt;=11,('Testes estatísticos'!$D$16+'Testes estatísticos'!$D$12)/2,"")</f>
        <v/>
      </c>
      <c r="I189" s="7" t="str">
        <f>IF(8&gt;=11,('Testes estatísticos'!$D$16+'Testes estatísticos'!$D$13)/2,"")</f>
        <v/>
      </c>
      <c r="J189" s="7" t="str">
        <f>IF(9&gt;=11,('Testes estatísticos'!$D$16+'Testes estatísticos'!$D$14)/2,"")</f>
        <v/>
      </c>
      <c r="K189" s="7" t="str">
        <f>IF(10&gt;=11,('Testes estatísticos'!$D$16+'Testes estatísticos'!$D$15)/2,"")</f>
        <v/>
      </c>
      <c r="L189" s="7">
        <f>IF(11&gt;=11,('Testes estatísticos'!$D$16+'Testes estatísticos'!$D$16)/2,"")</f>
        <v>-1.7576329999999984</v>
      </c>
      <c r="M189" s="7">
        <f>IF(12&gt;=11,('Testes estatísticos'!$D$16+'Testes estatísticos'!$D$17)/2,"")</f>
        <v>-5.0269059999999968</v>
      </c>
      <c r="N189" s="7">
        <f>IF(13&gt;=11,('Testes estatísticos'!$D$16+'Testes estatísticos'!$D$18)/2,"")</f>
        <v>0.8267799999999994</v>
      </c>
      <c r="O189" s="7">
        <f>IF(14&gt;=11,('Testes estatísticos'!$D$16+'Testes estatísticos'!$D$19)/2,"")</f>
        <v>-0.51551299999999856</v>
      </c>
      <c r="P189" s="7">
        <f>IF(15&gt;=11,('Testes estatísticos'!$D$16+'Testes estatísticos'!$D$20)/2,"")</f>
        <v>0.90419050000000212</v>
      </c>
      <c r="Q189" s="7">
        <f>IF(16&gt;=11,('Testes estatísticos'!$D$16+'Testes estatísticos'!$D$21)/2,"")</f>
        <v>-6.3956440000000008</v>
      </c>
      <c r="R189" s="7">
        <f>IF(17&gt;=11,('Testes estatísticos'!$D$16+'Testes estatísticos'!$D$22)/2,"")</f>
        <v>-2.9343000000000004</v>
      </c>
      <c r="S189" s="7">
        <f>IF(18&gt;=11,('Testes estatísticos'!$D$16+'Testes estatísticos'!$D$23)/2,"")</f>
        <v>-4.0084134999999996</v>
      </c>
      <c r="T189" s="7">
        <f>IF(19&gt;=11,('Testes estatísticos'!$D$16+'Testes estatísticos'!$D$24)/2,"")</f>
        <v>-3.6099725000000014</v>
      </c>
      <c r="U189" s="7">
        <f>IF(20&gt;=11,('Testes estatísticos'!$D$16+'Testes estatísticos'!$D$25)/2,"")</f>
        <v>-4.5553404999999962</v>
      </c>
      <c r="V189" s="7">
        <f>IF(21&gt;=11,('Testes estatísticos'!$D$16+'Testes estatísticos'!$D$26)/2,"")</f>
        <v>-2.6966554999999985</v>
      </c>
      <c r="W189" s="7">
        <f>IF(22&gt;=11,('Testes estatísticos'!$D$16+'Testes estatísticos'!$D$27)/2,"")</f>
        <v>-2.7328849999999996</v>
      </c>
      <c r="X189" s="7">
        <f>IF(23&gt;=11,('Testes estatísticos'!$D$16+'Testes estatísticos'!$D$28)/2,"")</f>
        <v>-2.8557624999999973</v>
      </c>
      <c r="Y189" s="7">
        <f>IF(24&gt;=11,('Testes estatísticos'!$D$16+'Testes estatísticos'!$D$29)/2,"")</f>
        <v>-2.2925819999999995</v>
      </c>
      <c r="Z189" s="7">
        <f>IF(25&gt;=11,('Testes estatísticos'!$D$16+'Testes estatísticos'!$D$30)/2,"")</f>
        <v>-1.979019000000001</v>
      </c>
      <c r="AA189" s="7">
        <f>IF(26&gt;=11,('Testes estatísticos'!$D$16+'Testes estatísticos'!$D$31)/2,"")</f>
        <v>-1.9755484999999986</v>
      </c>
      <c r="AB189" s="7">
        <f>IF(27&gt;=11,('Testes estatísticos'!$D$16+'Testes estatísticos'!$D$32)/2,"")</f>
        <v>-2.0801574999999985</v>
      </c>
      <c r="AC189" s="7">
        <f>IF(28&gt;=11,('Testes estatísticos'!$D$16+'Testes estatísticos'!$D$33)/2,"")</f>
        <v>-2.0204430000000002</v>
      </c>
      <c r="AD189" s="7">
        <f>IF(29&gt;=11,('Testes estatísticos'!$D$16+'Testes estatísticos'!$D$34)/2,"")</f>
        <v>-1.2911810000000017</v>
      </c>
      <c r="AE189" s="7">
        <f>IF(30&gt;=11,('Testes estatísticos'!$D$16+'Testes estatísticos'!$D$35)/2,"")</f>
        <v>-2.6047270000000005</v>
      </c>
      <c r="AF189" s="7">
        <f>IF(31&gt;=11,('Testes estatísticos'!$D$16+'Testes estatísticos'!$D$36)/2,"")</f>
        <v>-2.947121499999998</v>
      </c>
      <c r="AG189" s="7">
        <f>IF(32&gt;=11,('Testes estatísticos'!$D$16+'Testes estatísticos'!$D$37)/2,"")</f>
        <v>-1.8435009999999998</v>
      </c>
      <c r="AH189" s="7">
        <f>IF(33&gt;=11,('Testes estatísticos'!$D$16+'Testes estatísticos'!$D$38)/2,"")</f>
        <v>-2.0090405000000011</v>
      </c>
      <c r="AI189" s="7">
        <f>IF(34&gt;=11,('Testes estatísticos'!$D$16+'Testes estatísticos'!$D$39)/2,"")</f>
        <v>0.80750550000000132</v>
      </c>
      <c r="AJ189" s="7">
        <f>IF(35&gt;=11,('Testes estatísticos'!$D$16+'Testes estatísticos'!$D$40)/2,"")</f>
        <v>-1.9339924999999987</v>
      </c>
      <c r="AK189" s="7">
        <f>IF(36&gt;=11,('Testes estatísticos'!$D$16+'Testes estatísticos'!$D$41)/2,"")</f>
        <v>0.33395200000000003</v>
      </c>
      <c r="AL189" s="7">
        <f>IF(37&gt;=11,('Testes estatísticos'!$D$16+'Testes estatísticos'!$D$42)/2,"")</f>
        <v>-1.9446089999999998</v>
      </c>
      <c r="AM189" s="7">
        <f>IF(38&gt;=11,('Testes estatísticos'!$D$16+'Testes estatísticos'!$D$43)/2,"")</f>
        <v>-1.9317494999999987</v>
      </c>
      <c r="AN189" s="7">
        <f>IF(39&gt;=11,('Testes estatísticos'!$D$16+'Testes estatísticos'!$D$44)/2,"")</f>
        <v>-3.0687435000000001</v>
      </c>
      <c r="AO189" s="7">
        <f>IF(40&gt;=11,('Testes estatísticos'!$D$16+'Testes estatísticos'!$D$45)/2,"")</f>
        <v>0.90618299999999863</v>
      </c>
      <c r="AP189" s="7">
        <f>IF(41&gt;=11,('Testes estatísticos'!$D$16+'Testes estatísticos'!$D$46)/2,"")</f>
        <v>-1.599756499999998</v>
      </c>
      <c r="AQ189" s="7">
        <f>IF(42&gt;=11,('Testes estatísticos'!$D$16+'Testes estatísticos'!$D$47)/2,"")</f>
        <v>-0.45739749999999901</v>
      </c>
      <c r="AR189" s="7">
        <f>IF(43&gt;=11,('Testes estatísticos'!$D$16+'Testes estatísticos'!$D$48)/2,"")</f>
        <v>-1.5063114999999989</v>
      </c>
      <c r="AS189" s="7">
        <f>IF(44&gt;=11,('Testes estatísticos'!$D$16+'Testes estatísticos'!$D$49)/2,"")</f>
        <v>-2.0374344999999998</v>
      </c>
      <c r="AT189" s="7">
        <f>IF(45&gt;=11,('Testes estatísticos'!$D$16+'Testes estatísticos'!$D$50)/2,"")</f>
        <v>-1.2083559999999984</v>
      </c>
      <c r="AU189" s="7">
        <f>IF(46&gt;=11,('Testes estatísticos'!$D$16+'Testes estatísticos'!$D$51)/2,"")</f>
        <v>-4.2395519999999998</v>
      </c>
      <c r="AV189" s="7">
        <f>IF(47&gt;=11,('Testes estatísticos'!$D$16+'Testes estatísticos'!$D$52)/2,"")</f>
        <v>0.83062100000000072</v>
      </c>
      <c r="AW189" s="7">
        <f>IF(48&gt;=11,('Testes estatísticos'!$D$16+'Testes estatísticos'!$D$53)/2,"")</f>
        <v>-3.6054099999999991</v>
      </c>
      <c r="AX189" s="7">
        <f>IF(49&gt;=11,('Testes estatísticos'!$D$16+'Testes estatísticos'!$D$54)/2,"")</f>
        <v>-2.345619499999998</v>
      </c>
      <c r="AY189" s="7">
        <f>IF(50&gt;=11,('Testes estatísticos'!$D$16+'Testes estatísticos'!$D$55)/2,"")</f>
        <v>-0.72045499999999763</v>
      </c>
      <c r="AZ189" s="7">
        <f>IF(51&gt;=11,('Testes estatísticos'!$D$16+'Testes estatísticos'!$D$56)/2,"")</f>
        <v>-0.67598549999999946</v>
      </c>
      <c r="BA189" s="7">
        <f>IF(52&gt;=11,('Testes estatísticos'!$D$16+'Testes estatísticos'!$D$57)/2,"")</f>
        <v>-4.0842014999999989</v>
      </c>
      <c r="BB189" s="7">
        <f>IF(53&gt;=11,('Testes estatísticos'!$D$16+'Testes estatísticos'!$D$58)/2,"")</f>
        <v>-0.67543899999999724</v>
      </c>
      <c r="BC189" s="7">
        <f>IF(54&gt;=11,('Testes estatísticos'!$D$16+'Testes estatísticos'!$D$59)/2,"")</f>
        <v>-1.5950814999999992</v>
      </c>
      <c r="BD189" s="7">
        <f>IF(55&gt;=11,('Testes estatísticos'!$D$16+'Testes estatísticos'!$D$60)/2,"")</f>
        <v>1.5005895000000002</v>
      </c>
      <c r="BE189" s="7">
        <f>IF(56&gt;=11,('Testes estatísticos'!$D$16+'Testes estatísticos'!$D$61)/2,"")</f>
        <v>-1.1293789999999966</v>
      </c>
      <c r="BF189" s="7">
        <f>IF(57&gt;=11,('Testes estatísticos'!$D$16+'Testes estatísticos'!$D$62)/2,"")</f>
        <v>-4.5295690000000022</v>
      </c>
      <c r="BG189" s="7">
        <f>IF(58&gt;=11,('Testes estatísticos'!$D$16+'Testes estatísticos'!$D$63)/2,"")</f>
        <v>0.73632600000000181</v>
      </c>
      <c r="BH189" s="7">
        <f>IF(59&gt;=11,('Testes estatísticos'!$D$16+'Testes estatísticos'!$D$64)/2,"")</f>
        <v>-5.1072865000000007</v>
      </c>
      <c r="BI189" s="7">
        <f>IF(60&gt;=11,('Testes estatísticos'!$D$16+'Testes estatísticos'!$D$65)/2,"")</f>
        <v>-3.3596954999999973</v>
      </c>
      <c r="BJ189" s="7">
        <f>IF(61&gt;=11,('Testes estatísticos'!$D$16+'Testes estatísticos'!$D$66)/2,"")</f>
        <v>-0.72464049999999958</v>
      </c>
      <c r="BK189" s="7">
        <f>IF(62&gt;=11,('Testes estatísticos'!$D$16+'Testes estatísticos'!$D$67)/2,"")</f>
        <v>-1.2334354999999988</v>
      </c>
      <c r="BL189" s="7">
        <f>IF(63&gt;=11,('Testes estatísticos'!$D$16+'Testes estatísticos'!$D$68)/2,"")</f>
        <v>-0.33412099999999967</v>
      </c>
      <c r="BM189" s="7">
        <f>IF(64&gt;=11,('Testes estatísticos'!$D$16+'Testes estatísticos'!$D$69)/2,"")</f>
        <v>-0.28327900000000028</v>
      </c>
      <c r="BN189" s="7">
        <f>IF(65&gt;=11,('Testes estatísticos'!$D$16+'Testes estatísticos'!$D$70)/2,"")</f>
        <v>-2.4290854999999993</v>
      </c>
      <c r="BO189" s="7">
        <f>IF(66&gt;=11,('Testes estatísticos'!$D$16+'Testes estatísticos'!$D$71)/2,"")</f>
        <v>-1.5332329999999992</v>
      </c>
      <c r="BP189" s="7">
        <f>IF(67&gt;=11,('Testes estatísticos'!$D$16+'Testes estatísticos'!$D$72)/2,"")</f>
        <v>-4.4236919999999991</v>
      </c>
      <c r="BQ189" s="7">
        <f>IF(68&gt;=11,('Testes estatísticos'!$D$16+'Testes estatísticos'!$D$73)/2,"")</f>
        <v>0.23954099999999912</v>
      </c>
      <c r="BR189" s="7">
        <f>IF(69&gt;=11,('Testes estatísticos'!$D$16+'Testes estatísticos'!$D$74)/2,"")</f>
        <v>0.87172299999999936</v>
      </c>
      <c r="BS189" s="7">
        <f>IF(70&gt;=11,('Testes estatísticos'!$D$16+'Testes estatísticos'!$D$75)/2,"")</f>
        <v>-0.13274150000000162</v>
      </c>
      <c r="BT189" s="7">
        <f>IF(71&gt;=11,('Testes estatísticos'!$D$16+'Testes estatísticos'!$D$76)/2,"")</f>
        <v>1.4416234999999986</v>
      </c>
      <c r="BU189" s="7">
        <f>IF(72&gt;=11,('Testes estatísticos'!$D$16+'Testes estatísticos'!$D$77)/2,"")</f>
        <v>-4.1580735000000004</v>
      </c>
      <c r="BV189" s="7">
        <f>IF(73&gt;=11,('Testes estatísticos'!$D$16+'Testes estatísticos'!$D$78)/2,"")</f>
        <v>-2.0845990000000008</v>
      </c>
      <c r="BW189" s="7">
        <f>IF(74&gt;=11,('Testes estatísticos'!$D$16+'Testes estatísticos'!$D$79)/2,"")</f>
        <v>-2.7679174999999994</v>
      </c>
      <c r="BX189" s="7">
        <f>IF(75&gt;=11,('Testes estatísticos'!$D$16+'Testes estatísticos'!$D$80)/2,"")</f>
        <v>-2.7896955000000005</v>
      </c>
      <c r="BY189" s="7">
        <f>IF(76&gt;=11,('Testes estatísticos'!$D$16+'Testes estatísticos'!$D$81)/2,"")</f>
        <v>1.3417625000000015</v>
      </c>
      <c r="BZ189" s="7">
        <f>IF(77&gt;=11,('Testes estatísticos'!$D$16+'Testes estatísticos'!$D$82)/2,"")</f>
        <v>-3.919826999999998</v>
      </c>
      <c r="CA189" s="7">
        <f>IF(78&gt;=11,('Testes estatísticos'!$D$16+'Testes estatísticos'!$D$83)/2,"")</f>
        <v>-2.1595679999999966</v>
      </c>
      <c r="CB189" s="7">
        <f>IF(79&gt;=11,('Testes estatísticos'!$D$16+'Testes estatísticos'!$D$84)/2,"")</f>
        <v>-2.1078454999999998</v>
      </c>
      <c r="CC189" s="7">
        <f>IF(80&gt;=11,('Testes estatísticos'!$D$16+'Testes estatísticos'!$D$85)/2,"")</f>
        <v>-3.9148619999999994</v>
      </c>
      <c r="CD189" s="7">
        <f>IF(81&gt;=11,('Testes estatísticos'!$D$16+'Testes estatísticos'!$D$86)/2,"")</f>
        <v>-3.9650069999999999</v>
      </c>
      <c r="CE189" s="7">
        <f>IF(82&gt;=11,('Testes estatísticos'!$D$16+'Testes estatísticos'!$D$87)/2,"")</f>
        <v>-1.887216500000001</v>
      </c>
      <c r="CF189" s="7">
        <f>IF(83&gt;=11,('Testes estatísticos'!$D$16+'Testes estatísticos'!$D$88)/2,"")</f>
        <v>-2.4160235000000014</v>
      </c>
      <c r="CG189" s="7">
        <f>IF(84&gt;=11,('Testes estatísticos'!$D$16+'Testes estatísticos'!$D$89)/2,"")</f>
        <v>-2.7479304999999989</v>
      </c>
      <c r="CH189" s="7">
        <f>IF(85&gt;=11,('Testes estatísticos'!$D$16+'Testes estatísticos'!$D$90)/2,"")</f>
        <v>-0.93238350000000025</v>
      </c>
      <c r="CI189" s="7">
        <f>IF(86&gt;=11,('Testes estatísticos'!$D$16+'Testes estatísticos'!$D$91)/2,"")</f>
        <v>-3.6225429999999967</v>
      </c>
      <c r="CJ189" s="7">
        <f>IF(87&gt;=11,('Testes estatísticos'!$D$16+'Testes estatísticos'!$D$92)/2,"")</f>
        <v>-2.3803364999999985</v>
      </c>
      <c r="CK189" s="7">
        <f>IF(88&gt;=11,('Testes estatísticos'!$D$16+'Testes estatísticos'!$D$93)/2,"")</f>
        <v>-2.136253</v>
      </c>
      <c r="CL189" s="7">
        <f>IF(89&gt;=11,('Testes estatísticos'!$D$16+'Testes estatísticos'!$D$94)/2,"")</f>
        <v>-2.7478450000000016</v>
      </c>
      <c r="CM189" s="7">
        <f>IF(90&gt;=11,('Testes estatísticos'!$D$16+'Testes estatísticos'!$D$95)/2,"")</f>
        <v>-5.0819769999999984</v>
      </c>
      <c r="CN189" s="7">
        <f>IF(91&gt;=11,('Testes estatísticos'!$D$16+'Testes estatísticos'!$D$96)/2,"")</f>
        <v>-2.543453999999997</v>
      </c>
      <c r="CO189" s="7">
        <f>IF(92&gt;=11,('Testes estatísticos'!$D$16+'Testes estatísticos'!$D$97)/2,"")</f>
        <v>-2.8899574999999977</v>
      </c>
      <c r="CP189" s="7">
        <f>IF(93&gt;=11,('Testes estatísticos'!$D$16+'Testes estatísticos'!$D$98)/2,"")</f>
        <v>-3.0947094999999969</v>
      </c>
      <c r="CQ189" s="7">
        <f>IF(94&gt;=11,('Testes estatísticos'!$D$16+'Testes estatísticos'!$D$99)/2,"")</f>
        <v>-0.91355150000000052</v>
      </c>
      <c r="CR189" s="7">
        <f>IF(95&gt;=11,('Testes estatísticos'!$D$16+'Testes estatísticos'!$D$100)/2,"")</f>
        <v>-2.8193444999999997</v>
      </c>
      <c r="CS189" s="7">
        <f>IF(96&gt;=11,('Testes estatísticos'!$D$16+'Testes estatísticos'!$D$101)/2,"")</f>
        <v>-2.7753575000000019</v>
      </c>
      <c r="CT189" s="7">
        <f>IF(97&gt;=11,('Testes estatísticos'!$D$16+'Testes estatísticos'!$D$102)/2,"")</f>
        <v>-2.542307000000001</v>
      </c>
      <c r="CU189" s="7">
        <f>IF(98&gt;=11,('Testes estatísticos'!$D$16+'Testes estatísticos'!$D$103)/2,"")</f>
        <v>-2.4849809999999977</v>
      </c>
      <c r="CV189" s="7">
        <f>IF(99&gt;=11,('Testes estatísticos'!$D$16+'Testes estatísticos'!$D$104)/2,"")</f>
        <v>-2.9198069999999987</v>
      </c>
      <c r="CW189" s="7">
        <f>IF(100&gt;=11,('Testes estatísticos'!$D$16+'Testes estatísticos'!$D$105)/2,"")</f>
        <v>-3.0192729999999983</v>
      </c>
      <c r="CX189" s="7">
        <f>IF(101&gt;=11,('Testes estatísticos'!$D$16+'Testes estatísticos'!$D$106)/2,"")</f>
        <v>-2.4963464999999978</v>
      </c>
      <c r="CY189" s="7">
        <f>IF(102&gt;=11,('Testes estatísticos'!$D$16+'Testes estatísticos'!$D$107)/2,"")</f>
        <v>-2.552011499999999</v>
      </c>
      <c r="CZ189" s="7">
        <f>IF(103&gt;=11,('Testes estatísticos'!$D$16+'Testes estatísticos'!$D$108)/2,"")</f>
        <v>-3.0761779999999987</v>
      </c>
      <c r="DA189" s="7">
        <f>IF(104&gt;=11,('Testes estatísticos'!$D$16+'Testes estatísticos'!$D$109)/2,"")</f>
        <v>-2.8135439999999967</v>
      </c>
      <c r="DB189" s="7">
        <f>IF(105&gt;=11,('Testes estatísticos'!$D$16+'Testes estatísticos'!$D$110)/2,"")</f>
        <v>-2.7792129999999986</v>
      </c>
      <c r="DC189" s="7">
        <f>IF(106&gt;=11,('Testes estatísticos'!$D$16+'Testes estatísticos'!$D$111)/2,"")</f>
        <v>-2.0362919999999995</v>
      </c>
      <c r="DD189" s="7">
        <f>IF(107&gt;=11,('Testes estatísticos'!$D$16+'Testes estatísticos'!$D$112)/2,"")</f>
        <v>1.4568790000000007</v>
      </c>
      <c r="DE189" s="7">
        <f>IF(108&gt;=11,('Testes estatísticos'!$D$16+'Testes estatísticos'!$D$113)/2,"")</f>
        <v>-1.9657564999999977</v>
      </c>
      <c r="DF189" s="7">
        <f>IF(109&gt;=11,('Testes estatísticos'!$D$16+'Testes estatísticos'!$D$114)/2,"")</f>
        <v>-2.0020134999999968</v>
      </c>
      <c r="DG189" s="7">
        <f>IF(110&gt;=11,('Testes estatísticos'!$D$16+'Testes estatísticos'!$D$115)/2,"")</f>
        <v>-7.5491530000000004</v>
      </c>
      <c r="DH189" s="7">
        <f>IF(111&gt;=11,('Testes estatísticos'!$D$16+'Testes estatísticos'!$D$116)/2,"")</f>
        <v>-1.8683224999999979</v>
      </c>
      <c r="DI189" s="7">
        <f>IF(112&gt;=11,('Testes estatísticos'!$D$16+'Testes estatísticos'!$D$117)/2,"")</f>
        <v>3.5601175000000005</v>
      </c>
      <c r="DJ189" s="7">
        <f>IF(113&gt;=11,('Testes estatísticos'!$D$16+'Testes estatísticos'!$D$118)/2,"")</f>
        <v>-1.8964394999999996</v>
      </c>
      <c r="DK189" s="7">
        <f>IF(114&gt;=11,('Testes estatísticos'!$D$16+'Testes estatísticos'!$D$119)/2,"")</f>
        <v>-1.9981894999999987</v>
      </c>
      <c r="DL189" s="7">
        <f>IF(115&gt;=11,('Testes estatísticos'!$D$16+'Testes estatísticos'!$D$120)/2,"")</f>
        <v>-1.951711999999997</v>
      </c>
      <c r="DM189" s="7">
        <f>IF(116&gt;=11,('Testes estatísticos'!$D$16+'Testes estatísticos'!$D$121)/2,"")</f>
        <v>-1.9431094999999985</v>
      </c>
      <c r="DN189" s="7">
        <f>IF(117&gt;=11,('Testes estatísticos'!$D$16+'Testes estatísticos'!$D$122)/2,"")</f>
        <v>-1.9200415</v>
      </c>
      <c r="DO189" s="7">
        <f>IF(118&gt;=11,('Testes estatísticos'!$D$16+'Testes estatísticos'!$D$123)/2,"")</f>
        <v>-1.8701310000000007</v>
      </c>
      <c r="DP189" s="7">
        <f>IF(119&gt;=11,('Testes estatísticos'!$D$16+'Testes estatísticos'!$D$124)/2,"")</f>
        <v>-1.8913425000000004</v>
      </c>
      <c r="DQ189" s="7">
        <f>IF(120&gt;=11,('Testes estatísticos'!$D$16+'Testes estatísticos'!$D$125)/2,"")</f>
        <v>1.1602720000000026</v>
      </c>
      <c r="DR189" s="7">
        <f>IF(121&gt;=11,('Testes estatísticos'!$D$16+'Testes estatísticos'!$D$126)/2,"")</f>
        <v>-1.6287444999999998</v>
      </c>
      <c r="DS189" s="7">
        <f>IF(122&gt;=11,('Testes estatísticos'!$D$16+'Testes estatísticos'!$D$127)/2,"")</f>
        <v>-2.6941529999999965</v>
      </c>
      <c r="DT189" s="7">
        <f>IF(123&gt;=11,('Testes estatísticos'!$D$16+'Testes estatísticos'!$D$128)/2,"")</f>
        <v>3.3747164999999981</v>
      </c>
      <c r="DU189" s="7">
        <f>IF(124&gt;=11,('Testes estatísticos'!$D$16+'Testes estatísticos'!$D$129)/2,"")</f>
        <v>-1.5210550000000005</v>
      </c>
      <c r="DV189" s="7">
        <f>IF(125&gt;=11,('Testes estatísticos'!$D$16+'Testes estatísticos'!$D$130)/2,"")</f>
        <v>-0.36274750000000111</v>
      </c>
      <c r="DW189" s="7">
        <f>IF(126&gt;=11,('Testes estatísticos'!$D$16+'Testes estatísticos'!$D$131)/2,"")</f>
        <v>-2.7662234999999988</v>
      </c>
      <c r="DX189" s="7">
        <f>IF(127&gt;=11,('Testes estatísticos'!$D$16+'Testes estatísticos'!$D$132)/2,"")</f>
        <v>-4.8224149999999995</v>
      </c>
      <c r="DY189" s="7">
        <f>IF(128&gt;=11,('Testes estatísticos'!$D$16+'Testes estatísticos'!$D$133)/2,"")</f>
        <v>-5.1635044999999984</v>
      </c>
      <c r="DZ189" s="7">
        <f>IF(129&gt;=11,('Testes estatísticos'!$D$16+'Testes estatísticos'!$D$134)/2,"")</f>
        <v>-8.5872944999999987</v>
      </c>
      <c r="EA189" s="7">
        <f>IF(130&gt;=11,('Testes estatísticos'!$D$16+'Testes estatísticos'!$D$135)/2,"")</f>
        <v>-2.8255244999999967</v>
      </c>
      <c r="EB189" s="7">
        <f>IF(131&gt;=11,('Testes estatísticos'!$D$16+'Testes estatísticos'!$D$136)/2,"")</f>
        <v>-2.7376515000000019</v>
      </c>
      <c r="EC189" s="7">
        <f>IF(132&gt;=11,('Testes estatísticos'!$D$16+'Testes estatísticos'!$D$137)/2,"")</f>
        <v>-4.2243880000000011</v>
      </c>
      <c r="ED189" s="7">
        <f>IF(133&gt;=11,('Testes estatísticos'!$D$16+'Testes estatísticos'!$D$138)/2,"")</f>
        <v>-2.0354504999999996</v>
      </c>
      <c r="EE189" s="7">
        <f>IF(134&gt;=11,('Testes estatísticos'!$D$16+'Testes estatísticos'!$D$139)/2,"")</f>
        <v>-4.3326410000000024</v>
      </c>
      <c r="EF189" s="7">
        <f>IF(135&gt;=11,('Testes estatísticos'!$D$16+'Testes estatísticos'!$D$140)/2,"")</f>
        <v>-1.1182084999999979</v>
      </c>
      <c r="EG189" s="7">
        <f>IF(136&gt;=11,('Testes estatísticos'!$D$16+'Testes estatísticos'!$D$141)/2,"")</f>
        <v>-2.8116985000000021</v>
      </c>
      <c r="EH189" s="7">
        <f>IF(137&gt;=11,('Testes estatísticos'!$D$16+'Testes estatísticos'!$D$142)/2,"")</f>
        <v>-1.1069585000000011</v>
      </c>
      <c r="EI189" s="7">
        <f>IF(138&gt;=11,('Testes estatísticos'!$D$16+'Testes estatísticos'!$D$143)/2,"")</f>
        <v>-2.7719739999999966</v>
      </c>
      <c r="EJ189" s="7"/>
      <c r="EK189" s="7"/>
      <c r="EL189" s="7"/>
    </row>
    <row r="190" spans="1:151" x14ac:dyDescent="0.3">
      <c r="A190" s="35"/>
      <c r="B190" s="7" t="str">
        <f>IF(1&gt;=12,('Testes estatísticos'!$D$17+'Testes estatísticos'!$D$6)/2,"")</f>
        <v/>
      </c>
      <c r="C190" s="7" t="str">
        <f>IF(2&gt;=12,('Testes estatísticos'!$D$17+'Testes estatísticos'!$D$7)/2,"")</f>
        <v/>
      </c>
      <c r="D190" s="7" t="str">
        <f>IF(3&gt;=12,('Testes estatísticos'!$D$17+'Testes estatísticos'!$D$8)/2,"")</f>
        <v/>
      </c>
      <c r="E190" s="7" t="str">
        <f>IF(4&gt;=12,('Testes estatísticos'!$D$17+'Testes estatísticos'!$D$9)/2,"")</f>
        <v/>
      </c>
      <c r="F190" s="7" t="str">
        <f>IF(5&gt;=12,('Testes estatísticos'!$D$17+'Testes estatísticos'!$D$10)/2,"")</f>
        <v/>
      </c>
      <c r="G190" s="7" t="str">
        <f>IF(6&gt;=12,('Testes estatísticos'!$D$17+'Testes estatísticos'!$D$11)/2,"")</f>
        <v/>
      </c>
      <c r="H190" s="7" t="str">
        <f>IF(7&gt;=12,('Testes estatísticos'!$D$17+'Testes estatísticos'!$D$12)/2,"")</f>
        <v/>
      </c>
      <c r="I190" s="7" t="str">
        <f>IF(8&gt;=12,('Testes estatísticos'!$D$17+'Testes estatísticos'!$D$13)/2,"")</f>
        <v/>
      </c>
      <c r="J190" s="7" t="str">
        <f>IF(9&gt;=12,('Testes estatísticos'!$D$17+'Testes estatísticos'!$D$14)/2,"")</f>
        <v/>
      </c>
      <c r="K190" s="7" t="str">
        <f>IF(10&gt;=12,('Testes estatísticos'!$D$17+'Testes estatísticos'!$D$15)/2,"")</f>
        <v/>
      </c>
      <c r="L190" s="7" t="str">
        <f>IF(11&gt;=12,('Testes estatísticos'!$D$17+'Testes estatísticos'!$D$16)/2,"")</f>
        <v/>
      </c>
      <c r="M190" s="7">
        <f>IF(12&gt;=12,('Testes estatísticos'!$D$17+'Testes estatísticos'!$D$17)/2,"")</f>
        <v>-8.2961789999999951</v>
      </c>
      <c r="N190" s="7">
        <f>IF(13&gt;=12,('Testes estatísticos'!$D$17+'Testes estatísticos'!$D$18)/2,"")</f>
        <v>-2.4424929999999989</v>
      </c>
      <c r="O190" s="7">
        <f>IF(14&gt;=12,('Testes estatísticos'!$D$17+'Testes estatísticos'!$D$19)/2,"")</f>
        <v>-3.7847859999999969</v>
      </c>
      <c r="P190" s="7">
        <f>IF(15&gt;=12,('Testes estatísticos'!$D$17+'Testes estatísticos'!$D$20)/2,"")</f>
        <v>-2.3650824999999962</v>
      </c>
      <c r="Q190" s="7">
        <f>IF(16&gt;=12,('Testes estatísticos'!$D$17+'Testes estatísticos'!$D$21)/2,"")</f>
        <v>-9.6649169999999991</v>
      </c>
      <c r="R190" s="7">
        <f>IF(17&gt;=12,('Testes estatísticos'!$D$17+'Testes estatísticos'!$D$22)/2,"")</f>
        <v>-6.2035729999999987</v>
      </c>
      <c r="S190" s="7">
        <f>IF(18&gt;=12,('Testes estatísticos'!$D$17+'Testes estatísticos'!$D$23)/2,"")</f>
        <v>-7.2776864999999979</v>
      </c>
      <c r="T190" s="7">
        <f>IF(19&gt;=12,('Testes estatísticos'!$D$17+'Testes estatísticos'!$D$24)/2,"")</f>
        <v>-6.8792454999999997</v>
      </c>
      <c r="U190" s="7">
        <f>IF(20&gt;=12,('Testes estatísticos'!$D$17+'Testes estatísticos'!$D$25)/2,"")</f>
        <v>-7.8246134999999946</v>
      </c>
      <c r="V190" s="7">
        <f>IF(21&gt;=12,('Testes estatísticos'!$D$17+'Testes estatísticos'!$D$26)/2,"")</f>
        <v>-5.9659284999999969</v>
      </c>
      <c r="W190" s="7">
        <f>IF(22&gt;=12,('Testes estatísticos'!$D$17+'Testes estatísticos'!$D$27)/2,"")</f>
        <v>-6.0021579999999979</v>
      </c>
      <c r="X190" s="7">
        <f>IF(23&gt;=12,('Testes estatísticos'!$D$17+'Testes estatísticos'!$D$28)/2,"")</f>
        <v>-6.1250354999999956</v>
      </c>
      <c r="Y190" s="7">
        <f>IF(24&gt;=12,('Testes estatísticos'!$D$17+'Testes estatísticos'!$D$29)/2,"")</f>
        <v>-5.5618549999999978</v>
      </c>
      <c r="Z190" s="7">
        <f>IF(25&gt;=12,('Testes estatísticos'!$D$17+'Testes estatísticos'!$D$30)/2,"")</f>
        <v>-5.2482919999999993</v>
      </c>
      <c r="AA190" s="7">
        <f>IF(26&gt;=12,('Testes estatísticos'!$D$17+'Testes estatísticos'!$D$31)/2,"")</f>
        <v>-5.2448214999999969</v>
      </c>
      <c r="AB190" s="7">
        <f>IF(27&gt;=12,('Testes estatísticos'!$D$17+'Testes estatísticos'!$D$32)/2,"")</f>
        <v>-5.3494304999999969</v>
      </c>
      <c r="AC190" s="7">
        <f>IF(28&gt;=12,('Testes estatísticos'!$D$17+'Testes estatísticos'!$D$33)/2,"")</f>
        <v>-5.2897159999999985</v>
      </c>
      <c r="AD190" s="7">
        <f>IF(29&gt;=12,('Testes estatísticos'!$D$17+'Testes estatísticos'!$D$34)/2,"")</f>
        <v>-4.560454</v>
      </c>
      <c r="AE190" s="7">
        <f>IF(30&gt;=12,('Testes estatísticos'!$D$17+'Testes estatísticos'!$D$35)/2,"")</f>
        <v>-5.8739999999999988</v>
      </c>
      <c r="AF190" s="7">
        <f>IF(31&gt;=12,('Testes estatísticos'!$D$17+'Testes estatísticos'!$D$36)/2,"")</f>
        <v>-6.2163944999999963</v>
      </c>
      <c r="AG190" s="7">
        <f>IF(32&gt;=12,('Testes estatísticos'!$D$17+'Testes estatísticos'!$D$37)/2,"")</f>
        <v>-5.1127739999999982</v>
      </c>
      <c r="AH190" s="7">
        <f>IF(33&gt;=12,('Testes estatísticos'!$D$17+'Testes estatísticos'!$D$38)/2,"")</f>
        <v>-5.2783134999999994</v>
      </c>
      <c r="AI190" s="7">
        <f>IF(34&gt;=12,('Testes estatísticos'!$D$17+'Testes estatísticos'!$D$39)/2,"")</f>
        <v>-2.461767499999997</v>
      </c>
      <c r="AJ190" s="7">
        <f>IF(35&gt;=12,('Testes estatísticos'!$D$17+'Testes estatísticos'!$D$40)/2,"")</f>
        <v>-5.203265499999997</v>
      </c>
      <c r="AK190" s="7">
        <f>IF(36&gt;=12,('Testes estatísticos'!$D$17+'Testes estatísticos'!$D$41)/2,"")</f>
        <v>-2.9353209999999983</v>
      </c>
      <c r="AL190" s="7">
        <f>IF(37&gt;=12,('Testes estatísticos'!$D$17+'Testes estatísticos'!$D$42)/2,"")</f>
        <v>-5.2138819999999981</v>
      </c>
      <c r="AM190" s="7">
        <f>IF(38&gt;=12,('Testes estatísticos'!$D$17+'Testes estatísticos'!$D$43)/2,"")</f>
        <v>-5.201022499999997</v>
      </c>
      <c r="AN190" s="7">
        <f>IF(39&gt;=12,('Testes estatísticos'!$D$17+'Testes estatísticos'!$D$44)/2,"")</f>
        <v>-6.3380164999999984</v>
      </c>
      <c r="AO190" s="7">
        <f>IF(40&gt;=12,('Testes estatísticos'!$D$17+'Testes estatísticos'!$D$45)/2,"")</f>
        <v>-2.3630899999999997</v>
      </c>
      <c r="AP190" s="7">
        <f>IF(41&gt;=12,('Testes estatísticos'!$D$17+'Testes estatísticos'!$D$46)/2,"")</f>
        <v>-4.8690294999999963</v>
      </c>
      <c r="AQ190" s="7">
        <f>IF(42&gt;=12,('Testes estatísticos'!$D$17+'Testes estatísticos'!$D$47)/2,"")</f>
        <v>-3.7266704999999973</v>
      </c>
      <c r="AR190" s="7">
        <f>IF(43&gt;=12,('Testes estatísticos'!$D$17+'Testes estatísticos'!$D$48)/2,"")</f>
        <v>-4.7755844999999972</v>
      </c>
      <c r="AS190" s="7">
        <f>IF(44&gt;=12,('Testes estatísticos'!$D$17+'Testes estatísticos'!$D$49)/2,"")</f>
        <v>-5.3067074999999981</v>
      </c>
      <c r="AT190" s="7">
        <f>IF(45&gt;=12,('Testes estatísticos'!$D$17+'Testes estatísticos'!$D$50)/2,"")</f>
        <v>-4.4776289999999968</v>
      </c>
      <c r="AU190" s="7">
        <f>IF(46&gt;=12,('Testes estatísticos'!$D$17+'Testes estatísticos'!$D$51)/2,"")</f>
        <v>-7.5088249999999981</v>
      </c>
      <c r="AV190" s="7">
        <f>IF(47&gt;=12,('Testes estatísticos'!$D$17+'Testes estatísticos'!$D$52)/2,"")</f>
        <v>-2.4386519999999976</v>
      </c>
      <c r="AW190" s="7">
        <f>IF(48&gt;=12,('Testes estatísticos'!$D$17+'Testes estatísticos'!$D$53)/2,"")</f>
        <v>-6.8746829999999974</v>
      </c>
      <c r="AX190" s="7">
        <f>IF(49&gt;=12,('Testes estatísticos'!$D$17+'Testes estatísticos'!$D$54)/2,"")</f>
        <v>-5.6148924999999963</v>
      </c>
      <c r="AY190" s="7">
        <f>IF(50&gt;=12,('Testes estatísticos'!$D$17+'Testes estatísticos'!$D$55)/2,"")</f>
        <v>-3.9897279999999959</v>
      </c>
      <c r="AZ190" s="7">
        <f>IF(51&gt;=12,('Testes estatísticos'!$D$17+'Testes estatísticos'!$D$56)/2,"")</f>
        <v>-3.9452584999999978</v>
      </c>
      <c r="BA190" s="7">
        <f>IF(52&gt;=12,('Testes estatísticos'!$D$17+'Testes estatísticos'!$D$57)/2,"")</f>
        <v>-7.3534744999999972</v>
      </c>
      <c r="BB190" s="7">
        <f>IF(53&gt;=12,('Testes estatísticos'!$D$17+'Testes estatísticos'!$D$58)/2,"")</f>
        <v>-3.9447119999999956</v>
      </c>
      <c r="BC190" s="7">
        <f>IF(54&gt;=12,('Testes estatísticos'!$D$17+'Testes estatísticos'!$D$59)/2,"")</f>
        <v>-4.8643544999999975</v>
      </c>
      <c r="BD190" s="7">
        <f>IF(55&gt;=12,('Testes estatísticos'!$D$17+'Testes estatísticos'!$D$60)/2,"")</f>
        <v>-1.7686834999999981</v>
      </c>
      <c r="BE190" s="7">
        <f>IF(56&gt;=12,('Testes estatísticos'!$D$17+'Testes estatísticos'!$D$61)/2,"")</f>
        <v>-4.3986519999999949</v>
      </c>
      <c r="BF190" s="7">
        <f>IF(57&gt;=12,('Testes estatísticos'!$D$17+'Testes estatísticos'!$D$62)/2,"")</f>
        <v>-7.7988420000000005</v>
      </c>
      <c r="BG190" s="7">
        <f>IF(58&gt;=12,('Testes estatísticos'!$D$17+'Testes estatísticos'!$D$63)/2,"")</f>
        <v>-2.5329469999999965</v>
      </c>
      <c r="BH190" s="7">
        <f>IF(59&gt;=12,('Testes estatísticos'!$D$17+'Testes estatísticos'!$D$64)/2,"")</f>
        <v>-8.376559499999999</v>
      </c>
      <c r="BI190" s="7">
        <f>IF(60&gt;=12,('Testes estatísticos'!$D$17+'Testes estatísticos'!$D$65)/2,"")</f>
        <v>-6.6289684999999956</v>
      </c>
      <c r="BJ190" s="7">
        <f>IF(61&gt;=12,('Testes estatísticos'!$D$17+'Testes estatísticos'!$D$66)/2,"")</f>
        <v>-3.9939134999999979</v>
      </c>
      <c r="BK190" s="7">
        <f>IF(62&gt;=12,('Testes estatísticos'!$D$17+'Testes estatísticos'!$D$67)/2,"")</f>
        <v>-4.5027084999999971</v>
      </c>
      <c r="BL190" s="7">
        <f>IF(63&gt;=12,('Testes estatísticos'!$D$17+'Testes estatísticos'!$D$68)/2,"")</f>
        <v>-3.603393999999998</v>
      </c>
      <c r="BM190" s="7">
        <f>IF(64&gt;=12,('Testes estatísticos'!$D$17+'Testes estatísticos'!$D$69)/2,"")</f>
        <v>-3.5525519999999986</v>
      </c>
      <c r="BN190" s="7">
        <f>IF(65&gt;=12,('Testes estatísticos'!$D$17+'Testes estatísticos'!$D$70)/2,"")</f>
        <v>-5.6983584999999977</v>
      </c>
      <c r="BO190" s="7">
        <f>IF(66&gt;=12,('Testes estatísticos'!$D$17+'Testes estatísticos'!$D$71)/2,"")</f>
        <v>-4.8025059999999975</v>
      </c>
      <c r="BP190" s="7">
        <f>IF(67&gt;=12,('Testes estatísticos'!$D$17+'Testes estatísticos'!$D$72)/2,"")</f>
        <v>-7.6929649999999974</v>
      </c>
      <c r="BQ190" s="7">
        <f>IF(68&gt;=12,('Testes estatísticos'!$D$17+'Testes estatísticos'!$D$73)/2,"")</f>
        <v>-3.0297319999999992</v>
      </c>
      <c r="BR190" s="7">
        <f>IF(69&gt;=12,('Testes estatísticos'!$D$17+'Testes estatísticos'!$D$74)/2,"")</f>
        <v>-2.397549999999999</v>
      </c>
      <c r="BS190" s="7">
        <f>IF(70&gt;=12,('Testes estatísticos'!$D$17+'Testes estatísticos'!$D$75)/2,"")</f>
        <v>-3.4020144999999999</v>
      </c>
      <c r="BT190" s="7">
        <f>IF(71&gt;=12,('Testes estatísticos'!$D$17+'Testes estatísticos'!$D$76)/2,"")</f>
        <v>-1.8276494999999997</v>
      </c>
      <c r="BU190" s="7">
        <f>IF(72&gt;=12,('Testes estatísticos'!$D$17+'Testes estatísticos'!$D$77)/2,"")</f>
        <v>-7.4273464999999987</v>
      </c>
      <c r="BV190" s="7">
        <f>IF(73&gt;=12,('Testes estatísticos'!$D$17+'Testes estatísticos'!$D$78)/2,"")</f>
        <v>-5.3538719999999991</v>
      </c>
      <c r="BW190" s="7">
        <f>IF(74&gt;=12,('Testes estatísticos'!$D$17+'Testes estatísticos'!$D$79)/2,"")</f>
        <v>-6.0371904999999977</v>
      </c>
      <c r="BX190" s="7">
        <f>IF(75&gt;=12,('Testes estatísticos'!$D$17+'Testes estatísticos'!$D$80)/2,"")</f>
        <v>-6.0589684999999989</v>
      </c>
      <c r="BY190" s="7">
        <f>IF(76&gt;=12,('Testes estatísticos'!$D$17+'Testes estatísticos'!$D$81)/2,"")</f>
        <v>-1.9275104999999968</v>
      </c>
      <c r="BZ190" s="7">
        <f>IF(77&gt;=12,('Testes estatísticos'!$D$17+'Testes estatísticos'!$D$82)/2,"")</f>
        <v>-7.1890999999999963</v>
      </c>
      <c r="CA190" s="7">
        <f>IF(78&gt;=12,('Testes estatísticos'!$D$17+'Testes estatísticos'!$D$83)/2,"")</f>
        <v>-5.4288409999999949</v>
      </c>
      <c r="CB190" s="7">
        <f>IF(79&gt;=12,('Testes estatísticos'!$D$17+'Testes estatísticos'!$D$84)/2,"")</f>
        <v>-5.3771184999999981</v>
      </c>
      <c r="CC190" s="7">
        <f>IF(80&gt;=12,('Testes estatísticos'!$D$17+'Testes estatísticos'!$D$85)/2,"")</f>
        <v>-7.1841349999999977</v>
      </c>
      <c r="CD190" s="7">
        <f>IF(81&gt;=12,('Testes estatísticos'!$D$17+'Testes estatísticos'!$D$86)/2,"")</f>
        <v>-7.2342799999999983</v>
      </c>
      <c r="CE190" s="7">
        <f>IF(82&gt;=12,('Testes estatísticos'!$D$17+'Testes estatísticos'!$D$87)/2,"")</f>
        <v>-5.1564894999999993</v>
      </c>
      <c r="CF190" s="7">
        <f>IF(83&gt;=12,('Testes estatísticos'!$D$17+'Testes estatísticos'!$D$88)/2,"")</f>
        <v>-5.6852964999999998</v>
      </c>
      <c r="CG190" s="7">
        <f>IF(84&gt;=12,('Testes estatísticos'!$D$17+'Testes estatísticos'!$D$89)/2,"")</f>
        <v>-6.0172034999999973</v>
      </c>
      <c r="CH190" s="7">
        <f>IF(85&gt;=12,('Testes estatísticos'!$D$17+'Testes estatísticos'!$D$90)/2,"")</f>
        <v>-4.2016564999999986</v>
      </c>
      <c r="CI190" s="7">
        <f>IF(86&gt;=12,('Testes estatísticos'!$D$17+'Testes estatísticos'!$D$91)/2,"")</f>
        <v>-6.8918159999999951</v>
      </c>
      <c r="CJ190" s="7">
        <f>IF(87&gt;=12,('Testes estatísticos'!$D$17+'Testes estatísticos'!$D$92)/2,"")</f>
        <v>-5.6496094999999968</v>
      </c>
      <c r="CK190" s="7">
        <f>IF(88&gt;=12,('Testes estatísticos'!$D$17+'Testes estatísticos'!$D$93)/2,"")</f>
        <v>-5.4055259999999983</v>
      </c>
      <c r="CL190" s="7">
        <f>IF(89&gt;=12,('Testes estatísticos'!$D$17+'Testes estatísticos'!$D$94)/2,"")</f>
        <v>-6.017118</v>
      </c>
      <c r="CM190" s="7">
        <f>IF(90&gt;=12,('Testes estatísticos'!$D$17+'Testes estatísticos'!$D$95)/2,"")</f>
        <v>-8.3512499999999967</v>
      </c>
      <c r="CN190" s="7">
        <f>IF(91&gt;=12,('Testes estatísticos'!$D$17+'Testes estatísticos'!$D$96)/2,"")</f>
        <v>-5.8127269999999953</v>
      </c>
      <c r="CO190" s="7">
        <f>IF(92&gt;=12,('Testes estatísticos'!$D$17+'Testes estatísticos'!$D$97)/2,"")</f>
        <v>-6.1592304999999961</v>
      </c>
      <c r="CP190" s="7">
        <f>IF(93&gt;=12,('Testes estatísticos'!$D$17+'Testes estatísticos'!$D$98)/2,"")</f>
        <v>-6.3639824999999952</v>
      </c>
      <c r="CQ190" s="7">
        <f>IF(94&gt;=12,('Testes estatísticos'!$D$17+'Testes estatísticos'!$D$99)/2,"")</f>
        <v>-4.1828244999999988</v>
      </c>
      <c r="CR190" s="7">
        <f>IF(95&gt;=12,('Testes estatísticos'!$D$17+'Testes estatísticos'!$D$100)/2,"")</f>
        <v>-6.088617499999998</v>
      </c>
      <c r="CS190" s="7">
        <f>IF(96&gt;=12,('Testes estatísticos'!$D$17+'Testes estatísticos'!$D$101)/2,"")</f>
        <v>-6.0446305000000002</v>
      </c>
      <c r="CT190" s="7">
        <f>IF(97&gt;=12,('Testes estatísticos'!$D$17+'Testes estatísticos'!$D$102)/2,"")</f>
        <v>-5.8115799999999993</v>
      </c>
      <c r="CU190" s="7">
        <f>IF(98&gt;=12,('Testes estatísticos'!$D$17+'Testes estatísticos'!$D$103)/2,"")</f>
        <v>-5.754253999999996</v>
      </c>
      <c r="CV190" s="7">
        <f>IF(99&gt;=12,('Testes estatísticos'!$D$17+'Testes estatísticos'!$D$104)/2,"")</f>
        <v>-6.189079999999997</v>
      </c>
      <c r="CW190" s="7">
        <f>IF(100&gt;=12,('Testes estatísticos'!$D$17+'Testes estatísticos'!$D$105)/2,"")</f>
        <v>-6.2885459999999966</v>
      </c>
      <c r="CX190" s="7">
        <f>IF(101&gt;=12,('Testes estatísticos'!$D$17+'Testes estatísticos'!$D$106)/2,"")</f>
        <v>-5.7656194999999961</v>
      </c>
      <c r="CY190" s="7">
        <f>IF(102&gt;=12,('Testes estatísticos'!$D$17+'Testes estatísticos'!$D$107)/2,"")</f>
        <v>-5.8212844999999973</v>
      </c>
      <c r="CZ190" s="7">
        <f>IF(103&gt;=12,('Testes estatísticos'!$D$17+'Testes estatísticos'!$D$108)/2,"")</f>
        <v>-6.3454509999999971</v>
      </c>
      <c r="DA190" s="7">
        <f>IF(104&gt;=12,('Testes estatísticos'!$D$17+'Testes estatísticos'!$D$109)/2,"")</f>
        <v>-6.082816999999995</v>
      </c>
      <c r="DB190" s="7">
        <f>IF(105&gt;=12,('Testes estatísticos'!$D$17+'Testes estatísticos'!$D$110)/2,"")</f>
        <v>-6.0484859999999969</v>
      </c>
      <c r="DC190" s="7">
        <f>IF(106&gt;=12,('Testes estatísticos'!$D$17+'Testes estatísticos'!$D$111)/2,"")</f>
        <v>-5.3055649999999979</v>
      </c>
      <c r="DD190" s="7">
        <f>IF(107&gt;=12,('Testes estatísticos'!$D$17+'Testes estatísticos'!$D$112)/2,"")</f>
        <v>-1.8123939999999976</v>
      </c>
      <c r="DE190" s="7">
        <f>IF(108&gt;=12,('Testes estatísticos'!$D$17+'Testes estatísticos'!$D$113)/2,"")</f>
        <v>-5.235029499999996</v>
      </c>
      <c r="DF190" s="7">
        <f>IF(109&gt;=12,('Testes estatísticos'!$D$17+'Testes estatísticos'!$D$114)/2,"")</f>
        <v>-5.2712864999999951</v>
      </c>
      <c r="DG190" s="7">
        <f>IF(110&gt;=12,('Testes estatísticos'!$D$17+'Testes estatísticos'!$D$115)/2,"")</f>
        <v>-10.818425999999999</v>
      </c>
      <c r="DH190" s="7">
        <f>IF(111&gt;=12,('Testes estatísticos'!$D$17+'Testes estatísticos'!$D$116)/2,"")</f>
        <v>-5.1375954999999962</v>
      </c>
      <c r="DI190" s="7">
        <f>IF(112&gt;=12,('Testes estatísticos'!$D$17+'Testes estatísticos'!$D$117)/2,"")</f>
        <v>0.29084450000000217</v>
      </c>
      <c r="DJ190" s="7">
        <f>IF(113&gt;=12,('Testes estatísticos'!$D$17+'Testes estatísticos'!$D$118)/2,"")</f>
        <v>-5.1657124999999979</v>
      </c>
      <c r="DK190" s="7">
        <f>IF(114&gt;=12,('Testes estatísticos'!$D$17+'Testes estatísticos'!$D$119)/2,"")</f>
        <v>-5.267462499999997</v>
      </c>
      <c r="DL190" s="7">
        <f>IF(115&gt;=12,('Testes estatísticos'!$D$17+'Testes estatísticos'!$D$120)/2,"")</f>
        <v>-5.2209849999999953</v>
      </c>
      <c r="DM190" s="7">
        <f>IF(116&gt;=12,('Testes estatísticos'!$D$17+'Testes estatísticos'!$D$121)/2,"")</f>
        <v>-5.2123824999999968</v>
      </c>
      <c r="DN190" s="7">
        <f>IF(117&gt;=12,('Testes estatísticos'!$D$17+'Testes estatísticos'!$D$122)/2,"")</f>
        <v>-5.1893144999999983</v>
      </c>
      <c r="DO190" s="7">
        <f>IF(118&gt;=12,('Testes estatísticos'!$D$17+'Testes estatísticos'!$D$123)/2,"")</f>
        <v>-5.139403999999999</v>
      </c>
      <c r="DP190" s="7">
        <f>IF(119&gt;=12,('Testes estatísticos'!$D$17+'Testes estatísticos'!$D$124)/2,"")</f>
        <v>-5.1606154999999987</v>
      </c>
      <c r="DQ190" s="7">
        <f>IF(120&gt;=12,('Testes estatísticos'!$D$17+'Testes estatísticos'!$D$125)/2,"")</f>
        <v>-2.1090009999999957</v>
      </c>
      <c r="DR190" s="7">
        <f>IF(121&gt;=12,('Testes estatísticos'!$D$17+'Testes estatísticos'!$D$126)/2,"")</f>
        <v>-4.8980174999999981</v>
      </c>
      <c r="DS190" s="7">
        <f>IF(122&gt;=12,('Testes estatísticos'!$D$17+'Testes estatísticos'!$D$127)/2,"")</f>
        <v>-5.9634259999999948</v>
      </c>
      <c r="DT190" s="7">
        <f>IF(123&gt;=12,('Testes estatísticos'!$D$17+'Testes estatísticos'!$D$128)/2,"")</f>
        <v>0.1054434999999998</v>
      </c>
      <c r="DU190" s="7">
        <f>IF(124&gt;=12,('Testes estatísticos'!$D$17+'Testes estatísticos'!$D$129)/2,"")</f>
        <v>-4.7903279999999988</v>
      </c>
      <c r="DV190" s="7">
        <f>IF(125&gt;=12,('Testes estatísticos'!$D$17+'Testes estatísticos'!$D$130)/2,"")</f>
        <v>-3.6320204999999994</v>
      </c>
      <c r="DW190" s="7">
        <f>IF(126&gt;=12,('Testes estatísticos'!$D$17+'Testes estatísticos'!$D$131)/2,"")</f>
        <v>-6.0354964999999972</v>
      </c>
      <c r="DX190" s="7">
        <f>IF(127&gt;=12,('Testes estatísticos'!$D$17+'Testes estatísticos'!$D$132)/2,"")</f>
        <v>-8.0916879999999978</v>
      </c>
      <c r="DY190" s="7">
        <f>IF(128&gt;=12,('Testes estatísticos'!$D$17+'Testes estatísticos'!$D$133)/2,"")</f>
        <v>-8.4327774999999967</v>
      </c>
      <c r="DZ190" s="7">
        <f>IF(129&gt;=12,('Testes estatísticos'!$D$17+'Testes estatísticos'!$D$134)/2,"")</f>
        <v>-11.856567499999997</v>
      </c>
      <c r="EA190" s="7">
        <f>IF(130&gt;=12,('Testes estatísticos'!$D$17+'Testes estatísticos'!$D$135)/2,"")</f>
        <v>-6.094797499999995</v>
      </c>
      <c r="EB190" s="7">
        <f>IF(131&gt;=12,('Testes estatísticos'!$D$17+'Testes estatísticos'!$D$136)/2,"")</f>
        <v>-6.0069245000000002</v>
      </c>
      <c r="EC190" s="7">
        <f>IF(132&gt;=12,('Testes estatísticos'!$D$17+'Testes estatísticos'!$D$137)/2,"")</f>
        <v>-7.4936609999999995</v>
      </c>
      <c r="ED190" s="7">
        <f>IF(133&gt;=12,('Testes estatísticos'!$D$17+'Testes estatísticos'!$D$138)/2,"")</f>
        <v>-5.3047234999999979</v>
      </c>
      <c r="EE190" s="7">
        <f>IF(134&gt;=12,('Testes estatísticos'!$D$17+'Testes estatísticos'!$D$139)/2,"")</f>
        <v>-7.6019140000000007</v>
      </c>
      <c r="EF190" s="7">
        <f>IF(135&gt;=12,('Testes estatísticos'!$D$17+'Testes estatísticos'!$D$140)/2,"")</f>
        <v>-4.3874814999999963</v>
      </c>
      <c r="EG190" s="7">
        <f>IF(136&gt;=12,('Testes estatísticos'!$D$17+'Testes estatísticos'!$D$141)/2,"")</f>
        <v>-6.0809715000000004</v>
      </c>
      <c r="EH190" s="7">
        <f>IF(137&gt;=12,('Testes estatísticos'!$D$17+'Testes estatísticos'!$D$142)/2,"")</f>
        <v>-4.3762314999999994</v>
      </c>
      <c r="EI190" s="7">
        <f>IF(138&gt;=12,('Testes estatísticos'!$D$17+'Testes estatísticos'!$D$143)/2,"")</f>
        <v>-6.0412469999999949</v>
      </c>
      <c r="EJ190" s="7"/>
      <c r="EK190" s="7"/>
      <c r="EL190" s="7"/>
    </row>
    <row r="191" spans="1:151" x14ac:dyDescent="0.3">
      <c r="B191" s="7" t="str">
        <f>IF(1&gt;=13,('Testes estatísticos'!$D$18+'Testes estatísticos'!$D$6)/2,"")</f>
        <v/>
      </c>
      <c r="C191" s="7" t="str">
        <f>IF(2&gt;=13,('Testes estatísticos'!$D$18+'Testes estatísticos'!$D$7)/2,"")</f>
        <v/>
      </c>
      <c r="D191" s="7" t="str">
        <f>IF(3&gt;=13,('Testes estatísticos'!$D$18+'Testes estatísticos'!$D$8)/2,"")</f>
        <v/>
      </c>
      <c r="E191" s="7" t="str">
        <f>IF(4&gt;=13,('Testes estatísticos'!$D$18+'Testes estatísticos'!$D$9)/2,"")</f>
        <v/>
      </c>
      <c r="F191" s="7" t="str">
        <f>IF(5&gt;=13,('Testes estatísticos'!$D$18+'Testes estatísticos'!$D$10)/2,"")</f>
        <v/>
      </c>
      <c r="G191" s="7" t="str">
        <f>IF(6&gt;=13,('Testes estatísticos'!$D$18+'Testes estatísticos'!$D$11)/2,"")</f>
        <v/>
      </c>
      <c r="H191" s="7" t="str">
        <f>IF(7&gt;=13,('Testes estatísticos'!$D$18+'Testes estatísticos'!$D$12)/2,"")</f>
        <v/>
      </c>
      <c r="I191" s="7" t="str">
        <f>IF(8&gt;=13,('Testes estatísticos'!$D$18+'Testes estatísticos'!$D$13)/2,"")</f>
        <v/>
      </c>
      <c r="J191" s="7" t="str">
        <f>IF(9&gt;=13,('Testes estatísticos'!$D$18+'Testes estatísticos'!$D$14)/2,"")</f>
        <v/>
      </c>
      <c r="K191" s="7" t="str">
        <f>IF(10&gt;=13,('Testes estatísticos'!$D$18+'Testes estatísticos'!$D$15)/2,"")</f>
        <v/>
      </c>
      <c r="L191" s="7" t="str">
        <f>IF(11&gt;=13,('Testes estatísticos'!$D$18+'Testes estatísticos'!$D$16)/2,"")</f>
        <v/>
      </c>
      <c r="M191" s="7" t="str">
        <f>IF(12&gt;=13,('Testes estatísticos'!$D$18+'Testes estatísticos'!$D$17)/2,"")</f>
        <v/>
      </c>
      <c r="N191" s="7">
        <f>IF(13&gt;=13,('Testes estatísticos'!$D$18+'Testes estatísticos'!$D$18)/2,"")</f>
        <v>3.4111929999999973</v>
      </c>
      <c r="O191" s="7">
        <f>IF(14&gt;=13,('Testes estatísticos'!$D$18+'Testes estatísticos'!$D$19)/2,"")</f>
        <v>2.0688999999999993</v>
      </c>
      <c r="P191" s="7">
        <f>IF(15&gt;=13,('Testes estatísticos'!$D$18+'Testes estatísticos'!$D$20)/2,"")</f>
        <v>3.4886035</v>
      </c>
      <c r="Q191" s="7">
        <f>IF(16&gt;=13,('Testes estatísticos'!$D$18+'Testes estatísticos'!$D$21)/2,"")</f>
        <v>-3.8112310000000029</v>
      </c>
      <c r="R191" s="7">
        <f>IF(17&gt;=13,('Testes estatísticos'!$D$18+'Testes estatísticos'!$D$22)/2,"")</f>
        <v>-0.3498870000000025</v>
      </c>
      <c r="S191" s="7">
        <f>IF(18&gt;=13,('Testes estatísticos'!$D$18+'Testes estatísticos'!$D$23)/2,"")</f>
        <v>-1.4240005000000018</v>
      </c>
      <c r="T191" s="7">
        <f>IF(19&gt;=13,('Testes estatísticos'!$D$18+'Testes estatísticos'!$D$24)/2,"")</f>
        <v>-1.0255595000000035</v>
      </c>
      <c r="U191" s="7">
        <f>IF(20&gt;=13,('Testes estatísticos'!$D$18+'Testes estatísticos'!$D$25)/2,"")</f>
        <v>-1.9709274999999984</v>
      </c>
      <c r="V191" s="7">
        <f>IF(21&gt;=13,('Testes estatísticos'!$D$18+'Testes estatísticos'!$D$26)/2,"")</f>
        <v>-0.11224250000000069</v>
      </c>
      <c r="W191" s="7">
        <f>IF(22&gt;=13,('Testes estatísticos'!$D$18+'Testes estatísticos'!$D$27)/2,"")</f>
        <v>-0.14847200000000171</v>
      </c>
      <c r="X191" s="7">
        <f>IF(23&gt;=13,('Testes estatísticos'!$D$18+'Testes estatísticos'!$D$28)/2,"")</f>
        <v>-0.27134949999999947</v>
      </c>
      <c r="Y191" s="7">
        <f>IF(24&gt;=13,('Testes estatísticos'!$D$18+'Testes estatísticos'!$D$29)/2,"")</f>
        <v>0.2918309999999984</v>
      </c>
      <c r="Z191" s="7">
        <f>IF(25&gt;=13,('Testes estatísticos'!$D$18+'Testes estatísticos'!$D$30)/2,"")</f>
        <v>0.60539399999999688</v>
      </c>
      <c r="AA191" s="7">
        <f>IF(26&gt;=13,('Testes estatísticos'!$D$18+'Testes estatísticos'!$D$31)/2,"")</f>
        <v>0.60886449999999925</v>
      </c>
      <c r="AB191" s="7">
        <f>IF(27&gt;=13,('Testes estatísticos'!$D$18+'Testes estatísticos'!$D$32)/2,"")</f>
        <v>0.5042554999999993</v>
      </c>
      <c r="AC191" s="7">
        <f>IF(28&gt;=13,('Testes estatísticos'!$D$18+'Testes estatísticos'!$D$33)/2,"")</f>
        <v>0.56396999999999764</v>
      </c>
      <c r="AD191" s="7">
        <f>IF(29&gt;=13,('Testes estatísticos'!$D$18+'Testes estatísticos'!$D$34)/2,"")</f>
        <v>1.2932319999999962</v>
      </c>
      <c r="AE191" s="7">
        <f>IF(30&gt;=13,('Testes estatísticos'!$D$18+'Testes estatísticos'!$D$35)/2,"")</f>
        <v>-2.0314000000002608E-2</v>
      </c>
      <c r="AF191" s="7">
        <f>IF(31&gt;=13,('Testes estatísticos'!$D$18+'Testes estatísticos'!$D$36)/2,"")</f>
        <v>-0.3627085000000001</v>
      </c>
      <c r="AG191" s="7">
        <f>IF(32&gt;=13,('Testes estatísticos'!$D$18+'Testes estatísticos'!$D$37)/2,"")</f>
        <v>0.74091199999999802</v>
      </c>
      <c r="AH191" s="7">
        <f>IF(33&gt;=13,('Testes estatísticos'!$D$18+'Testes estatísticos'!$D$38)/2,"")</f>
        <v>0.57537249999999673</v>
      </c>
      <c r="AI191" s="7">
        <f>IF(34&gt;=13,('Testes estatísticos'!$D$18+'Testes estatísticos'!$D$39)/2,"")</f>
        <v>3.3919184999999992</v>
      </c>
      <c r="AJ191" s="7">
        <f>IF(35&gt;=13,('Testes estatísticos'!$D$18+'Testes estatísticos'!$D$40)/2,"")</f>
        <v>0.65042049999999918</v>
      </c>
      <c r="AK191" s="7">
        <f>IF(36&gt;=13,('Testes estatísticos'!$D$18+'Testes estatísticos'!$D$41)/2,"")</f>
        <v>2.9183649999999979</v>
      </c>
      <c r="AL191" s="7">
        <f>IF(37&gt;=13,('Testes estatísticos'!$D$18+'Testes estatísticos'!$D$42)/2,"")</f>
        <v>0.63980399999999804</v>
      </c>
      <c r="AM191" s="7">
        <f>IF(38&gt;=13,('Testes estatísticos'!$D$18+'Testes estatísticos'!$D$43)/2,"")</f>
        <v>0.65266349999999917</v>
      </c>
      <c r="AN191" s="7">
        <f>IF(39&gt;=13,('Testes estatísticos'!$D$18+'Testes estatísticos'!$D$44)/2,"")</f>
        <v>-0.48433050000000222</v>
      </c>
      <c r="AO191" s="7">
        <f>IF(40&gt;=13,('Testes estatísticos'!$D$18+'Testes estatísticos'!$D$45)/2,"")</f>
        <v>3.4905959999999965</v>
      </c>
      <c r="AP191" s="7">
        <f>IF(41&gt;=13,('Testes estatísticos'!$D$18+'Testes estatísticos'!$D$46)/2,"")</f>
        <v>0.98465649999999982</v>
      </c>
      <c r="AQ191" s="7">
        <f>IF(42&gt;=13,('Testes estatísticos'!$D$18+'Testes estatísticos'!$D$47)/2,"")</f>
        <v>2.1270154999999988</v>
      </c>
      <c r="AR191" s="7">
        <f>IF(43&gt;=13,('Testes estatísticos'!$D$18+'Testes estatísticos'!$D$48)/2,"")</f>
        <v>1.0781014999999989</v>
      </c>
      <c r="AS191" s="7">
        <f>IF(44&gt;=13,('Testes estatísticos'!$D$18+'Testes estatísticos'!$D$49)/2,"")</f>
        <v>0.54697849999999804</v>
      </c>
      <c r="AT191" s="7">
        <f>IF(45&gt;=13,('Testes estatísticos'!$D$18+'Testes estatísticos'!$D$50)/2,"")</f>
        <v>1.3760569999999994</v>
      </c>
      <c r="AU191" s="7">
        <f>IF(46&gt;=13,('Testes estatísticos'!$D$18+'Testes estatísticos'!$D$51)/2,"")</f>
        <v>-1.6551390000000019</v>
      </c>
      <c r="AV191" s="7">
        <f>IF(47&gt;=13,('Testes estatísticos'!$D$18+'Testes estatísticos'!$D$52)/2,"")</f>
        <v>3.4150339999999986</v>
      </c>
      <c r="AW191" s="7">
        <f>IF(48&gt;=13,('Testes estatísticos'!$D$18+'Testes estatísticos'!$D$53)/2,"")</f>
        <v>-1.0209970000000013</v>
      </c>
      <c r="AX191" s="7">
        <f>IF(49&gt;=13,('Testes estatísticos'!$D$18+'Testes estatísticos'!$D$54)/2,"")</f>
        <v>0.23879349999999988</v>
      </c>
      <c r="AY191" s="7">
        <f>IF(50&gt;=13,('Testes estatísticos'!$D$18+'Testes estatísticos'!$D$55)/2,"")</f>
        <v>1.8639580000000002</v>
      </c>
      <c r="AZ191" s="7">
        <f>IF(51&gt;=13,('Testes estatísticos'!$D$18+'Testes estatísticos'!$D$56)/2,"")</f>
        <v>1.9084274999999984</v>
      </c>
      <c r="BA191" s="7">
        <f>IF(52&gt;=13,('Testes estatísticos'!$D$18+'Testes estatísticos'!$D$57)/2,"")</f>
        <v>-1.4997885000000011</v>
      </c>
      <c r="BB191" s="7">
        <f>IF(53&gt;=13,('Testes estatísticos'!$D$18+'Testes estatísticos'!$D$58)/2,"")</f>
        <v>1.9089740000000006</v>
      </c>
      <c r="BC191" s="7">
        <f>IF(54&gt;=13,('Testes estatísticos'!$D$18+'Testes estatísticos'!$D$59)/2,"")</f>
        <v>0.9893314999999987</v>
      </c>
      <c r="BD191" s="7">
        <f>IF(55&gt;=13,('Testes estatísticos'!$D$18+'Testes estatísticos'!$D$60)/2,"")</f>
        <v>4.0850024999999981</v>
      </c>
      <c r="BE191" s="7">
        <f>IF(56&gt;=13,('Testes estatísticos'!$D$18+'Testes estatísticos'!$D$61)/2,"")</f>
        <v>1.4550340000000013</v>
      </c>
      <c r="BF191" s="7">
        <f>IF(57&gt;=13,('Testes estatísticos'!$D$18+'Testes estatísticos'!$D$62)/2,"")</f>
        <v>-1.9451560000000043</v>
      </c>
      <c r="BG191" s="7">
        <f>IF(58&gt;=13,('Testes estatísticos'!$D$18+'Testes estatísticos'!$D$63)/2,"")</f>
        <v>3.3207389999999997</v>
      </c>
      <c r="BH191" s="7">
        <f>IF(59&gt;=13,('Testes estatísticos'!$D$18+'Testes estatísticos'!$D$64)/2,"")</f>
        <v>-2.5228735000000029</v>
      </c>
      <c r="BI191" s="7">
        <f>IF(60&gt;=13,('Testes estatísticos'!$D$18+'Testes estatísticos'!$D$65)/2,"")</f>
        <v>-0.77528249999999943</v>
      </c>
      <c r="BJ191" s="7">
        <f>IF(61&gt;=13,('Testes estatísticos'!$D$18+'Testes estatísticos'!$D$66)/2,"")</f>
        <v>1.8597724999999983</v>
      </c>
      <c r="BK191" s="7">
        <f>IF(62&gt;=13,('Testes estatísticos'!$D$18+'Testes estatísticos'!$D$67)/2,"")</f>
        <v>1.3509774999999991</v>
      </c>
      <c r="BL191" s="7">
        <f>IF(63&gt;=13,('Testes estatísticos'!$D$18+'Testes estatísticos'!$D$68)/2,"")</f>
        <v>2.2502919999999982</v>
      </c>
      <c r="BM191" s="7">
        <f>IF(64&gt;=13,('Testes estatísticos'!$D$18+'Testes estatísticos'!$D$69)/2,"")</f>
        <v>2.3011339999999976</v>
      </c>
      <c r="BN191" s="7">
        <f>IF(65&gt;=13,('Testes estatísticos'!$D$18+'Testes estatísticos'!$D$70)/2,"")</f>
        <v>0.15532749999999851</v>
      </c>
      <c r="BO191" s="7">
        <f>IF(66&gt;=13,('Testes estatísticos'!$D$18+'Testes estatísticos'!$D$71)/2,"")</f>
        <v>1.0511799999999987</v>
      </c>
      <c r="BP191" s="7">
        <f>IF(67&gt;=13,('Testes estatísticos'!$D$18+'Testes estatísticos'!$D$72)/2,"")</f>
        <v>-1.8392790000000012</v>
      </c>
      <c r="BQ191" s="7">
        <f>IF(68&gt;=13,('Testes estatísticos'!$D$18+'Testes estatísticos'!$D$73)/2,"")</f>
        <v>2.823953999999997</v>
      </c>
      <c r="BR191" s="7">
        <f>IF(69&gt;=13,('Testes estatísticos'!$D$18+'Testes estatísticos'!$D$74)/2,"")</f>
        <v>3.4561359999999972</v>
      </c>
      <c r="BS191" s="7">
        <f>IF(70&gt;=13,('Testes estatísticos'!$D$18+'Testes estatísticos'!$D$75)/2,"")</f>
        <v>2.4516714999999962</v>
      </c>
      <c r="BT191" s="7">
        <f>IF(71&gt;=13,('Testes estatísticos'!$D$18+'Testes estatísticos'!$D$76)/2,"")</f>
        <v>4.0260364999999965</v>
      </c>
      <c r="BU191" s="7">
        <f>IF(72&gt;=13,('Testes estatísticos'!$D$18+'Testes estatísticos'!$D$77)/2,"")</f>
        <v>-1.5736605000000026</v>
      </c>
      <c r="BV191" s="7">
        <f>IF(73&gt;=13,('Testes estatísticos'!$D$18+'Testes estatísticos'!$D$78)/2,"")</f>
        <v>0.49981399999999709</v>
      </c>
      <c r="BW191" s="7">
        <f>IF(74&gt;=13,('Testes estatísticos'!$D$18+'Testes estatísticos'!$D$79)/2,"")</f>
        <v>-0.18350450000000151</v>
      </c>
      <c r="BX191" s="7">
        <f>IF(75&gt;=13,('Testes estatísticos'!$D$18+'Testes estatísticos'!$D$80)/2,"")</f>
        <v>-0.2052825000000027</v>
      </c>
      <c r="BY191" s="7">
        <f>IF(76&gt;=13,('Testes estatísticos'!$D$18+'Testes estatísticos'!$D$81)/2,"")</f>
        <v>3.9261754999999994</v>
      </c>
      <c r="BZ191" s="7">
        <f>IF(77&gt;=13,('Testes estatísticos'!$D$18+'Testes estatísticos'!$D$82)/2,"")</f>
        <v>-1.3354140000000001</v>
      </c>
      <c r="CA191" s="7">
        <f>IF(78&gt;=13,('Testes estatísticos'!$D$18+'Testes estatísticos'!$D$83)/2,"")</f>
        <v>0.42484500000000125</v>
      </c>
      <c r="CB191" s="7">
        <f>IF(79&gt;=13,('Testes estatísticos'!$D$18+'Testes estatísticos'!$D$84)/2,"")</f>
        <v>0.47656749999999803</v>
      </c>
      <c r="CC191" s="7">
        <f>IF(80&gt;=13,('Testes estatísticos'!$D$18+'Testes estatísticos'!$D$85)/2,"")</f>
        <v>-1.3304490000000015</v>
      </c>
      <c r="CD191" s="7">
        <f>IF(81&gt;=13,('Testes estatísticos'!$D$18+'Testes estatísticos'!$D$86)/2,"")</f>
        <v>-1.3805940000000021</v>
      </c>
      <c r="CE191" s="7">
        <f>IF(82&gt;=13,('Testes estatísticos'!$D$18+'Testes estatísticos'!$D$87)/2,"")</f>
        <v>0.69719649999999689</v>
      </c>
      <c r="CF191" s="7">
        <f>IF(83&gt;=13,('Testes estatísticos'!$D$18+'Testes estatísticos'!$D$88)/2,"")</f>
        <v>0.16838949999999642</v>
      </c>
      <c r="CG191" s="7">
        <f>IF(84&gt;=13,('Testes estatísticos'!$D$18+'Testes estatísticos'!$D$89)/2,"")</f>
        <v>-0.16351750000000109</v>
      </c>
      <c r="CH191" s="7">
        <f>IF(85&gt;=13,('Testes estatísticos'!$D$18+'Testes estatísticos'!$D$90)/2,"")</f>
        <v>1.6520294999999976</v>
      </c>
      <c r="CI191" s="7">
        <f>IF(86&gt;=13,('Testes estatísticos'!$D$18+'Testes estatísticos'!$D$91)/2,"")</f>
        <v>-1.0381299999999989</v>
      </c>
      <c r="CJ191" s="7">
        <f>IF(87&gt;=13,('Testes estatísticos'!$D$18+'Testes estatísticos'!$D$92)/2,"")</f>
        <v>0.20407649999999933</v>
      </c>
      <c r="CK191" s="7">
        <f>IF(88&gt;=13,('Testes estatísticos'!$D$18+'Testes estatísticos'!$D$93)/2,"")</f>
        <v>0.44815999999999789</v>
      </c>
      <c r="CL191" s="7">
        <f>IF(89&gt;=13,('Testes estatísticos'!$D$18+'Testes estatísticos'!$D$94)/2,"")</f>
        <v>-0.1634320000000038</v>
      </c>
      <c r="CM191" s="7">
        <f>IF(90&gt;=13,('Testes estatísticos'!$D$18+'Testes estatísticos'!$D$95)/2,"")</f>
        <v>-2.4975640000000006</v>
      </c>
      <c r="CN191" s="7">
        <f>IF(91&gt;=13,('Testes estatísticos'!$D$18+'Testes estatísticos'!$D$96)/2,"")</f>
        <v>4.0959000000000856E-2</v>
      </c>
      <c r="CO191" s="7">
        <f>IF(92&gt;=13,('Testes estatísticos'!$D$18+'Testes estatísticos'!$D$97)/2,"")</f>
        <v>-0.30554449999999989</v>
      </c>
      <c r="CP191" s="7">
        <f>IF(93&gt;=13,('Testes estatísticos'!$D$18+'Testes estatísticos'!$D$98)/2,"")</f>
        <v>-0.51029649999999904</v>
      </c>
      <c r="CQ191" s="7">
        <f>IF(94&gt;=13,('Testes estatísticos'!$D$18+'Testes estatísticos'!$D$99)/2,"")</f>
        <v>1.6708614999999973</v>
      </c>
      <c r="CR191" s="7">
        <f>IF(95&gt;=13,('Testes estatísticos'!$D$18+'Testes estatísticos'!$D$100)/2,"")</f>
        <v>-0.23493150000000185</v>
      </c>
      <c r="CS191" s="7">
        <f>IF(96&gt;=13,('Testes estatísticos'!$D$18+'Testes estatísticos'!$D$101)/2,"")</f>
        <v>-0.19094450000000407</v>
      </c>
      <c r="CT191" s="7">
        <f>IF(97&gt;=13,('Testes estatísticos'!$D$18+'Testes estatísticos'!$D$102)/2,"")</f>
        <v>4.2105999999996868E-2</v>
      </c>
      <c r="CU191" s="7">
        <f>IF(98&gt;=13,('Testes estatísticos'!$D$18+'Testes estatísticos'!$D$103)/2,"")</f>
        <v>9.9432000000000187E-2</v>
      </c>
      <c r="CV191" s="7">
        <f>IF(99&gt;=13,('Testes estatísticos'!$D$18+'Testes estatísticos'!$D$104)/2,"")</f>
        <v>-0.33539400000000086</v>
      </c>
      <c r="CW191" s="7">
        <f>IF(100&gt;=13,('Testes estatísticos'!$D$18+'Testes estatísticos'!$D$105)/2,"")</f>
        <v>-0.43486000000000047</v>
      </c>
      <c r="CX191" s="7">
        <f>IF(101&gt;=13,('Testes estatísticos'!$D$18+'Testes estatísticos'!$D$106)/2,"")</f>
        <v>8.8066500000000048E-2</v>
      </c>
      <c r="CY191" s="7">
        <f>IF(102&gt;=13,('Testes estatísticos'!$D$18+'Testes estatísticos'!$D$107)/2,"")</f>
        <v>3.2401499999998862E-2</v>
      </c>
      <c r="CZ191" s="7">
        <f>IF(103&gt;=13,('Testes estatísticos'!$D$18+'Testes estatísticos'!$D$108)/2,"")</f>
        <v>-0.4917650000000009</v>
      </c>
      <c r="DA191" s="7">
        <f>IF(104&gt;=13,('Testes estatísticos'!$D$18+'Testes estatísticos'!$D$109)/2,"")</f>
        <v>-0.22913099999999886</v>
      </c>
      <c r="DB191" s="7">
        <f>IF(105&gt;=13,('Testes estatísticos'!$D$18+'Testes estatísticos'!$D$110)/2,"")</f>
        <v>-0.19480000000000075</v>
      </c>
      <c r="DC191" s="7">
        <f>IF(106&gt;=13,('Testes estatísticos'!$D$18+'Testes estatísticos'!$D$111)/2,"")</f>
        <v>0.5481209999999983</v>
      </c>
      <c r="DD191" s="7">
        <f>IF(107&gt;=13,('Testes estatísticos'!$D$18+'Testes estatísticos'!$D$112)/2,"")</f>
        <v>4.0412919999999986</v>
      </c>
      <c r="DE191" s="7">
        <f>IF(108&gt;=13,('Testes estatísticos'!$D$18+'Testes estatísticos'!$D$113)/2,"")</f>
        <v>0.61865650000000016</v>
      </c>
      <c r="DF191" s="7">
        <f>IF(109&gt;=13,('Testes estatísticos'!$D$18+'Testes estatísticos'!$D$114)/2,"")</f>
        <v>0.58239950000000107</v>
      </c>
      <c r="DG191" s="7">
        <f>IF(110&gt;=13,('Testes estatísticos'!$D$18+'Testes estatísticos'!$D$115)/2,"")</f>
        <v>-4.9647400000000026</v>
      </c>
      <c r="DH191" s="7">
        <f>IF(111&gt;=13,('Testes estatísticos'!$D$18+'Testes estatísticos'!$D$116)/2,"")</f>
        <v>0.71609049999999996</v>
      </c>
      <c r="DI191" s="7">
        <f>IF(112&gt;=13,('Testes estatísticos'!$D$18+'Testes estatísticos'!$D$117)/2,"")</f>
        <v>6.1445304999999983</v>
      </c>
      <c r="DJ191" s="7">
        <f>IF(113&gt;=13,('Testes estatísticos'!$D$18+'Testes estatísticos'!$D$118)/2,"")</f>
        <v>0.68797349999999824</v>
      </c>
      <c r="DK191" s="7">
        <f>IF(114&gt;=13,('Testes estatísticos'!$D$18+'Testes estatísticos'!$D$119)/2,"")</f>
        <v>0.58622349999999912</v>
      </c>
      <c r="DL191" s="7">
        <f>IF(115&gt;=13,('Testes estatísticos'!$D$18+'Testes estatísticos'!$D$120)/2,"")</f>
        <v>0.63270100000000085</v>
      </c>
      <c r="DM191" s="7">
        <f>IF(116&gt;=13,('Testes estatísticos'!$D$18+'Testes estatísticos'!$D$121)/2,"")</f>
        <v>0.64130349999999936</v>
      </c>
      <c r="DN191" s="7">
        <f>IF(117&gt;=13,('Testes estatísticos'!$D$18+'Testes estatísticos'!$D$122)/2,"")</f>
        <v>0.66437149999999789</v>
      </c>
      <c r="DO191" s="7">
        <f>IF(118&gt;=13,('Testes estatísticos'!$D$18+'Testes estatísticos'!$D$123)/2,"")</f>
        <v>0.7142819999999972</v>
      </c>
      <c r="DP191" s="7">
        <f>IF(119&gt;=13,('Testes estatísticos'!$D$18+'Testes estatísticos'!$D$124)/2,"")</f>
        <v>0.69307049999999748</v>
      </c>
      <c r="DQ191" s="7">
        <f>IF(120&gt;=13,('Testes estatísticos'!$D$18+'Testes estatísticos'!$D$125)/2,"")</f>
        <v>3.7446850000000005</v>
      </c>
      <c r="DR191" s="7">
        <f>IF(121&gt;=13,('Testes estatísticos'!$D$18+'Testes estatísticos'!$D$126)/2,"")</f>
        <v>0.95566849999999803</v>
      </c>
      <c r="DS191" s="7">
        <f>IF(122&gt;=13,('Testes estatísticos'!$D$18+'Testes estatísticos'!$D$127)/2,"")</f>
        <v>-0.10973999999999862</v>
      </c>
      <c r="DT191" s="7">
        <f>IF(123&gt;=13,('Testes estatísticos'!$D$18+'Testes estatísticos'!$D$128)/2,"")</f>
        <v>5.959129499999996</v>
      </c>
      <c r="DU191" s="7">
        <f>IF(124&gt;=13,('Testes estatísticos'!$D$18+'Testes estatísticos'!$D$129)/2,"")</f>
        <v>1.0633579999999974</v>
      </c>
      <c r="DV191" s="7">
        <f>IF(125&gt;=13,('Testes estatísticos'!$D$18+'Testes estatísticos'!$D$130)/2,"")</f>
        <v>2.2216654999999967</v>
      </c>
      <c r="DW191" s="7">
        <f>IF(126&gt;=13,('Testes estatísticos'!$D$18+'Testes estatísticos'!$D$131)/2,"")</f>
        <v>-0.18181050000000099</v>
      </c>
      <c r="DX191" s="7">
        <f>IF(127&gt;=13,('Testes estatísticos'!$D$18+'Testes estatísticos'!$D$132)/2,"")</f>
        <v>-2.2380020000000016</v>
      </c>
      <c r="DY191" s="7">
        <f>IF(128&gt;=13,('Testes estatísticos'!$D$18+'Testes estatísticos'!$D$133)/2,"")</f>
        <v>-2.5790915000000005</v>
      </c>
      <c r="DZ191" s="7">
        <f>IF(129&gt;=13,('Testes estatísticos'!$D$18+'Testes estatísticos'!$D$134)/2,"")</f>
        <v>-6.0028815000000009</v>
      </c>
      <c r="EA191" s="7">
        <f>IF(130&gt;=13,('Testes estatísticos'!$D$18+'Testes estatísticos'!$D$135)/2,"")</f>
        <v>-0.24111149999999881</v>
      </c>
      <c r="EB191" s="7">
        <f>IF(131&gt;=13,('Testes estatísticos'!$D$18+'Testes estatísticos'!$D$136)/2,"")</f>
        <v>-0.15323850000000405</v>
      </c>
      <c r="EC191" s="7">
        <f>IF(132&gt;=13,('Testes estatísticos'!$D$18+'Testes estatísticos'!$D$137)/2,"")</f>
        <v>-1.6399750000000033</v>
      </c>
      <c r="ED191" s="7">
        <f>IF(133&gt;=13,('Testes estatísticos'!$D$18+'Testes estatísticos'!$D$138)/2,"")</f>
        <v>0.54896249999999824</v>
      </c>
      <c r="EE191" s="7">
        <f>IF(134&gt;=13,('Testes estatísticos'!$D$18+'Testes estatísticos'!$D$139)/2,"")</f>
        <v>-1.7482280000000046</v>
      </c>
      <c r="EF191" s="7">
        <f>IF(135&gt;=13,('Testes estatísticos'!$D$18+'Testes estatísticos'!$D$140)/2,"")</f>
        <v>1.4662044999999999</v>
      </c>
      <c r="EG191" s="7">
        <f>IF(136&gt;=13,('Testes estatísticos'!$D$18+'Testes estatísticos'!$D$141)/2,"")</f>
        <v>-0.22728550000000425</v>
      </c>
      <c r="EH191" s="7">
        <f>IF(137&gt;=13,('Testes estatísticos'!$D$18+'Testes estatísticos'!$D$142)/2,"")</f>
        <v>1.4774544999999968</v>
      </c>
      <c r="EI191" s="7">
        <f>IF(138&gt;=13,('Testes estatísticos'!$D$18+'Testes estatísticos'!$D$143)/2,"")</f>
        <v>-0.18756099999999876</v>
      </c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</row>
    <row r="192" spans="1:151" x14ac:dyDescent="0.3">
      <c r="B192" s="7" t="str">
        <f>IF(1&gt;=14,('Testes estatísticos'!$D$19+'Testes estatísticos'!$D$6)/2,"")</f>
        <v/>
      </c>
      <c r="C192" s="7" t="str">
        <f>IF(2&gt;=14,('Testes estatísticos'!$D$19+'Testes estatísticos'!$D$7)/2,"")</f>
        <v/>
      </c>
      <c r="D192" s="7" t="str">
        <f>IF(3&gt;=14,('Testes estatísticos'!$D$19+'Testes estatísticos'!$D$8)/2,"")</f>
        <v/>
      </c>
      <c r="E192" s="7" t="str">
        <f>IF(4&gt;=14,('Testes estatísticos'!$D$19+'Testes estatísticos'!$D$9)/2,"")</f>
        <v/>
      </c>
      <c r="F192" s="7" t="str">
        <f>IF(5&gt;=14,('Testes estatísticos'!$D$19+'Testes estatísticos'!$D$10)/2,"")</f>
        <v/>
      </c>
      <c r="G192" s="7" t="str">
        <f>IF(6&gt;=14,('Testes estatísticos'!$D$19+'Testes estatísticos'!$D$11)/2,"")</f>
        <v/>
      </c>
      <c r="H192" s="7" t="str">
        <f>IF(7&gt;=14,('Testes estatísticos'!$D$19+'Testes estatísticos'!$D$12)/2,"")</f>
        <v/>
      </c>
      <c r="I192" s="7" t="str">
        <f>IF(8&gt;=14,('Testes estatísticos'!$D$19+'Testes estatísticos'!$D$13)/2,"")</f>
        <v/>
      </c>
      <c r="J192" s="7" t="str">
        <f>IF(9&gt;=14,('Testes estatísticos'!$D$19+'Testes estatísticos'!$D$14)/2,"")</f>
        <v/>
      </c>
      <c r="K192" s="7" t="str">
        <f>IF(10&gt;=14,('Testes estatísticos'!$D$19+'Testes estatísticos'!$D$15)/2,"")</f>
        <v/>
      </c>
      <c r="L192" s="7" t="str">
        <f>IF(11&gt;=14,('Testes estatísticos'!$D$19+'Testes estatísticos'!$D$16)/2,"")</f>
        <v/>
      </c>
      <c r="M192" s="7" t="str">
        <f>IF(12&gt;=14,('Testes estatísticos'!$D$19+'Testes estatísticos'!$D$17)/2,"")</f>
        <v/>
      </c>
      <c r="N192" s="7" t="str">
        <f>IF(13&gt;=14,('Testes estatísticos'!$D$19+'Testes estatísticos'!$D$18)/2,"")</f>
        <v/>
      </c>
      <c r="O192" s="7">
        <f>IF(14&gt;=14,('Testes estatísticos'!$D$19+'Testes estatísticos'!$D$19)/2,"")</f>
        <v>0.72660700000000134</v>
      </c>
      <c r="P192" s="7">
        <f>IF(15&gt;=14,('Testes estatísticos'!$D$19+'Testes estatísticos'!$D$20)/2,"")</f>
        <v>2.146310500000002</v>
      </c>
      <c r="Q192" s="7">
        <f>IF(16&gt;=14,('Testes estatísticos'!$D$19+'Testes estatísticos'!$D$21)/2,"")</f>
        <v>-5.1535240000000009</v>
      </c>
      <c r="R192" s="7">
        <f>IF(17&gt;=14,('Testes estatísticos'!$D$19+'Testes estatísticos'!$D$22)/2,"")</f>
        <v>-1.6921800000000005</v>
      </c>
      <c r="S192" s="7">
        <f>IF(18&gt;=14,('Testes estatísticos'!$D$19+'Testes estatísticos'!$D$23)/2,"")</f>
        <v>-2.7662934999999997</v>
      </c>
      <c r="T192" s="7">
        <f>IF(19&gt;=14,('Testes estatísticos'!$D$19+'Testes estatísticos'!$D$24)/2,"")</f>
        <v>-2.3678525000000015</v>
      </c>
      <c r="U192" s="7">
        <f>IF(20&gt;=14,('Testes estatísticos'!$D$19+'Testes estatísticos'!$D$25)/2,"")</f>
        <v>-3.3132204999999963</v>
      </c>
      <c r="V192" s="7">
        <f>IF(21&gt;=14,('Testes estatísticos'!$D$19+'Testes estatísticos'!$D$26)/2,"")</f>
        <v>-1.4545354999999986</v>
      </c>
      <c r="W192" s="7">
        <f>IF(22&gt;=14,('Testes estatísticos'!$D$19+'Testes estatísticos'!$D$27)/2,"")</f>
        <v>-1.4907649999999997</v>
      </c>
      <c r="X192" s="7">
        <f>IF(23&gt;=14,('Testes estatísticos'!$D$19+'Testes estatísticos'!$D$28)/2,"")</f>
        <v>-1.6136424999999974</v>
      </c>
      <c r="Y192" s="7">
        <f>IF(24&gt;=14,('Testes estatísticos'!$D$19+'Testes estatísticos'!$D$29)/2,"")</f>
        <v>-1.0504619999999996</v>
      </c>
      <c r="Z192" s="7">
        <f>IF(25&gt;=14,('Testes estatísticos'!$D$19+'Testes estatísticos'!$D$30)/2,"")</f>
        <v>-0.73689900000000108</v>
      </c>
      <c r="AA192" s="7">
        <f>IF(26&gt;=14,('Testes estatísticos'!$D$19+'Testes estatísticos'!$D$31)/2,"")</f>
        <v>-0.73342849999999871</v>
      </c>
      <c r="AB192" s="7">
        <f>IF(27&gt;=14,('Testes estatísticos'!$D$19+'Testes estatísticos'!$D$32)/2,"")</f>
        <v>-0.83803749999999866</v>
      </c>
      <c r="AC192" s="7">
        <f>IF(28&gt;=14,('Testes estatísticos'!$D$19+'Testes estatísticos'!$D$33)/2,"")</f>
        <v>-0.77832300000000032</v>
      </c>
      <c r="AD192" s="7">
        <f>IF(29&gt;=14,('Testes estatísticos'!$D$19+'Testes estatísticos'!$D$34)/2,"")</f>
        <v>-4.9061000000001798E-2</v>
      </c>
      <c r="AE192" s="7">
        <f>IF(30&gt;=14,('Testes estatísticos'!$D$19+'Testes estatísticos'!$D$35)/2,"")</f>
        <v>-1.3626070000000006</v>
      </c>
      <c r="AF192" s="7">
        <f>IF(31&gt;=14,('Testes estatísticos'!$D$19+'Testes estatísticos'!$D$36)/2,"")</f>
        <v>-1.7050014999999981</v>
      </c>
      <c r="AG192" s="7">
        <f>IF(32&gt;=14,('Testes estatísticos'!$D$19+'Testes estatísticos'!$D$37)/2,"")</f>
        <v>-0.60138099999999994</v>
      </c>
      <c r="AH192" s="7">
        <f>IF(33&gt;=14,('Testes estatísticos'!$D$19+'Testes estatísticos'!$D$38)/2,"")</f>
        <v>-0.76692050000000123</v>
      </c>
      <c r="AI192" s="7">
        <f>IF(34&gt;=14,('Testes estatísticos'!$D$19+'Testes estatísticos'!$D$39)/2,"")</f>
        <v>2.0496255000000012</v>
      </c>
      <c r="AJ192" s="7">
        <f>IF(35&gt;=14,('Testes estatísticos'!$D$19+'Testes estatísticos'!$D$40)/2,"")</f>
        <v>-0.69187249999999878</v>
      </c>
      <c r="AK192" s="7">
        <f>IF(36&gt;=14,('Testes estatísticos'!$D$19+'Testes estatísticos'!$D$41)/2,"")</f>
        <v>1.5760719999999999</v>
      </c>
      <c r="AL192" s="7">
        <f>IF(37&gt;=14,('Testes estatísticos'!$D$19+'Testes estatísticos'!$D$42)/2,"")</f>
        <v>-0.70248899999999992</v>
      </c>
      <c r="AM192" s="7">
        <f>IF(38&gt;=14,('Testes estatísticos'!$D$19+'Testes estatísticos'!$D$43)/2,"")</f>
        <v>-0.68962949999999879</v>
      </c>
      <c r="AN192" s="7">
        <f>IF(39&gt;=14,('Testes estatísticos'!$D$19+'Testes estatísticos'!$D$44)/2,"")</f>
        <v>-1.8266235000000002</v>
      </c>
      <c r="AO192" s="7">
        <f>IF(40&gt;=14,('Testes estatísticos'!$D$19+'Testes estatísticos'!$D$45)/2,"")</f>
        <v>2.1483029999999985</v>
      </c>
      <c r="AP192" s="7">
        <f>IF(41&gt;=14,('Testes estatísticos'!$D$19+'Testes estatísticos'!$D$46)/2,"")</f>
        <v>-0.35763649999999814</v>
      </c>
      <c r="AQ192" s="7">
        <f>IF(42&gt;=14,('Testes estatísticos'!$D$19+'Testes estatísticos'!$D$47)/2,"")</f>
        <v>0.78472250000000088</v>
      </c>
      <c r="AR192" s="7">
        <f>IF(43&gt;=14,('Testes estatísticos'!$D$19+'Testes estatísticos'!$D$48)/2,"")</f>
        <v>-0.26419149999999902</v>
      </c>
      <c r="AS192" s="7">
        <f>IF(44&gt;=14,('Testes estatísticos'!$D$19+'Testes estatísticos'!$D$49)/2,"")</f>
        <v>-0.79531449999999992</v>
      </c>
      <c r="AT192" s="7">
        <f>IF(45&gt;=14,('Testes estatísticos'!$D$19+'Testes estatísticos'!$D$50)/2,"")</f>
        <v>3.376400000000146E-2</v>
      </c>
      <c r="AU192" s="7">
        <f>IF(46&gt;=14,('Testes estatísticos'!$D$19+'Testes estatísticos'!$D$51)/2,"")</f>
        <v>-2.9974319999999999</v>
      </c>
      <c r="AV192" s="7">
        <f>IF(47&gt;=14,('Testes estatísticos'!$D$19+'Testes estatísticos'!$D$52)/2,"")</f>
        <v>2.0727410000000006</v>
      </c>
      <c r="AW192" s="7">
        <f>IF(48&gt;=14,('Testes estatísticos'!$D$19+'Testes estatísticos'!$D$53)/2,"")</f>
        <v>-2.3632899999999992</v>
      </c>
      <c r="AX192" s="7">
        <f>IF(49&gt;=14,('Testes estatísticos'!$D$19+'Testes estatísticos'!$D$54)/2,"")</f>
        <v>-1.1034994999999981</v>
      </c>
      <c r="AY192" s="7">
        <f>IF(50&gt;=14,('Testes estatísticos'!$D$19+'Testes estatísticos'!$D$55)/2,"")</f>
        <v>0.52166500000000227</v>
      </c>
      <c r="AZ192" s="7">
        <f>IF(51&gt;=14,('Testes estatísticos'!$D$19+'Testes estatísticos'!$D$56)/2,"")</f>
        <v>0.56613450000000043</v>
      </c>
      <c r="BA192" s="7">
        <f>IF(52&gt;=14,('Testes estatísticos'!$D$19+'Testes estatísticos'!$D$57)/2,"")</f>
        <v>-2.842081499999999</v>
      </c>
      <c r="BB192" s="7">
        <f>IF(53&gt;=14,('Testes estatísticos'!$D$19+'Testes estatísticos'!$D$58)/2,"")</f>
        <v>0.56668100000000265</v>
      </c>
      <c r="BC192" s="7">
        <f>IF(54&gt;=14,('Testes estatísticos'!$D$19+'Testes estatísticos'!$D$59)/2,"")</f>
        <v>-0.35296149999999926</v>
      </c>
      <c r="BD192" s="7">
        <f>IF(55&gt;=14,('Testes estatísticos'!$D$19+'Testes estatísticos'!$D$60)/2,"")</f>
        <v>2.7427095000000001</v>
      </c>
      <c r="BE192" s="7">
        <f>IF(56&gt;=14,('Testes estatísticos'!$D$19+'Testes estatísticos'!$D$61)/2,"")</f>
        <v>0.11274100000000331</v>
      </c>
      <c r="BF192" s="7">
        <f>IF(57&gt;=14,('Testes estatísticos'!$D$19+'Testes estatísticos'!$D$62)/2,"")</f>
        <v>-3.2874490000000023</v>
      </c>
      <c r="BG192" s="7">
        <f>IF(58&gt;=14,('Testes estatísticos'!$D$19+'Testes estatísticos'!$D$63)/2,"")</f>
        <v>1.9784460000000017</v>
      </c>
      <c r="BH192" s="7">
        <f>IF(59&gt;=14,('Testes estatísticos'!$D$19+'Testes estatísticos'!$D$64)/2,"")</f>
        <v>-3.8651665000000008</v>
      </c>
      <c r="BI192" s="7">
        <f>IF(60&gt;=14,('Testes estatísticos'!$D$19+'Testes estatísticos'!$D$65)/2,"")</f>
        <v>-2.1175754999999974</v>
      </c>
      <c r="BJ192" s="7">
        <f>IF(61&gt;=14,('Testes estatísticos'!$D$19+'Testes estatísticos'!$D$66)/2,"")</f>
        <v>0.51747950000000031</v>
      </c>
      <c r="BK192" s="7">
        <f>IF(62&gt;=14,('Testes estatísticos'!$D$19+'Testes estatísticos'!$D$67)/2,"")</f>
        <v>8.6845000000010941E-3</v>
      </c>
      <c r="BL192" s="7">
        <f>IF(63&gt;=14,('Testes estatísticos'!$D$19+'Testes estatísticos'!$D$68)/2,"")</f>
        <v>0.90799900000000022</v>
      </c>
      <c r="BM192" s="7">
        <f>IF(64&gt;=14,('Testes estatísticos'!$D$19+'Testes estatísticos'!$D$69)/2,"")</f>
        <v>0.95884099999999961</v>
      </c>
      <c r="BN192" s="7">
        <f>IF(65&gt;=14,('Testes estatísticos'!$D$19+'Testes estatísticos'!$D$70)/2,"")</f>
        <v>-1.1869654999999995</v>
      </c>
      <c r="BO192" s="7">
        <f>IF(66&gt;=14,('Testes estatísticos'!$D$19+'Testes estatísticos'!$D$71)/2,"")</f>
        <v>-0.29111299999999929</v>
      </c>
      <c r="BP192" s="7">
        <f>IF(67&gt;=14,('Testes estatísticos'!$D$19+'Testes estatísticos'!$D$72)/2,"")</f>
        <v>-3.1815719999999992</v>
      </c>
      <c r="BQ192" s="7">
        <f>IF(68&gt;=14,('Testes estatísticos'!$D$19+'Testes estatísticos'!$D$73)/2,"")</f>
        <v>1.481660999999999</v>
      </c>
      <c r="BR192" s="7">
        <f>IF(69&gt;=14,('Testes estatísticos'!$D$19+'Testes estatísticos'!$D$74)/2,"")</f>
        <v>2.1138429999999993</v>
      </c>
      <c r="BS192" s="7">
        <f>IF(70&gt;=14,('Testes estatísticos'!$D$19+'Testes estatísticos'!$D$75)/2,"")</f>
        <v>1.1093784999999983</v>
      </c>
      <c r="BT192" s="7">
        <f>IF(71&gt;=14,('Testes estatísticos'!$D$19+'Testes estatísticos'!$D$76)/2,"")</f>
        <v>2.6837434999999985</v>
      </c>
      <c r="BU192" s="7">
        <f>IF(72&gt;=14,('Testes estatísticos'!$D$19+'Testes estatísticos'!$D$77)/2,"")</f>
        <v>-2.9159535000000005</v>
      </c>
      <c r="BV192" s="7">
        <f>IF(73&gt;=14,('Testes estatísticos'!$D$19+'Testes estatísticos'!$D$78)/2,"")</f>
        <v>-0.84247900000000087</v>
      </c>
      <c r="BW192" s="7">
        <f>IF(74&gt;=14,('Testes estatísticos'!$D$19+'Testes estatísticos'!$D$79)/2,"")</f>
        <v>-1.5257974999999995</v>
      </c>
      <c r="BX192" s="7">
        <f>IF(75&gt;=14,('Testes estatísticos'!$D$19+'Testes estatísticos'!$D$80)/2,"")</f>
        <v>-1.5475755000000007</v>
      </c>
      <c r="BY192" s="7">
        <f>IF(76&gt;=14,('Testes estatísticos'!$D$19+'Testes estatísticos'!$D$81)/2,"")</f>
        <v>2.5838825000000014</v>
      </c>
      <c r="BZ192" s="7">
        <f>IF(77&gt;=14,('Testes estatísticos'!$D$19+'Testes estatísticos'!$D$82)/2,"")</f>
        <v>-2.6777069999999981</v>
      </c>
      <c r="CA192" s="7">
        <f>IF(78&gt;=14,('Testes estatísticos'!$D$19+'Testes estatísticos'!$D$83)/2,"")</f>
        <v>-0.91744799999999671</v>
      </c>
      <c r="CB192" s="7">
        <f>IF(79&gt;=14,('Testes estatísticos'!$D$19+'Testes estatísticos'!$D$84)/2,"")</f>
        <v>-0.86572549999999993</v>
      </c>
      <c r="CC192" s="7">
        <f>IF(80&gt;=14,('Testes estatísticos'!$D$19+'Testes estatísticos'!$D$85)/2,"")</f>
        <v>-2.6727419999999995</v>
      </c>
      <c r="CD192" s="7">
        <f>IF(81&gt;=14,('Testes estatísticos'!$D$19+'Testes estatísticos'!$D$86)/2,"")</f>
        <v>-2.7228870000000001</v>
      </c>
      <c r="CE192" s="7">
        <f>IF(82&gt;=14,('Testes estatísticos'!$D$19+'Testes estatísticos'!$D$87)/2,"")</f>
        <v>-0.64509650000000107</v>
      </c>
      <c r="CF192" s="7">
        <f>IF(83&gt;=14,('Testes estatísticos'!$D$19+'Testes estatísticos'!$D$88)/2,"")</f>
        <v>-1.1739035000000015</v>
      </c>
      <c r="CG192" s="7">
        <f>IF(84&gt;=14,('Testes estatísticos'!$D$19+'Testes estatísticos'!$D$89)/2,"")</f>
        <v>-1.5058104999999991</v>
      </c>
      <c r="CH192" s="7">
        <f>IF(85&gt;=14,('Testes estatísticos'!$D$19+'Testes estatísticos'!$D$90)/2,"")</f>
        <v>0.30973649999999964</v>
      </c>
      <c r="CI192" s="7">
        <f>IF(86&gt;=14,('Testes estatísticos'!$D$19+'Testes estatísticos'!$D$91)/2,"")</f>
        <v>-2.3804229999999968</v>
      </c>
      <c r="CJ192" s="7">
        <f>IF(87&gt;=14,('Testes estatísticos'!$D$19+'Testes estatísticos'!$D$92)/2,"")</f>
        <v>-1.1382164999999986</v>
      </c>
      <c r="CK192" s="7">
        <f>IF(88&gt;=14,('Testes estatísticos'!$D$19+'Testes estatísticos'!$D$93)/2,"")</f>
        <v>-0.89413300000000007</v>
      </c>
      <c r="CL192" s="7">
        <f>IF(89&gt;=14,('Testes estatísticos'!$D$19+'Testes estatísticos'!$D$94)/2,"")</f>
        <v>-1.5057250000000018</v>
      </c>
      <c r="CM192" s="7">
        <f>IF(90&gt;=14,('Testes estatísticos'!$D$19+'Testes estatísticos'!$D$95)/2,"")</f>
        <v>-3.8398569999999985</v>
      </c>
      <c r="CN192" s="7">
        <f>IF(91&gt;=14,('Testes estatísticos'!$D$19+'Testes estatísticos'!$D$96)/2,"")</f>
        <v>-1.3013339999999971</v>
      </c>
      <c r="CO192" s="7">
        <f>IF(92&gt;=14,('Testes estatísticos'!$D$19+'Testes estatísticos'!$D$97)/2,"")</f>
        <v>-1.6478374999999978</v>
      </c>
      <c r="CP192" s="7">
        <f>IF(93&gt;=14,('Testes estatísticos'!$D$19+'Testes estatísticos'!$D$98)/2,"")</f>
        <v>-1.852589499999997</v>
      </c>
      <c r="CQ192" s="7">
        <f>IF(94&gt;=14,('Testes estatísticos'!$D$19+'Testes estatísticos'!$D$99)/2,"")</f>
        <v>0.32856849999999937</v>
      </c>
      <c r="CR192" s="7">
        <f>IF(95&gt;=14,('Testes estatísticos'!$D$19+'Testes estatísticos'!$D$100)/2,"")</f>
        <v>-1.5772244999999998</v>
      </c>
      <c r="CS192" s="7">
        <f>IF(96&gt;=14,('Testes estatísticos'!$D$19+'Testes estatísticos'!$D$101)/2,"")</f>
        <v>-1.533237500000002</v>
      </c>
      <c r="CT192" s="7">
        <f>IF(97&gt;=14,('Testes estatísticos'!$D$19+'Testes estatísticos'!$D$102)/2,"")</f>
        <v>-1.3001870000000011</v>
      </c>
      <c r="CU192" s="7">
        <f>IF(98&gt;=14,('Testes estatísticos'!$D$19+'Testes estatísticos'!$D$103)/2,"")</f>
        <v>-1.2428609999999978</v>
      </c>
      <c r="CV192" s="7">
        <f>IF(99&gt;=14,('Testes estatísticos'!$D$19+'Testes estatísticos'!$D$104)/2,"")</f>
        <v>-1.6776869999999988</v>
      </c>
      <c r="CW192" s="7">
        <f>IF(100&gt;=14,('Testes estatísticos'!$D$19+'Testes estatísticos'!$D$105)/2,"")</f>
        <v>-1.7771529999999984</v>
      </c>
      <c r="CX192" s="7">
        <f>IF(101&gt;=14,('Testes estatísticos'!$D$19+'Testes estatísticos'!$D$106)/2,"")</f>
        <v>-1.2542264999999979</v>
      </c>
      <c r="CY192" s="7">
        <f>IF(102&gt;=14,('Testes estatísticos'!$D$19+'Testes estatísticos'!$D$107)/2,"")</f>
        <v>-1.3098914999999991</v>
      </c>
      <c r="CZ192" s="7">
        <f>IF(103&gt;=14,('Testes estatísticos'!$D$19+'Testes estatísticos'!$D$108)/2,"")</f>
        <v>-1.8340579999999989</v>
      </c>
      <c r="DA192" s="7">
        <f>IF(104&gt;=14,('Testes estatísticos'!$D$19+'Testes estatísticos'!$D$109)/2,"")</f>
        <v>-1.5714239999999968</v>
      </c>
      <c r="DB192" s="7">
        <f>IF(105&gt;=14,('Testes estatísticos'!$D$19+'Testes estatísticos'!$D$110)/2,"")</f>
        <v>-1.5370929999999987</v>
      </c>
      <c r="DC192" s="7">
        <f>IF(106&gt;=14,('Testes estatísticos'!$D$19+'Testes estatísticos'!$D$111)/2,"")</f>
        <v>-0.79417199999999966</v>
      </c>
      <c r="DD192" s="7">
        <f>IF(107&gt;=14,('Testes estatísticos'!$D$19+'Testes estatísticos'!$D$112)/2,"")</f>
        <v>2.6989990000000006</v>
      </c>
      <c r="DE192" s="7">
        <f>IF(108&gt;=14,('Testes estatísticos'!$D$19+'Testes estatísticos'!$D$113)/2,"")</f>
        <v>-0.7236364999999978</v>
      </c>
      <c r="DF192" s="7">
        <f>IF(109&gt;=14,('Testes estatísticos'!$D$19+'Testes estatísticos'!$D$114)/2,"")</f>
        <v>-0.75989349999999689</v>
      </c>
      <c r="DG192" s="7">
        <f>IF(110&gt;=14,('Testes estatísticos'!$D$19+'Testes estatísticos'!$D$115)/2,"")</f>
        <v>-6.3070330000000006</v>
      </c>
      <c r="DH192" s="7">
        <f>IF(111&gt;=14,('Testes estatísticos'!$D$19+'Testes estatísticos'!$D$116)/2,"")</f>
        <v>-0.626202499999998</v>
      </c>
      <c r="DI192" s="7">
        <f>IF(112&gt;=14,('Testes estatísticos'!$D$19+'Testes estatísticos'!$D$117)/2,"")</f>
        <v>4.8022375000000004</v>
      </c>
      <c r="DJ192" s="7">
        <f>IF(113&gt;=14,('Testes estatísticos'!$D$19+'Testes estatísticos'!$D$118)/2,"")</f>
        <v>-0.65431949999999972</v>
      </c>
      <c r="DK192" s="7">
        <f>IF(114&gt;=14,('Testes estatísticos'!$D$19+'Testes estatísticos'!$D$119)/2,"")</f>
        <v>-0.75606949999999884</v>
      </c>
      <c r="DL192" s="7">
        <f>IF(115&gt;=14,('Testes estatísticos'!$D$19+'Testes estatísticos'!$D$120)/2,"")</f>
        <v>-0.70959199999999711</v>
      </c>
      <c r="DM192" s="7">
        <f>IF(116&gt;=14,('Testes estatísticos'!$D$19+'Testes estatísticos'!$D$121)/2,"")</f>
        <v>-0.7009894999999986</v>
      </c>
      <c r="DN192" s="7">
        <f>IF(117&gt;=14,('Testes estatísticos'!$D$19+'Testes estatísticos'!$D$122)/2,"")</f>
        <v>-0.67792150000000007</v>
      </c>
      <c r="DO192" s="7">
        <f>IF(118&gt;=14,('Testes estatísticos'!$D$19+'Testes estatísticos'!$D$123)/2,"")</f>
        <v>-0.62801100000000076</v>
      </c>
      <c r="DP192" s="7">
        <f>IF(119&gt;=14,('Testes estatísticos'!$D$19+'Testes estatísticos'!$D$124)/2,"")</f>
        <v>-0.64922250000000048</v>
      </c>
      <c r="DQ192" s="7">
        <f>IF(120&gt;=14,('Testes estatísticos'!$D$19+'Testes estatísticos'!$D$125)/2,"")</f>
        <v>2.4023920000000025</v>
      </c>
      <c r="DR192" s="7">
        <f>IF(121&gt;=14,('Testes estatísticos'!$D$19+'Testes estatísticos'!$D$126)/2,"")</f>
        <v>-0.38662449999999993</v>
      </c>
      <c r="DS192" s="7">
        <f>IF(122&gt;=14,('Testes estatísticos'!$D$19+'Testes estatísticos'!$D$127)/2,"")</f>
        <v>-1.4520329999999966</v>
      </c>
      <c r="DT192" s="7">
        <f>IF(123&gt;=14,('Testes estatísticos'!$D$19+'Testes estatísticos'!$D$128)/2,"")</f>
        <v>4.616836499999998</v>
      </c>
      <c r="DU192" s="7">
        <f>IF(124&gt;=14,('Testes estatísticos'!$D$19+'Testes estatísticos'!$D$129)/2,"")</f>
        <v>-0.2789350000000006</v>
      </c>
      <c r="DV192" s="7">
        <f>IF(125&gt;=14,('Testes estatísticos'!$D$19+'Testes estatísticos'!$D$130)/2,"")</f>
        <v>0.87937249999999878</v>
      </c>
      <c r="DW192" s="7">
        <f>IF(126&gt;=14,('Testes estatísticos'!$D$19+'Testes estatísticos'!$D$131)/2,"")</f>
        <v>-1.5241034999999989</v>
      </c>
      <c r="DX192" s="7">
        <f>IF(127&gt;=14,('Testes estatísticos'!$D$19+'Testes estatísticos'!$D$132)/2,"")</f>
        <v>-3.5802949999999996</v>
      </c>
      <c r="DY192" s="7">
        <f>IF(128&gt;=14,('Testes estatísticos'!$D$19+'Testes estatísticos'!$D$133)/2,"")</f>
        <v>-3.9213844999999985</v>
      </c>
      <c r="DZ192" s="7">
        <f>IF(129&gt;=14,('Testes estatísticos'!$D$19+'Testes estatísticos'!$D$134)/2,"")</f>
        <v>-7.3451744999999988</v>
      </c>
      <c r="EA192" s="7">
        <f>IF(130&gt;=14,('Testes estatísticos'!$D$19+'Testes estatísticos'!$D$135)/2,"")</f>
        <v>-1.5834044999999968</v>
      </c>
      <c r="EB192" s="7">
        <f>IF(131&gt;=14,('Testes estatísticos'!$D$19+'Testes estatísticos'!$D$136)/2,"")</f>
        <v>-1.495531500000002</v>
      </c>
      <c r="EC192" s="7">
        <f>IF(132&gt;=14,('Testes estatísticos'!$D$19+'Testes estatísticos'!$D$137)/2,"")</f>
        <v>-2.9822680000000013</v>
      </c>
      <c r="ED192" s="7">
        <f>IF(133&gt;=14,('Testes estatísticos'!$D$19+'Testes estatísticos'!$D$138)/2,"")</f>
        <v>-0.79333049999999972</v>
      </c>
      <c r="EE192" s="7">
        <f>IF(134&gt;=14,('Testes estatísticos'!$D$19+'Testes estatísticos'!$D$139)/2,"")</f>
        <v>-3.0905210000000025</v>
      </c>
      <c r="EF192" s="7">
        <f>IF(135&gt;=14,('Testes estatísticos'!$D$19+'Testes estatísticos'!$D$140)/2,"")</f>
        <v>0.12391150000000195</v>
      </c>
      <c r="EG192" s="7">
        <f>IF(136&gt;=14,('Testes estatísticos'!$D$19+'Testes estatísticos'!$D$141)/2,"")</f>
        <v>-1.5695785000000022</v>
      </c>
      <c r="EH192" s="7">
        <f>IF(137&gt;=14,('Testes estatísticos'!$D$19+'Testes estatísticos'!$D$142)/2,"")</f>
        <v>0.13516149999999882</v>
      </c>
      <c r="EI192" s="7">
        <f>IF(138&gt;=14,('Testes estatísticos'!$D$19+'Testes estatísticos'!$D$143)/2,"")</f>
        <v>-1.5298539999999967</v>
      </c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</row>
    <row r="193" spans="2:151" x14ac:dyDescent="0.3">
      <c r="B193" s="7" t="str">
        <f>IF(1&gt;=15,('Testes estatísticos'!$D$20+'Testes estatísticos'!$D$6)/2,"")</f>
        <v/>
      </c>
      <c r="C193" s="7" t="str">
        <f>IF(2&gt;=15,('Testes estatísticos'!$D$20+'Testes estatísticos'!$D$7)/2,"")</f>
        <v/>
      </c>
      <c r="D193" s="7" t="str">
        <f>IF(3&gt;=15,('Testes estatísticos'!$D$20+'Testes estatísticos'!$D$8)/2,"")</f>
        <v/>
      </c>
      <c r="E193" s="7" t="str">
        <f>IF(4&gt;=15,('Testes estatísticos'!$D$20+'Testes estatísticos'!$D$9)/2,"")</f>
        <v/>
      </c>
      <c r="F193" s="7" t="str">
        <f>IF(5&gt;=15,('Testes estatísticos'!$D$20+'Testes estatísticos'!$D$10)/2,"")</f>
        <v/>
      </c>
      <c r="G193" s="7" t="str">
        <f>IF(6&gt;=15,('Testes estatísticos'!$D$20+'Testes estatísticos'!$D$11)/2,"")</f>
        <v/>
      </c>
      <c r="H193" s="7" t="str">
        <f>IF(7&gt;=15,('Testes estatísticos'!$D$20+'Testes estatísticos'!$D$12)/2,"")</f>
        <v/>
      </c>
      <c r="I193" s="7" t="str">
        <f>IF(8&gt;=15,('Testes estatísticos'!$D$20+'Testes estatísticos'!$D$13)/2,"")</f>
        <v/>
      </c>
      <c r="J193" s="7" t="str">
        <f>IF(9&gt;=15,('Testes estatísticos'!$D$20+'Testes estatísticos'!$D$14)/2,"")</f>
        <v/>
      </c>
      <c r="K193" s="7" t="str">
        <f>IF(10&gt;=15,('Testes estatísticos'!$D$20+'Testes estatísticos'!$D$15)/2,"")</f>
        <v/>
      </c>
      <c r="L193" s="7" t="str">
        <f>IF(11&gt;=15,('Testes estatísticos'!$D$20+'Testes estatísticos'!$D$16)/2,"")</f>
        <v/>
      </c>
      <c r="M193" s="7" t="str">
        <f>IF(12&gt;=15,('Testes estatísticos'!$D$20+'Testes estatísticos'!$D$17)/2,"")</f>
        <v/>
      </c>
      <c r="N193" s="7" t="str">
        <f>IF(13&gt;=15,('Testes estatísticos'!$D$20+'Testes estatísticos'!$D$18)/2,"")</f>
        <v/>
      </c>
      <c r="O193" s="7" t="str">
        <f>IF(14&gt;=15,('Testes estatísticos'!$D$20+'Testes estatísticos'!$D$19)/2,"")</f>
        <v/>
      </c>
      <c r="P193" s="7">
        <f>IF(15&gt;=15,('Testes estatísticos'!$D$20+'Testes estatísticos'!$D$20)/2,"")</f>
        <v>3.5660140000000027</v>
      </c>
      <c r="Q193" s="7">
        <f>IF(16&gt;=15,('Testes estatísticos'!$D$20+'Testes estatísticos'!$D$21)/2,"")</f>
        <v>-3.7338205000000002</v>
      </c>
      <c r="R193" s="7">
        <f>IF(17&gt;=15,('Testes estatísticos'!$D$20+'Testes estatísticos'!$D$22)/2,"")</f>
        <v>-0.27247649999999979</v>
      </c>
      <c r="S193" s="7">
        <f>IF(18&gt;=15,('Testes estatísticos'!$D$20+'Testes estatísticos'!$D$23)/2,"")</f>
        <v>-1.3465899999999991</v>
      </c>
      <c r="T193" s="7">
        <f>IF(19&gt;=15,('Testes estatísticos'!$D$20+'Testes estatísticos'!$D$24)/2,"")</f>
        <v>-0.9481490000000008</v>
      </c>
      <c r="U193" s="7">
        <f>IF(20&gt;=15,('Testes estatísticos'!$D$20+'Testes estatísticos'!$D$25)/2,"")</f>
        <v>-1.8935169999999957</v>
      </c>
      <c r="V193" s="7">
        <f>IF(21&gt;=15,('Testes estatísticos'!$D$20+'Testes estatísticos'!$D$26)/2,"")</f>
        <v>-3.4831999999997976E-2</v>
      </c>
      <c r="W193" s="7">
        <f>IF(22&gt;=15,('Testes estatísticos'!$D$20+'Testes estatísticos'!$D$27)/2,"")</f>
        <v>-7.1061499999999E-2</v>
      </c>
      <c r="X193" s="7">
        <f>IF(23&gt;=15,('Testes estatísticos'!$D$20+'Testes estatísticos'!$D$28)/2,"")</f>
        <v>-0.19393899999999675</v>
      </c>
      <c r="Y193" s="7">
        <f>IF(24&gt;=15,('Testes estatísticos'!$D$20+'Testes estatísticos'!$D$29)/2,"")</f>
        <v>0.36924150000000111</v>
      </c>
      <c r="Z193" s="7">
        <f>IF(25&gt;=15,('Testes estatísticos'!$D$20+'Testes estatísticos'!$D$30)/2,"")</f>
        <v>0.68280449999999959</v>
      </c>
      <c r="AA193" s="7">
        <f>IF(26&gt;=15,('Testes estatísticos'!$D$20+'Testes estatísticos'!$D$31)/2,"")</f>
        <v>0.68627500000000197</v>
      </c>
      <c r="AB193" s="7">
        <f>IF(27&gt;=15,('Testes estatísticos'!$D$20+'Testes estatísticos'!$D$32)/2,"")</f>
        <v>0.58166600000000201</v>
      </c>
      <c r="AC193" s="7">
        <f>IF(28&gt;=15,('Testes estatísticos'!$D$20+'Testes estatísticos'!$D$33)/2,"")</f>
        <v>0.64138050000000035</v>
      </c>
      <c r="AD193" s="7">
        <f>IF(29&gt;=15,('Testes estatísticos'!$D$20+'Testes estatísticos'!$D$34)/2,"")</f>
        <v>1.3706424999999989</v>
      </c>
      <c r="AE193" s="7">
        <f>IF(30&gt;=15,('Testes estatísticos'!$D$20+'Testes estatísticos'!$D$35)/2,"")</f>
        <v>5.7096500000000106E-2</v>
      </c>
      <c r="AF193" s="7">
        <f>IF(31&gt;=15,('Testes estatísticos'!$D$20+'Testes estatísticos'!$D$36)/2,"")</f>
        <v>-0.28529799999999739</v>
      </c>
      <c r="AG193" s="7">
        <f>IF(32&gt;=15,('Testes estatísticos'!$D$20+'Testes estatísticos'!$D$37)/2,"")</f>
        <v>0.81832250000000073</v>
      </c>
      <c r="AH193" s="7">
        <f>IF(33&gt;=15,('Testes estatísticos'!$D$20+'Testes estatísticos'!$D$38)/2,"")</f>
        <v>0.65278299999999945</v>
      </c>
      <c r="AI193" s="7">
        <f>IF(34&gt;=15,('Testes estatísticos'!$D$20+'Testes estatísticos'!$D$39)/2,"")</f>
        <v>3.4693290000000019</v>
      </c>
      <c r="AJ193" s="7">
        <f>IF(35&gt;=15,('Testes estatísticos'!$D$20+'Testes estatísticos'!$D$40)/2,"")</f>
        <v>0.72783100000000189</v>
      </c>
      <c r="AK193" s="7">
        <f>IF(36&gt;=15,('Testes estatísticos'!$D$20+'Testes estatísticos'!$D$41)/2,"")</f>
        <v>2.9957755000000006</v>
      </c>
      <c r="AL193" s="7">
        <f>IF(37&gt;=15,('Testes estatísticos'!$D$20+'Testes estatísticos'!$D$42)/2,"")</f>
        <v>0.71721450000000075</v>
      </c>
      <c r="AM193" s="7">
        <f>IF(38&gt;=15,('Testes estatísticos'!$D$20+'Testes estatísticos'!$D$43)/2,"")</f>
        <v>0.73007400000000189</v>
      </c>
      <c r="AN193" s="7">
        <f>IF(39&gt;=15,('Testes estatísticos'!$D$20+'Testes estatísticos'!$D$44)/2,"")</f>
        <v>-0.4069199999999995</v>
      </c>
      <c r="AO193" s="7">
        <f>IF(40&gt;=15,('Testes estatísticos'!$D$20+'Testes estatísticos'!$D$45)/2,"")</f>
        <v>3.5680064999999992</v>
      </c>
      <c r="AP193" s="7">
        <f>IF(41&gt;=15,('Testes estatísticos'!$D$20+'Testes estatísticos'!$D$46)/2,"")</f>
        <v>1.0620670000000025</v>
      </c>
      <c r="AQ193" s="7">
        <f>IF(42&gt;=15,('Testes estatísticos'!$D$20+'Testes estatísticos'!$D$47)/2,"")</f>
        <v>2.2044260000000016</v>
      </c>
      <c r="AR193" s="7">
        <f>IF(43&gt;=15,('Testes estatísticos'!$D$20+'Testes estatísticos'!$D$48)/2,"")</f>
        <v>1.1555120000000016</v>
      </c>
      <c r="AS193" s="7">
        <f>IF(44&gt;=15,('Testes estatísticos'!$D$20+'Testes estatísticos'!$D$49)/2,"")</f>
        <v>0.62438900000000075</v>
      </c>
      <c r="AT193" s="7">
        <f>IF(45&gt;=15,('Testes estatísticos'!$D$20+'Testes estatísticos'!$D$50)/2,"")</f>
        <v>1.4534675000000021</v>
      </c>
      <c r="AU193" s="7">
        <f>IF(46&gt;=15,('Testes estatísticos'!$D$20+'Testes estatísticos'!$D$51)/2,"")</f>
        <v>-1.5777284999999992</v>
      </c>
      <c r="AV193" s="7">
        <f>IF(47&gt;=15,('Testes estatísticos'!$D$20+'Testes estatísticos'!$D$52)/2,"")</f>
        <v>3.4924445000000013</v>
      </c>
      <c r="AW193" s="7">
        <f>IF(48&gt;=15,('Testes estatísticos'!$D$20+'Testes estatísticos'!$D$53)/2,"")</f>
        <v>-0.94358649999999855</v>
      </c>
      <c r="AX193" s="7">
        <f>IF(49&gt;=15,('Testes estatísticos'!$D$20+'Testes estatísticos'!$D$54)/2,"")</f>
        <v>0.31620400000000259</v>
      </c>
      <c r="AY193" s="7">
        <f>IF(50&gt;=15,('Testes estatísticos'!$D$20+'Testes estatísticos'!$D$55)/2,"")</f>
        <v>1.9413685000000029</v>
      </c>
      <c r="AZ193" s="7">
        <f>IF(51&gt;=15,('Testes estatísticos'!$D$20+'Testes estatísticos'!$D$56)/2,"")</f>
        <v>1.9858380000000011</v>
      </c>
      <c r="BA193" s="7">
        <f>IF(52&gt;=15,('Testes estatísticos'!$D$20+'Testes estatísticos'!$D$57)/2,"")</f>
        <v>-1.4223779999999984</v>
      </c>
      <c r="BB193" s="7">
        <f>IF(53&gt;=15,('Testes estatísticos'!$D$20+'Testes estatísticos'!$D$58)/2,"")</f>
        <v>1.9863845000000033</v>
      </c>
      <c r="BC193" s="7">
        <f>IF(54&gt;=15,('Testes estatísticos'!$D$20+'Testes estatísticos'!$D$59)/2,"")</f>
        <v>1.0667420000000014</v>
      </c>
      <c r="BD193" s="7">
        <f>IF(55&gt;=15,('Testes estatísticos'!$D$20+'Testes estatísticos'!$D$60)/2,"")</f>
        <v>4.1624130000000008</v>
      </c>
      <c r="BE193" s="7">
        <f>IF(56&gt;=15,('Testes estatísticos'!$D$20+'Testes estatísticos'!$D$61)/2,"")</f>
        <v>1.532444500000004</v>
      </c>
      <c r="BF193" s="7">
        <f>IF(57&gt;=15,('Testes estatísticos'!$D$20+'Testes estatísticos'!$D$62)/2,"")</f>
        <v>-1.8677455000000016</v>
      </c>
      <c r="BG193" s="7">
        <f>IF(58&gt;=15,('Testes estatísticos'!$D$20+'Testes estatísticos'!$D$63)/2,"")</f>
        <v>3.3981495000000024</v>
      </c>
      <c r="BH193" s="7">
        <f>IF(59&gt;=15,('Testes estatísticos'!$D$20+'Testes estatísticos'!$D$64)/2,"")</f>
        <v>-2.4454630000000002</v>
      </c>
      <c r="BI193" s="7">
        <f>IF(60&gt;=15,('Testes estatísticos'!$D$20+'Testes estatísticos'!$D$65)/2,"")</f>
        <v>-0.69787199999999672</v>
      </c>
      <c r="BJ193" s="7">
        <f>IF(61&gt;=15,('Testes estatísticos'!$D$20+'Testes estatísticos'!$D$66)/2,"")</f>
        <v>1.937183000000001</v>
      </c>
      <c r="BK193" s="7">
        <f>IF(62&gt;=15,('Testes estatísticos'!$D$20+'Testes estatísticos'!$D$67)/2,"")</f>
        <v>1.4283880000000018</v>
      </c>
      <c r="BL193" s="7">
        <f>IF(63&gt;=15,('Testes estatísticos'!$D$20+'Testes estatísticos'!$D$68)/2,"")</f>
        <v>2.3277025000000009</v>
      </c>
      <c r="BM193" s="7">
        <f>IF(64&gt;=15,('Testes estatísticos'!$D$20+'Testes estatísticos'!$D$69)/2,"")</f>
        <v>2.3785445000000003</v>
      </c>
      <c r="BN193" s="7">
        <f>IF(65&gt;=15,('Testes estatísticos'!$D$20+'Testes estatísticos'!$D$70)/2,"")</f>
        <v>0.23273800000000122</v>
      </c>
      <c r="BO193" s="7">
        <f>IF(66&gt;=15,('Testes estatísticos'!$D$20+'Testes estatísticos'!$D$71)/2,"")</f>
        <v>1.1285905000000014</v>
      </c>
      <c r="BP193" s="7">
        <f>IF(67&gt;=15,('Testes estatísticos'!$D$20+'Testes estatísticos'!$D$72)/2,"")</f>
        <v>-1.7618684999999985</v>
      </c>
      <c r="BQ193" s="7">
        <f>IF(68&gt;=15,('Testes estatísticos'!$D$20+'Testes estatísticos'!$D$73)/2,"")</f>
        <v>2.9013644999999997</v>
      </c>
      <c r="BR193" s="7">
        <f>IF(69&gt;=15,('Testes estatísticos'!$D$20+'Testes estatísticos'!$D$74)/2,"")</f>
        <v>3.5335464999999999</v>
      </c>
      <c r="BS193" s="7">
        <f>IF(70&gt;=15,('Testes estatísticos'!$D$20+'Testes estatísticos'!$D$75)/2,"")</f>
        <v>2.5290819999999989</v>
      </c>
      <c r="BT193" s="7">
        <f>IF(71&gt;=15,('Testes estatísticos'!$D$20+'Testes estatísticos'!$D$76)/2,"")</f>
        <v>4.1034469999999992</v>
      </c>
      <c r="BU193" s="7">
        <f>IF(72&gt;=15,('Testes estatísticos'!$D$20+'Testes estatísticos'!$D$77)/2,"")</f>
        <v>-1.4962499999999999</v>
      </c>
      <c r="BV193" s="7">
        <f>IF(73&gt;=15,('Testes estatísticos'!$D$20+'Testes estatísticos'!$D$78)/2,"")</f>
        <v>0.57722449999999981</v>
      </c>
      <c r="BW193" s="7">
        <f>IF(74&gt;=15,('Testes estatísticos'!$D$20+'Testes estatísticos'!$D$79)/2,"")</f>
        <v>-0.1060939999999988</v>
      </c>
      <c r="BX193" s="7">
        <f>IF(75&gt;=15,('Testes estatísticos'!$D$20+'Testes estatísticos'!$D$80)/2,"")</f>
        <v>-0.12787199999999999</v>
      </c>
      <c r="BY193" s="7">
        <f>IF(76&gt;=15,('Testes estatísticos'!$D$20+'Testes estatísticos'!$D$81)/2,"")</f>
        <v>4.0035860000000021</v>
      </c>
      <c r="BZ193" s="7">
        <f>IF(77&gt;=15,('Testes estatísticos'!$D$20+'Testes estatísticos'!$D$82)/2,"")</f>
        <v>-1.2580034999999974</v>
      </c>
      <c r="CA193" s="7">
        <f>IF(78&gt;=15,('Testes estatísticos'!$D$20+'Testes estatísticos'!$D$83)/2,"")</f>
        <v>0.50225550000000396</v>
      </c>
      <c r="CB193" s="7">
        <f>IF(79&gt;=15,('Testes estatísticos'!$D$20+'Testes estatísticos'!$D$84)/2,"")</f>
        <v>0.55397800000000075</v>
      </c>
      <c r="CC193" s="7">
        <f>IF(80&gt;=15,('Testes estatísticos'!$D$20+'Testes estatísticos'!$D$85)/2,"")</f>
        <v>-1.2530384999999988</v>
      </c>
      <c r="CD193" s="7">
        <f>IF(81&gt;=15,('Testes estatísticos'!$D$20+'Testes estatísticos'!$D$86)/2,"")</f>
        <v>-1.3031834999999994</v>
      </c>
      <c r="CE193" s="7">
        <f>IF(82&gt;=15,('Testes estatísticos'!$D$20+'Testes estatísticos'!$D$87)/2,"")</f>
        <v>0.7746069999999996</v>
      </c>
      <c r="CF193" s="7">
        <f>IF(83&gt;=15,('Testes estatísticos'!$D$20+'Testes estatísticos'!$D$88)/2,"")</f>
        <v>0.24579999999999913</v>
      </c>
      <c r="CG193" s="7">
        <f>IF(84&gt;=15,('Testes estatísticos'!$D$20+'Testes estatísticos'!$D$89)/2,"")</f>
        <v>-8.6106999999998379E-2</v>
      </c>
      <c r="CH193" s="7">
        <f>IF(85&gt;=15,('Testes estatísticos'!$D$20+'Testes estatísticos'!$D$90)/2,"")</f>
        <v>1.7294400000000003</v>
      </c>
      <c r="CI193" s="7">
        <f>IF(86&gt;=15,('Testes estatísticos'!$D$20+'Testes estatísticos'!$D$91)/2,"")</f>
        <v>-0.96071949999999617</v>
      </c>
      <c r="CJ193" s="7">
        <f>IF(87&gt;=15,('Testes estatísticos'!$D$20+'Testes estatísticos'!$D$92)/2,"")</f>
        <v>0.28148700000000204</v>
      </c>
      <c r="CK193" s="7">
        <f>IF(88&gt;=15,('Testes estatísticos'!$D$20+'Testes estatísticos'!$D$93)/2,"")</f>
        <v>0.52557050000000061</v>
      </c>
      <c r="CL193" s="7">
        <f>IF(89&gt;=15,('Testes estatísticos'!$D$20+'Testes estatísticos'!$D$94)/2,"")</f>
        <v>-8.6021500000001083E-2</v>
      </c>
      <c r="CM193" s="7">
        <f>IF(90&gt;=15,('Testes estatísticos'!$D$20+'Testes estatísticos'!$D$95)/2,"")</f>
        <v>-2.4201534999999978</v>
      </c>
      <c r="CN193" s="7">
        <f>IF(91&gt;=15,('Testes estatísticos'!$D$20+'Testes estatísticos'!$D$96)/2,"")</f>
        <v>0.11836950000000357</v>
      </c>
      <c r="CO193" s="7">
        <f>IF(92&gt;=15,('Testes estatísticos'!$D$20+'Testes estatísticos'!$D$97)/2,"")</f>
        <v>-0.22813399999999717</v>
      </c>
      <c r="CP193" s="7">
        <f>IF(93&gt;=15,('Testes estatísticos'!$D$20+'Testes estatísticos'!$D$98)/2,"")</f>
        <v>-0.43288599999999633</v>
      </c>
      <c r="CQ193" s="7">
        <f>IF(94&gt;=15,('Testes estatísticos'!$D$20+'Testes estatísticos'!$D$99)/2,"")</f>
        <v>1.748272</v>
      </c>
      <c r="CR193" s="7">
        <f>IF(95&gt;=15,('Testes estatísticos'!$D$20+'Testes estatísticos'!$D$100)/2,"")</f>
        <v>-0.15752099999999913</v>
      </c>
      <c r="CS193" s="7">
        <f>IF(96&gt;=15,('Testes estatísticos'!$D$20+'Testes estatísticos'!$D$101)/2,"")</f>
        <v>-0.11353400000000136</v>
      </c>
      <c r="CT193" s="7">
        <f>IF(97&gt;=15,('Testes estatísticos'!$D$20+'Testes estatísticos'!$D$102)/2,"")</f>
        <v>0.11951649999999958</v>
      </c>
      <c r="CU193" s="7">
        <f>IF(98&gt;=15,('Testes estatísticos'!$D$20+'Testes estatísticos'!$D$103)/2,"")</f>
        <v>0.1768425000000029</v>
      </c>
      <c r="CV193" s="7">
        <f>IF(99&gt;=15,('Testes estatísticos'!$D$20+'Testes estatísticos'!$D$104)/2,"")</f>
        <v>-0.25798349999999814</v>
      </c>
      <c r="CW193" s="7">
        <f>IF(100&gt;=15,('Testes estatísticos'!$D$20+'Testes estatísticos'!$D$105)/2,"")</f>
        <v>-0.35744949999999776</v>
      </c>
      <c r="CX193" s="7">
        <f>IF(101&gt;=15,('Testes estatísticos'!$D$20+'Testes estatísticos'!$D$106)/2,"")</f>
        <v>0.16547700000000276</v>
      </c>
      <c r="CY193" s="7">
        <f>IF(102&gt;=15,('Testes estatísticos'!$D$20+'Testes estatísticos'!$D$107)/2,"")</f>
        <v>0.10981200000000158</v>
      </c>
      <c r="CZ193" s="7">
        <f>IF(103&gt;=15,('Testes estatísticos'!$D$20+'Testes estatísticos'!$D$108)/2,"")</f>
        <v>-0.41435449999999818</v>
      </c>
      <c r="DA193" s="7">
        <f>IF(104&gt;=15,('Testes estatísticos'!$D$20+'Testes estatísticos'!$D$109)/2,"")</f>
        <v>-0.15172049999999615</v>
      </c>
      <c r="DB193" s="7">
        <f>IF(105&gt;=15,('Testes estatísticos'!$D$20+'Testes estatísticos'!$D$110)/2,"")</f>
        <v>-0.11738949999999804</v>
      </c>
      <c r="DC193" s="7">
        <f>IF(106&gt;=15,('Testes estatísticos'!$D$20+'Testes estatísticos'!$D$111)/2,"")</f>
        <v>0.62553150000000102</v>
      </c>
      <c r="DD193" s="7">
        <f>IF(107&gt;=15,('Testes estatísticos'!$D$20+'Testes estatísticos'!$D$112)/2,"")</f>
        <v>4.1187025000000013</v>
      </c>
      <c r="DE193" s="7">
        <f>IF(108&gt;=15,('Testes estatísticos'!$D$20+'Testes estatísticos'!$D$113)/2,"")</f>
        <v>0.69606700000000288</v>
      </c>
      <c r="DF193" s="7">
        <f>IF(109&gt;=15,('Testes estatísticos'!$D$20+'Testes estatísticos'!$D$114)/2,"")</f>
        <v>0.65981000000000378</v>
      </c>
      <c r="DG193" s="7">
        <f>IF(110&gt;=15,('Testes estatísticos'!$D$20+'Testes estatísticos'!$D$115)/2,"")</f>
        <v>-4.8873294999999999</v>
      </c>
      <c r="DH193" s="7">
        <f>IF(111&gt;=15,('Testes estatísticos'!$D$20+'Testes estatísticos'!$D$116)/2,"")</f>
        <v>0.79350100000000268</v>
      </c>
      <c r="DI193" s="7">
        <f>IF(112&gt;=15,('Testes estatísticos'!$D$20+'Testes estatísticos'!$D$117)/2,"")</f>
        <v>6.2219410000000011</v>
      </c>
      <c r="DJ193" s="7">
        <f>IF(113&gt;=15,('Testes estatísticos'!$D$20+'Testes estatísticos'!$D$118)/2,"")</f>
        <v>0.76538400000000095</v>
      </c>
      <c r="DK193" s="7">
        <f>IF(114&gt;=15,('Testes estatísticos'!$D$20+'Testes estatísticos'!$D$119)/2,"")</f>
        <v>0.66363400000000183</v>
      </c>
      <c r="DL193" s="7">
        <f>IF(115&gt;=15,('Testes estatísticos'!$D$20+'Testes estatísticos'!$D$120)/2,"")</f>
        <v>0.71011150000000356</v>
      </c>
      <c r="DM193" s="7">
        <f>IF(116&gt;=15,('Testes estatísticos'!$D$20+'Testes estatísticos'!$D$121)/2,"")</f>
        <v>0.71871400000000207</v>
      </c>
      <c r="DN193" s="7">
        <f>IF(117&gt;=15,('Testes estatísticos'!$D$20+'Testes estatísticos'!$D$122)/2,"")</f>
        <v>0.74178200000000061</v>
      </c>
      <c r="DO193" s="7">
        <f>IF(118&gt;=15,('Testes estatísticos'!$D$20+'Testes estatísticos'!$D$123)/2,"")</f>
        <v>0.79169249999999991</v>
      </c>
      <c r="DP193" s="7">
        <f>IF(119&gt;=15,('Testes estatísticos'!$D$20+'Testes estatísticos'!$D$124)/2,"")</f>
        <v>0.77048100000000019</v>
      </c>
      <c r="DQ193" s="7">
        <f>IF(120&gt;=15,('Testes estatísticos'!$D$20+'Testes estatísticos'!$D$125)/2,"")</f>
        <v>3.8220955000000032</v>
      </c>
      <c r="DR193" s="7">
        <f>IF(121&gt;=15,('Testes estatísticos'!$D$20+'Testes estatísticos'!$D$126)/2,"")</f>
        <v>1.0330790000000007</v>
      </c>
      <c r="DS193" s="7">
        <f>IF(122&gt;=15,('Testes estatísticos'!$D$20+'Testes estatísticos'!$D$127)/2,"")</f>
        <v>-3.2329499999995903E-2</v>
      </c>
      <c r="DT193" s="7">
        <f>IF(123&gt;=15,('Testes estatísticos'!$D$20+'Testes estatísticos'!$D$128)/2,"")</f>
        <v>6.0365399999999987</v>
      </c>
      <c r="DU193" s="7">
        <f>IF(124&gt;=15,('Testes estatísticos'!$D$20+'Testes estatísticos'!$D$129)/2,"")</f>
        <v>1.1407685000000001</v>
      </c>
      <c r="DV193" s="7">
        <f>IF(125&gt;=15,('Testes estatísticos'!$D$20+'Testes estatísticos'!$D$130)/2,"")</f>
        <v>2.2990759999999995</v>
      </c>
      <c r="DW193" s="7">
        <f>IF(126&gt;=15,('Testes estatísticos'!$D$20+'Testes estatísticos'!$D$131)/2,"")</f>
        <v>-0.10439999999999827</v>
      </c>
      <c r="DX193" s="7">
        <f>IF(127&gt;=15,('Testes estatísticos'!$D$20+'Testes estatísticos'!$D$132)/2,"")</f>
        <v>-2.1605914999999989</v>
      </c>
      <c r="DY193" s="7">
        <f>IF(128&gt;=15,('Testes estatísticos'!$D$20+'Testes estatísticos'!$D$133)/2,"")</f>
        <v>-2.5016809999999978</v>
      </c>
      <c r="DZ193" s="7">
        <f>IF(129&gt;=15,('Testes estatísticos'!$D$20+'Testes estatísticos'!$D$134)/2,"")</f>
        <v>-5.9254709999999982</v>
      </c>
      <c r="EA193" s="7">
        <f>IF(130&gt;=15,('Testes estatísticos'!$D$20+'Testes estatísticos'!$D$135)/2,"")</f>
        <v>-0.1637009999999961</v>
      </c>
      <c r="EB193" s="7">
        <f>IF(131&gt;=15,('Testes estatísticos'!$D$20+'Testes estatísticos'!$D$136)/2,"")</f>
        <v>-7.5828000000001339E-2</v>
      </c>
      <c r="EC193" s="7">
        <f>IF(132&gt;=15,('Testes estatísticos'!$D$20+'Testes estatísticos'!$D$137)/2,"")</f>
        <v>-1.5625645000000006</v>
      </c>
      <c r="ED193" s="7">
        <f>IF(133&gt;=15,('Testes estatísticos'!$D$20+'Testes estatísticos'!$D$138)/2,"")</f>
        <v>0.62637300000000096</v>
      </c>
      <c r="EE193" s="7">
        <f>IF(134&gt;=15,('Testes estatísticos'!$D$20+'Testes estatísticos'!$D$139)/2,"")</f>
        <v>-1.6708175000000018</v>
      </c>
      <c r="EF193" s="7">
        <f>IF(135&gt;=15,('Testes estatísticos'!$D$20+'Testes estatísticos'!$D$140)/2,"")</f>
        <v>1.5436150000000026</v>
      </c>
      <c r="EG193" s="7">
        <f>IF(136&gt;=15,('Testes estatísticos'!$D$20+'Testes estatísticos'!$D$141)/2,"")</f>
        <v>-0.14987500000000153</v>
      </c>
      <c r="EH193" s="7">
        <f>IF(137&gt;=15,('Testes estatísticos'!$D$20+'Testes estatísticos'!$D$142)/2,"")</f>
        <v>1.5548649999999995</v>
      </c>
      <c r="EI193" s="7">
        <f>IF(138&gt;=15,('Testes estatísticos'!$D$20+'Testes estatísticos'!$D$143)/2,"")</f>
        <v>-0.11015049999999604</v>
      </c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</row>
    <row r="194" spans="2:151" x14ac:dyDescent="0.3">
      <c r="B194" s="7" t="str">
        <f>IF(1&gt;=16,('Testes estatísticos'!$D$21+'Testes estatísticos'!$D$6)/2,"")</f>
        <v/>
      </c>
      <c r="C194" s="7" t="str">
        <f>IF(2&gt;=16,('Testes estatísticos'!$D$21+'Testes estatísticos'!$D$7)/2,"")</f>
        <v/>
      </c>
      <c r="D194" s="7" t="str">
        <f>IF(3&gt;=16,('Testes estatísticos'!$D$21+'Testes estatísticos'!$D$8)/2,"")</f>
        <v/>
      </c>
      <c r="E194" s="7" t="str">
        <f>IF(4&gt;=16,('Testes estatísticos'!$D$21+'Testes estatísticos'!$D$9)/2,"")</f>
        <v/>
      </c>
      <c r="F194" s="7" t="str">
        <f>IF(5&gt;=16,('Testes estatísticos'!$D$21+'Testes estatísticos'!$D$10)/2,"")</f>
        <v/>
      </c>
      <c r="G194" s="7" t="str">
        <f>IF(6&gt;=16,('Testes estatísticos'!$D$21+'Testes estatísticos'!$D$11)/2,"")</f>
        <v/>
      </c>
      <c r="H194" s="7" t="str">
        <f>IF(7&gt;=16,('Testes estatísticos'!$D$21+'Testes estatísticos'!$D$12)/2,"")</f>
        <v/>
      </c>
      <c r="I194" s="7" t="str">
        <f>IF(8&gt;=16,('Testes estatísticos'!$D$21+'Testes estatísticos'!$D$13)/2,"")</f>
        <v/>
      </c>
      <c r="J194" s="7" t="str">
        <f>IF(9&gt;=16,('Testes estatísticos'!$D$21+'Testes estatísticos'!$D$14)/2,"")</f>
        <v/>
      </c>
      <c r="K194" s="7" t="str">
        <f>IF(10&gt;=16,('Testes estatísticos'!$D$21+'Testes estatísticos'!$D$15)/2,"")</f>
        <v/>
      </c>
      <c r="L194" s="7" t="str">
        <f>IF(11&gt;=16,('Testes estatísticos'!$D$21+'Testes estatísticos'!$D$16)/2,"")</f>
        <v/>
      </c>
      <c r="M194" s="7" t="str">
        <f>IF(12&gt;=16,('Testes estatísticos'!$D$21+'Testes estatísticos'!$D$17)/2,"")</f>
        <v/>
      </c>
      <c r="N194" s="7" t="str">
        <f>IF(13&gt;=16,('Testes estatísticos'!$D$21+'Testes estatísticos'!$D$18)/2,"")</f>
        <v/>
      </c>
      <c r="O194" s="7" t="str">
        <f>IF(14&gt;=16,('Testes estatísticos'!$D$21+'Testes estatísticos'!$D$19)/2,"")</f>
        <v/>
      </c>
      <c r="P194" s="7" t="str">
        <f>IF(15&gt;=16,('Testes estatísticos'!$D$21+'Testes estatísticos'!$D$20)/2,"")</f>
        <v/>
      </c>
      <c r="Q194" s="7">
        <f>IF(16&gt;=16,('Testes estatísticos'!$D$21+'Testes estatísticos'!$D$21)/2,"")</f>
        <v>-11.033655000000003</v>
      </c>
      <c r="R194" s="7">
        <f>IF(17&gt;=16,('Testes estatísticos'!$D$21+'Testes estatísticos'!$D$22)/2,"")</f>
        <v>-7.5723110000000027</v>
      </c>
      <c r="S194" s="7">
        <f>IF(18&gt;=16,('Testes estatísticos'!$D$21+'Testes estatísticos'!$D$23)/2,"")</f>
        <v>-8.646424500000002</v>
      </c>
      <c r="T194" s="7">
        <f>IF(19&gt;=16,('Testes estatísticos'!$D$21+'Testes estatísticos'!$D$24)/2,"")</f>
        <v>-8.2479835000000037</v>
      </c>
      <c r="U194" s="7">
        <f>IF(20&gt;=16,('Testes estatísticos'!$D$21+'Testes estatísticos'!$D$25)/2,"")</f>
        <v>-9.1933514999999986</v>
      </c>
      <c r="V194" s="7">
        <f>IF(21&gt;=16,('Testes estatísticos'!$D$21+'Testes estatísticos'!$D$26)/2,"")</f>
        <v>-7.3346665000000009</v>
      </c>
      <c r="W194" s="7">
        <f>IF(22&gt;=16,('Testes estatísticos'!$D$21+'Testes estatísticos'!$D$27)/2,"")</f>
        <v>-7.3708960000000019</v>
      </c>
      <c r="X194" s="7">
        <f>IF(23&gt;=16,('Testes estatísticos'!$D$21+'Testes estatísticos'!$D$28)/2,"")</f>
        <v>-7.4937734999999996</v>
      </c>
      <c r="Y194" s="7">
        <f>IF(24&gt;=16,('Testes estatísticos'!$D$21+'Testes estatísticos'!$D$29)/2,"")</f>
        <v>-6.9305930000000018</v>
      </c>
      <c r="Z194" s="7">
        <f>IF(25&gt;=16,('Testes estatísticos'!$D$21+'Testes estatísticos'!$D$30)/2,"")</f>
        <v>-6.6170300000000033</v>
      </c>
      <c r="AA194" s="7">
        <f>IF(26&gt;=16,('Testes estatísticos'!$D$21+'Testes estatísticos'!$D$31)/2,"")</f>
        <v>-6.6135595000000009</v>
      </c>
      <c r="AB194" s="7">
        <f>IF(27&gt;=16,('Testes estatísticos'!$D$21+'Testes estatísticos'!$D$32)/2,"")</f>
        <v>-6.7181685000000009</v>
      </c>
      <c r="AC194" s="7">
        <f>IF(28&gt;=16,('Testes estatísticos'!$D$21+'Testes estatísticos'!$D$33)/2,"")</f>
        <v>-6.6584540000000025</v>
      </c>
      <c r="AD194" s="7">
        <f>IF(29&gt;=16,('Testes estatísticos'!$D$21+'Testes estatísticos'!$D$34)/2,"")</f>
        <v>-5.929192000000004</v>
      </c>
      <c r="AE194" s="7">
        <f>IF(30&gt;=16,('Testes estatísticos'!$D$21+'Testes estatísticos'!$D$35)/2,"")</f>
        <v>-7.2427380000000028</v>
      </c>
      <c r="AF194" s="7">
        <f>IF(31&gt;=16,('Testes estatísticos'!$D$21+'Testes estatísticos'!$D$36)/2,"")</f>
        <v>-7.5851325000000003</v>
      </c>
      <c r="AG194" s="7">
        <f>IF(32&gt;=16,('Testes estatísticos'!$D$21+'Testes estatísticos'!$D$37)/2,"")</f>
        <v>-6.4815120000000022</v>
      </c>
      <c r="AH194" s="7">
        <f>IF(33&gt;=16,('Testes estatísticos'!$D$21+'Testes estatísticos'!$D$38)/2,"")</f>
        <v>-6.6470515000000034</v>
      </c>
      <c r="AI194" s="7">
        <f>IF(34&gt;=16,('Testes estatísticos'!$D$21+'Testes estatísticos'!$D$39)/2,"")</f>
        <v>-3.830505500000001</v>
      </c>
      <c r="AJ194" s="7">
        <f>IF(35&gt;=16,('Testes estatísticos'!$D$21+'Testes estatísticos'!$D$40)/2,"")</f>
        <v>-6.572003500000001</v>
      </c>
      <c r="AK194" s="7">
        <f>IF(36&gt;=16,('Testes estatísticos'!$D$21+'Testes estatísticos'!$D$41)/2,"")</f>
        <v>-4.3040590000000023</v>
      </c>
      <c r="AL194" s="7">
        <f>IF(37&gt;=16,('Testes estatísticos'!$D$21+'Testes estatísticos'!$D$42)/2,"")</f>
        <v>-6.5826200000000021</v>
      </c>
      <c r="AM194" s="7">
        <f>IF(38&gt;=16,('Testes estatísticos'!$D$21+'Testes estatísticos'!$D$43)/2,"")</f>
        <v>-6.569760500000001</v>
      </c>
      <c r="AN194" s="7">
        <f>IF(39&gt;=16,('Testes estatísticos'!$D$21+'Testes estatísticos'!$D$44)/2,"")</f>
        <v>-7.7067545000000024</v>
      </c>
      <c r="AO194" s="7">
        <f>IF(40&gt;=16,('Testes estatísticos'!$D$21+'Testes estatísticos'!$D$45)/2,"")</f>
        <v>-3.7318280000000037</v>
      </c>
      <c r="AP194" s="7">
        <f>IF(41&gt;=16,('Testes estatísticos'!$D$21+'Testes estatísticos'!$D$46)/2,"")</f>
        <v>-6.2377675000000004</v>
      </c>
      <c r="AQ194" s="7">
        <f>IF(42&gt;=16,('Testes estatísticos'!$D$21+'Testes estatísticos'!$D$47)/2,"")</f>
        <v>-5.0954085000000013</v>
      </c>
      <c r="AR194" s="7">
        <f>IF(43&gt;=16,('Testes estatísticos'!$D$21+'Testes estatísticos'!$D$48)/2,"")</f>
        <v>-6.1443225000000012</v>
      </c>
      <c r="AS194" s="7">
        <f>IF(44&gt;=16,('Testes estatísticos'!$D$21+'Testes estatísticos'!$D$49)/2,"")</f>
        <v>-6.6754455000000021</v>
      </c>
      <c r="AT194" s="7">
        <f>IF(45&gt;=16,('Testes estatísticos'!$D$21+'Testes estatísticos'!$D$50)/2,"")</f>
        <v>-5.8463670000000008</v>
      </c>
      <c r="AU194" s="7">
        <f>IF(46&gt;=16,('Testes estatísticos'!$D$21+'Testes estatísticos'!$D$51)/2,"")</f>
        <v>-8.8775630000000021</v>
      </c>
      <c r="AV194" s="7">
        <f>IF(47&gt;=16,('Testes estatísticos'!$D$21+'Testes estatísticos'!$D$52)/2,"")</f>
        <v>-3.8073900000000016</v>
      </c>
      <c r="AW194" s="7">
        <f>IF(48&gt;=16,('Testes estatísticos'!$D$21+'Testes estatísticos'!$D$53)/2,"")</f>
        <v>-8.2434210000000014</v>
      </c>
      <c r="AX194" s="7">
        <f>IF(49&gt;=16,('Testes estatísticos'!$D$21+'Testes estatísticos'!$D$54)/2,"")</f>
        <v>-6.9836305000000003</v>
      </c>
      <c r="AY194" s="7">
        <f>IF(50&gt;=16,('Testes estatísticos'!$D$21+'Testes estatísticos'!$D$55)/2,"")</f>
        <v>-5.358466</v>
      </c>
      <c r="AZ194" s="7">
        <f>IF(51&gt;=16,('Testes estatísticos'!$D$21+'Testes estatísticos'!$D$56)/2,"")</f>
        <v>-5.3139965000000018</v>
      </c>
      <c r="BA194" s="7">
        <f>IF(52&gt;=16,('Testes estatísticos'!$D$21+'Testes estatísticos'!$D$57)/2,"")</f>
        <v>-8.7222125000000013</v>
      </c>
      <c r="BB194" s="7">
        <f>IF(53&gt;=16,('Testes estatísticos'!$D$21+'Testes estatísticos'!$D$58)/2,"")</f>
        <v>-5.3134499999999996</v>
      </c>
      <c r="BC194" s="7">
        <f>IF(54&gt;=16,('Testes estatísticos'!$D$21+'Testes estatísticos'!$D$59)/2,"")</f>
        <v>-6.2330925000000015</v>
      </c>
      <c r="BD194" s="7">
        <f>IF(55&gt;=16,('Testes estatísticos'!$D$21+'Testes estatísticos'!$D$60)/2,"")</f>
        <v>-3.1374215000000021</v>
      </c>
      <c r="BE194" s="7">
        <f>IF(56&gt;=16,('Testes estatísticos'!$D$21+'Testes estatísticos'!$D$61)/2,"")</f>
        <v>-5.7673899999999989</v>
      </c>
      <c r="BF194" s="7">
        <f>IF(57&gt;=16,('Testes estatísticos'!$D$21+'Testes estatísticos'!$D$62)/2,"")</f>
        <v>-9.1675800000000045</v>
      </c>
      <c r="BG194" s="7">
        <f>IF(58&gt;=16,('Testes estatísticos'!$D$21+'Testes estatísticos'!$D$63)/2,"")</f>
        <v>-3.9016850000000005</v>
      </c>
      <c r="BH194" s="7">
        <f>IF(59&gt;=16,('Testes estatísticos'!$D$21+'Testes estatísticos'!$D$64)/2,"")</f>
        <v>-9.7452975000000031</v>
      </c>
      <c r="BI194" s="7">
        <f>IF(60&gt;=16,('Testes estatísticos'!$D$21+'Testes estatísticos'!$D$65)/2,"")</f>
        <v>-7.9977064999999996</v>
      </c>
      <c r="BJ194" s="7">
        <f>IF(61&gt;=16,('Testes estatísticos'!$D$21+'Testes estatísticos'!$D$66)/2,"")</f>
        <v>-5.3626515000000019</v>
      </c>
      <c r="BK194" s="7">
        <f>IF(62&gt;=16,('Testes estatísticos'!$D$21+'Testes estatísticos'!$D$67)/2,"")</f>
        <v>-5.8714465000000011</v>
      </c>
      <c r="BL194" s="7">
        <f>IF(63&gt;=16,('Testes estatísticos'!$D$21+'Testes estatísticos'!$D$68)/2,"")</f>
        <v>-4.972132000000002</v>
      </c>
      <c r="BM194" s="7">
        <f>IF(64&gt;=16,('Testes estatísticos'!$D$21+'Testes estatísticos'!$D$69)/2,"")</f>
        <v>-4.9212900000000026</v>
      </c>
      <c r="BN194" s="7">
        <f>IF(65&gt;=16,('Testes estatísticos'!$D$21+'Testes estatísticos'!$D$70)/2,"")</f>
        <v>-7.0670965000000017</v>
      </c>
      <c r="BO194" s="7">
        <f>IF(66&gt;=16,('Testes estatísticos'!$D$21+'Testes estatísticos'!$D$71)/2,"")</f>
        <v>-6.1712440000000015</v>
      </c>
      <c r="BP194" s="7">
        <f>IF(67&gt;=16,('Testes estatísticos'!$D$21+'Testes estatísticos'!$D$72)/2,"")</f>
        <v>-9.0617030000000014</v>
      </c>
      <c r="BQ194" s="7">
        <f>IF(68&gt;=16,('Testes estatísticos'!$D$21+'Testes estatísticos'!$D$73)/2,"")</f>
        <v>-4.3984700000000032</v>
      </c>
      <c r="BR194" s="7">
        <f>IF(69&gt;=16,('Testes estatísticos'!$D$21+'Testes estatísticos'!$D$74)/2,"")</f>
        <v>-3.766288000000003</v>
      </c>
      <c r="BS194" s="7">
        <f>IF(70&gt;=16,('Testes estatísticos'!$D$21+'Testes estatísticos'!$D$75)/2,"")</f>
        <v>-4.7707525000000039</v>
      </c>
      <c r="BT194" s="7">
        <f>IF(71&gt;=16,('Testes estatísticos'!$D$21+'Testes estatísticos'!$D$76)/2,"")</f>
        <v>-3.1963875000000037</v>
      </c>
      <c r="BU194" s="7">
        <f>IF(72&gt;=16,('Testes estatísticos'!$D$21+'Testes estatísticos'!$D$77)/2,"")</f>
        <v>-8.7960845000000027</v>
      </c>
      <c r="BV194" s="7">
        <f>IF(73&gt;=16,('Testes estatísticos'!$D$21+'Testes estatísticos'!$D$78)/2,"")</f>
        <v>-6.7226100000000031</v>
      </c>
      <c r="BW194" s="7">
        <f>IF(74&gt;=16,('Testes estatísticos'!$D$21+'Testes estatísticos'!$D$79)/2,"")</f>
        <v>-7.4059285000000017</v>
      </c>
      <c r="BX194" s="7">
        <f>IF(75&gt;=16,('Testes estatísticos'!$D$21+'Testes estatísticos'!$D$80)/2,"")</f>
        <v>-7.4277065000000029</v>
      </c>
      <c r="BY194" s="7">
        <f>IF(76&gt;=16,('Testes estatísticos'!$D$21+'Testes estatísticos'!$D$81)/2,"")</f>
        <v>-3.2962485000000008</v>
      </c>
      <c r="BZ194" s="7">
        <f>IF(77&gt;=16,('Testes estatísticos'!$D$21+'Testes estatísticos'!$D$82)/2,"")</f>
        <v>-8.5578380000000003</v>
      </c>
      <c r="CA194" s="7">
        <f>IF(78&gt;=16,('Testes estatísticos'!$D$21+'Testes estatísticos'!$D$83)/2,"")</f>
        <v>-6.7975789999999989</v>
      </c>
      <c r="CB194" s="7">
        <f>IF(79&gt;=16,('Testes estatísticos'!$D$21+'Testes estatísticos'!$D$84)/2,"")</f>
        <v>-6.7458565000000021</v>
      </c>
      <c r="CC194" s="7">
        <f>IF(80&gt;=16,('Testes estatísticos'!$D$21+'Testes estatísticos'!$D$85)/2,"")</f>
        <v>-8.5528730000000017</v>
      </c>
      <c r="CD194" s="7">
        <f>IF(81&gt;=16,('Testes estatísticos'!$D$21+'Testes estatísticos'!$D$86)/2,"")</f>
        <v>-8.6030180000000023</v>
      </c>
      <c r="CE194" s="7">
        <f>IF(82&gt;=16,('Testes estatísticos'!$D$21+'Testes estatísticos'!$D$87)/2,"")</f>
        <v>-6.5252275000000033</v>
      </c>
      <c r="CF194" s="7">
        <f>IF(83&gt;=16,('Testes estatísticos'!$D$21+'Testes estatísticos'!$D$88)/2,"")</f>
        <v>-7.0540345000000038</v>
      </c>
      <c r="CG194" s="7">
        <f>IF(84&gt;=16,('Testes estatísticos'!$D$21+'Testes estatísticos'!$D$89)/2,"")</f>
        <v>-7.3859415000000013</v>
      </c>
      <c r="CH194" s="7">
        <f>IF(85&gt;=16,('Testes estatísticos'!$D$21+'Testes estatísticos'!$D$90)/2,"")</f>
        <v>-5.5703945000000026</v>
      </c>
      <c r="CI194" s="7">
        <f>IF(86&gt;=16,('Testes estatísticos'!$D$21+'Testes estatísticos'!$D$91)/2,"")</f>
        <v>-8.2605539999999991</v>
      </c>
      <c r="CJ194" s="7">
        <f>IF(87&gt;=16,('Testes estatísticos'!$D$21+'Testes estatísticos'!$D$92)/2,"")</f>
        <v>-7.0183475000000008</v>
      </c>
      <c r="CK194" s="7">
        <f>IF(88&gt;=16,('Testes estatísticos'!$D$21+'Testes estatísticos'!$D$93)/2,"")</f>
        <v>-6.7742640000000023</v>
      </c>
      <c r="CL194" s="7">
        <f>IF(89&gt;=16,('Testes estatísticos'!$D$21+'Testes estatísticos'!$D$94)/2,"")</f>
        <v>-7.385856000000004</v>
      </c>
      <c r="CM194" s="7">
        <f>IF(90&gt;=16,('Testes estatísticos'!$D$21+'Testes estatísticos'!$D$95)/2,"")</f>
        <v>-9.7199880000000007</v>
      </c>
      <c r="CN194" s="7">
        <f>IF(91&gt;=16,('Testes estatísticos'!$D$21+'Testes estatísticos'!$D$96)/2,"")</f>
        <v>-7.1814649999999993</v>
      </c>
      <c r="CO194" s="7">
        <f>IF(92&gt;=16,('Testes estatísticos'!$D$21+'Testes estatísticos'!$D$97)/2,"")</f>
        <v>-7.5279685000000001</v>
      </c>
      <c r="CP194" s="7">
        <f>IF(93&gt;=16,('Testes estatísticos'!$D$21+'Testes estatísticos'!$D$98)/2,"")</f>
        <v>-7.7327204999999992</v>
      </c>
      <c r="CQ194" s="7">
        <f>IF(94&gt;=16,('Testes estatísticos'!$D$21+'Testes estatísticos'!$D$99)/2,"")</f>
        <v>-5.5515625000000028</v>
      </c>
      <c r="CR194" s="7">
        <f>IF(95&gt;=16,('Testes estatísticos'!$D$21+'Testes estatísticos'!$D$100)/2,"")</f>
        <v>-7.457355500000002</v>
      </c>
      <c r="CS194" s="7">
        <f>IF(96&gt;=16,('Testes estatísticos'!$D$21+'Testes estatísticos'!$D$101)/2,"")</f>
        <v>-7.4133685000000042</v>
      </c>
      <c r="CT194" s="7">
        <f>IF(97&gt;=16,('Testes estatísticos'!$D$21+'Testes estatísticos'!$D$102)/2,"")</f>
        <v>-7.1803180000000033</v>
      </c>
      <c r="CU194" s="7">
        <f>IF(98&gt;=16,('Testes estatísticos'!$D$21+'Testes estatísticos'!$D$103)/2,"")</f>
        <v>-7.122992</v>
      </c>
      <c r="CV194" s="7">
        <f>IF(99&gt;=16,('Testes estatísticos'!$D$21+'Testes estatísticos'!$D$104)/2,"")</f>
        <v>-7.557818000000001</v>
      </c>
      <c r="CW194" s="7">
        <f>IF(100&gt;=16,('Testes estatísticos'!$D$21+'Testes estatísticos'!$D$105)/2,"")</f>
        <v>-7.6572840000000006</v>
      </c>
      <c r="CX194" s="7">
        <f>IF(101&gt;=16,('Testes estatísticos'!$D$21+'Testes estatísticos'!$D$106)/2,"")</f>
        <v>-7.1343575000000001</v>
      </c>
      <c r="CY194" s="7">
        <f>IF(102&gt;=16,('Testes estatísticos'!$D$21+'Testes estatísticos'!$D$107)/2,"")</f>
        <v>-7.1900225000000013</v>
      </c>
      <c r="CZ194" s="7">
        <f>IF(103&gt;=16,('Testes estatísticos'!$D$21+'Testes estatísticos'!$D$108)/2,"")</f>
        <v>-7.7141890000000011</v>
      </c>
      <c r="DA194" s="7">
        <f>IF(104&gt;=16,('Testes estatísticos'!$D$21+'Testes estatísticos'!$D$109)/2,"")</f>
        <v>-7.451554999999999</v>
      </c>
      <c r="DB194" s="7">
        <f>IF(105&gt;=16,('Testes estatísticos'!$D$21+'Testes estatísticos'!$D$110)/2,"")</f>
        <v>-7.4172240000000009</v>
      </c>
      <c r="DC194" s="7">
        <f>IF(106&gt;=16,('Testes estatísticos'!$D$21+'Testes estatísticos'!$D$111)/2,"")</f>
        <v>-6.6743030000000019</v>
      </c>
      <c r="DD194" s="7">
        <f>IF(107&gt;=16,('Testes estatísticos'!$D$21+'Testes estatísticos'!$D$112)/2,"")</f>
        <v>-3.1811320000000016</v>
      </c>
      <c r="DE194" s="7">
        <f>IF(108&gt;=16,('Testes estatísticos'!$D$21+'Testes estatísticos'!$D$113)/2,"")</f>
        <v>-6.6037675</v>
      </c>
      <c r="DF194" s="7">
        <f>IF(109&gt;=16,('Testes estatísticos'!$D$21+'Testes estatísticos'!$D$114)/2,"")</f>
        <v>-6.6400244999999991</v>
      </c>
      <c r="DG194" s="7">
        <f>IF(110&gt;=16,('Testes estatísticos'!$D$21+'Testes estatísticos'!$D$115)/2,"")</f>
        <v>-12.187164000000003</v>
      </c>
      <c r="DH194" s="7">
        <f>IF(111&gt;=16,('Testes estatísticos'!$D$21+'Testes estatísticos'!$D$116)/2,"")</f>
        <v>-6.5063335000000002</v>
      </c>
      <c r="DI194" s="7">
        <f>IF(112&gt;=16,('Testes estatísticos'!$D$21+'Testes estatísticos'!$D$117)/2,"")</f>
        <v>-1.0778935000000018</v>
      </c>
      <c r="DJ194" s="7">
        <f>IF(113&gt;=16,('Testes estatísticos'!$D$21+'Testes estatísticos'!$D$118)/2,"")</f>
        <v>-6.5344505000000019</v>
      </c>
      <c r="DK194" s="7">
        <f>IF(114&gt;=16,('Testes estatísticos'!$D$21+'Testes estatísticos'!$D$119)/2,"")</f>
        <v>-6.6362005000000011</v>
      </c>
      <c r="DL194" s="7">
        <f>IF(115&gt;=16,('Testes estatísticos'!$D$21+'Testes estatísticos'!$D$120)/2,"")</f>
        <v>-6.5897229999999993</v>
      </c>
      <c r="DM194" s="7">
        <f>IF(116&gt;=16,('Testes estatísticos'!$D$21+'Testes estatísticos'!$D$121)/2,"")</f>
        <v>-6.5811205000000008</v>
      </c>
      <c r="DN194" s="7">
        <f>IF(117&gt;=16,('Testes estatísticos'!$D$21+'Testes estatísticos'!$D$122)/2,"")</f>
        <v>-6.5580525000000023</v>
      </c>
      <c r="DO194" s="7">
        <f>IF(118&gt;=16,('Testes estatísticos'!$D$21+'Testes estatísticos'!$D$123)/2,"")</f>
        <v>-6.508142000000003</v>
      </c>
      <c r="DP194" s="7">
        <f>IF(119&gt;=16,('Testes estatísticos'!$D$21+'Testes estatísticos'!$D$124)/2,"")</f>
        <v>-6.5293535000000027</v>
      </c>
      <c r="DQ194" s="7">
        <f>IF(120&gt;=16,('Testes estatísticos'!$D$21+'Testes estatísticos'!$D$125)/2,"")</f>
        <v>-3.4777389999999997</v>
      </c>
      <c r="DR194" s="7">
        <f>IF(121&gt;=16,('Testes estatísticos'!$D$21+'Testes estatísticos'!$D$126)/2,"")</f>
        <v>-6.2667555000000021</v>
      </c>
      <c r="DS194" s="7">
        <f>IF(122&gt;=16,('Testes estatísticos'!$D$21+'Testes estatísticos'!$D$127)/2,"")</f>
        <v>-7.3321639999999988</v>
      </c>
      <c r="DT194" s="7">
        <f>IF(123&gt;=16,('Testes estatísticos'!$D$21+'Testes estatísticos'!$D$128)/2,"")</f>
        <v>-1.2632945000000042</v>
      </c>
      <c r="DU194" s="7">
        <f>IF(124&gt;=16,('Testes estatísticos'!$D$21+'Testes estatísticos'!$D$129)/2,"")</f>
        <v>-6.1590660000000028</v>
      </c>
      <c r="DV194" s="7">
        <f>IF(125&gt;=16,('Testes estatísticos'!$D$21+'Testes estatísticos'!$D$130)/2,"")</f>
        <v>-5.0007585000000034</v>
      </c>
      <c r="DW194" s="7">
        <f>IF(126&gt;=16,('Testes estatísticos'!$D$21+'Testes estatísticos'!$D$131)/2,"")</f>
        <v>-7.4042345000000012</v>
      </c>
      <c r="DX194" s="7">
        <f>IF(127&gt;=16,('Testes estatísticos'!$D$21+'Testes estatísticos'!$D$132)/2,"")</f>
        <v>-9.4604260000000018</v>
      </c>
      <c r="DY194" s="7">
        <f>IF(128&gt;=16,('Testes estatísticos'!$D$21+'Testes estatísticos'!$D$133)/2,"")</f>
        <v>-9.8015155000000007</v>
      </c>
      <c r="DZ194" s="7">
        <f>IF(129&gt;=16,('Testes estatísticos'!$D$21+'Testes estatísticos'!$D$134)/2,"")</f>
        <v>-13.225305500000001</v>
      </c>
      <c r="EA194" s="7">
        <f>IF(130&gt;=16,('Testes estatísticos'!$D$21+'Testes estatísticos'!$D$135)/2,"")</f>
        <v>-7.463535499999999</v>
      </c>
      <c r="EB194" s="7">
        <f>IF(131&gt;=16,('Testes estatísticos'!$D$21+'Testes estatísticos'!$D$136)/2,"")</f>
        <v>-7.3756625000000042</v>
      </c>
      <c r="EC194" s="7">
        <f>IF(132&gt;=16,('Testes estatísticos'!$D$21+'Testes estatísticos'!$D$137)/2,"")</f>
        <v>-8.8623990000000035</v>
      </c>
      <c r="ED194" s="7">
        <f>IF(133&gt;=16,('Testes estatísticos'!$D$21+'Testes estatísticos'!$D$138)/2,"")</f>
        <v>-6.6734615000000019</v>
      </c>
      <c r="EE194" s="7">
        <f>IF(134&gt;=16,('Testes estatísticos'!$D$21+'Testes estatísticos'!$D$139)/2,"")</f>
        <v>-8.9706520000000047</v>
      </c>
      <c r="EF194" s="7">
        <f>IF(135&gt;=16,('Testes estatísticos'!$D$21+'Testes estatísticos'!$D$140)/2,"")</f>
        <v>-5.7562195000000003</v>
      </c>
      <c r="EG194" s="7">
        <f>IF(136&gt;=16,('Testes estatísticos'!$D$21+'Testes estatísticos'!$D$141)/2,"")</f>
        <v>-7.4497095000000044</v>
      </c>
      <c r="EH194" s="7">
        <f>IF(137&gt;=16,('Testes estatísticos'!$D$21+'Testes estatísticos'!$D$142)/2,"")</f>
        <v>-5.7449695000000034</v>
      </c>
      <c r="EI194" s="7">
        <f>IF(138&gt;=16,('Testes estatísticos'!$D$21+'Testes estatísticos'!$D$143)/2,"")</f>
        <v>-7.4099849999999989</v>
      </c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</row>
    <row r="195" spans="2:151" x14ac:dyDescent="0.3">
      <c r="B195" s="7" t="str">
        <f>IF(1&gt;=17,('Testes estatísticos'!$D$22+'Testes estatísticos'!$D$6)/2,"")</f>
        <v/>
      </c>
      <c r="C195" s="7" t="str">
        <f>IF(2&gt;=17,('Testes estatísticos'!$D$22+'Testes estatísticos'!$D$7)/2,"")</f>
        <v/>
      </c>
      <c r="D195" s="7" t="str">
        <f>IF(3&gt;=17,('Testes estatísticos'!$D$22+'Testes estatísticos'!$D$8)/2,"")</f>
        <v/>
      </c>
      <c r="E195" s="7" t="str">
        <f>IF(4&gt;=17,('Testes estatísticos'!$D$22+'Testes estatísticos'!$D$9)/2,"")</f>
        <v/>
      </c>
      <c r="F195" s="7" t="str">
        <f>IF(5&gt;=17,('Testes estatísticos'!$D$22+'Testes estatísticos'!$D$10)/2,"")</f>
        <v/>
      </c>
      <c r="G195" s="7" t="str">
        <f>IF(6&gt;=17,('Testes estatísticos'!$D$22+'Testes estatísticos'!$D$11)/2,"")</f>
        <v/>
      </c>
      <c r="H195" s="7" t="str">
        <f>IF(7&gt;=17,('Testes estatísticos'!$D$22+'Testes estatísticos'!$D$12)/2,"")</f>
        <v/>
      </c>
      <c r="I195" s="7" t="str">
        <f>IF(8&gt;=17,('Testes estatísticos'!$D$22+'Testes estatísticos'!$D$13)/2,"")</f>
        <v/>
      </c>
      <c r="J195" s="7" t="str">
        <f>IF(9&gt;=17,('Testes estatísticos'!$D$22+'Testes estatísticos'!$D$14)/2,"")</f>
        <v/>
      </c>
      <c r="K195" s="7" t="str">
        <f>IF(10&gt;=17,('Testes estatísticos'!$D$22+'Testes estatísticos'!$D$15)/2,"")</f>
        <v/>
      </c>
      <c r="L195" s="7" t="str">
        <f>IF(11&gt;=17,('Testes estatísticos'!$D$22+'Testes estatísticos'!$D$16)/2,"")</f>
        <v/>
      </c>
      <c r="M195" s="7" t="str">
        <f>IF(12&gt;=17,('Testes estatísticos'!$D$22+'Testes estatísticos'!$D$17)/2,"")</f>
        <v/>
      </c>
      <c r="N195" s="7" t="str">
        <f>IF(13&gt;=17,('Testes estatísticos'!$D$22+'Testes estatísticos'!$D$18)/2,"")</f>
        <v/>
      </c>
      <c r="O195" s="7" t="str">
        <f>IF(14&gt;=17,('Testes estatísticos'!$D$22+'Testes estatísticos'!$D$19)/2,"")</f>
        <v/>
      </c>
      <c r="P195" s="7" t="str">
        <f>IF(15&gt;=17,('Testes estatísticos'!$D$22+'Testes estatísticos'!$D$20)/2,"")</f>
        <v/>
      </c>
      <c r="Q195" s="7" t="str">
        <f>IF(16&gt;=17,('Testes estatísticos'!$D$22+'Testes estatísticos'!$D$21)/2,"")</f>
        <v/>
      </c>
      <c r="R195" s="7">
        <f>IF(17&gt;=17,('Testes estatísticos'!$D$22+'Testes estatísticos'!$D$22)/2,"")</f>
        <v>-4.1109670000000023</v>
      </c>
      <c r="S195" s="7">
        <f>IF(18&gt;=17,('Testes estatísticos'!$D$22+'Testes estatísticos'!$D$23)/2,"")</f>
        <v>-5.1850805000000015</v>
      </c>
      <c r="T195" s="7">
        <f>IF(19&gt;=17,('Testes estatísticos'!$D$22+'Testes estatísticos'!$D$24)/2,"")</f>
        <v>-4.7866395000000033</v>
      </c>
      <c r="U195" s="7">
        <f>IF(20&gt;=17,('Testes estatísticos'!$D$22+'Testes estatísticos'!$D$25)/2,"")</f>
        <v>-5.7320074999999981</v>
      </c>
      <c r="V195" s="7">
        <f>IF(21&gt;=17,('Testes estatísticos'!$D$22+'Testes estatísticos'!$D$26)/2,"")</f>
        <v>-3.8733225000000004</v>
      </c>
      <c r="W195" s="7">
        <f>IF(22&gt;=17,('Testes estatísticos'!$D$22+'Testes estatísticos'!$D$27)/2,"")</f>
        <v>-3.9095520000000015</v>
      </c>
      <c r="X195" s="7">
        <f>IF(23&gt;=17,('Testes estatísticos'!$D$22+'Testes estatísticos'!$D$28)/2,"")</f>
        <v>-4.0324294999999992</v>
      </c>
      <c r="Y195" s="7">
        <f>IF(24&gt;=17,('Testes estatísticos'!$D$22+'Testes estatísticos'!$D$29)/2,"")</f>
        <v>-3.4692490000000014</v>
      </c>
      <c r="Z195" s="7">
        <f>IF(25&gt;=17,('Testes estatísticos'!$D$22+'Testes estatísticos'!$D$30)/2,"")</f>
        <v>-3.1556860000000029</v>
      </c>
      <c r="AA195" s="7">
        <f>IF(26&gt;=17,('Testes estatísticos'!$D$22+'Testes estatísticos'!$D$31)/2,"")</f>
        <v>-3.1522155000000005</v>
      </c>
      <c r="AB195" s="7">
        <f>IF(27&gt;=17,('Testes estatísticos'!$D$22+'Testes estatísticos'!$D$32)/2,"")</f>
        <v>-3.2568245000000005</v>
      </c>
      <c r="AC195" s="7">
        <f>IF(28&gt;=17,('Testes estatísticos'!$D$22+'Testes estatísticos'!$D$33)/2,"")</f>
        <v>-3.1971100000000021</v>
      </c>
      <c r="AD195" s="7">
        <f>IF(29&gt;=17,('Testes estatísticos'!$D$22+'Testes estatísticos'!$D$34)/2,"")</f>
        <v>-2.4678480000000036</v>
      </c>
      <c r="AE195" s="7">
        <f>IF(30&gt;=17,('Testes estatísticos'!$D$22+'Testes estatísticos'!$D$35)/2,"")</f>
        <v>-3.7813940000000024</v>
      </c>
      <c r="AF195" s="7">
        <f>IF(31&gt;=17,('Testes estatísticos'!$D$22+'Testes estatísticos'!$D$36)/2,"")</f>
        <v>-4.1237884999999999</v>
      </c>
      <c r="AG195" s="7">
        <f>IF(32&gt;=17,('Testes estatísticos'!$D$22+'Testes estatísticos'!$D$37)/2,"")</f>
        <v>-3.0201680000000017</v>
      </c>
      <c r="AH195" s="7">
        <f>IF(33&gt;=17,('Testes estatísticos'!$D$22+'Testes estatísticos'!$D$38)/2,"")</f>
        <v>-3.185707500000003</v>
      </c>
      <c r="AI195" s="7">
        <f>IF(34&gt;=17,('Testes estatísticos'!$D$22+'Testes estatísticos'!$D$39)/2,"")</f>
        <v>-0.36916150000000059</v>
      </c>
      <c r="AJ195" s="7">
        <f>IF(35&gt;=17,('Testes estatísticos'!$D$22+'Testes estatísticos'!$D$40)/2,"")</f>
        <v>-3.1106595000000006</v>
      </c>
      <c r="AK195" s="7">
        <f>IF(36&gt;=17,('Testes estatísticos'!$D$22+'Testes estatísticos'!$D$41)/2,"")</f>
        <v>-0.84271500000000188</v>
      </c>
      <c r="AL195" s="7">
        <f>IF(37&gt;=17,('Testes estatísticos'!$D$22+'Testes estatísticos'!$D$42)/2,"")</f>
        <v>-3.1212760000000017</v>
      </c>
      <c r="AM195" s="7">
        <f>IF(38&gt;=17,('Testes estatísticos'!$D$22+'Testes estatísticos'!$D$43)/2,"")</f>
        <v>-3.1084165000000006</v>
      </c>
      <c r="AN195" s="7">
        <f>IF(39&gt;=17,('Testes estatísticos'!$D$22+'Testes estatísticos'!$D$44)/2,"")</f>
        <v>-4.245410500000002</v>
      </c>
      <c r="AO195" s="7">
        <f>IF(40&gt;=17,('Testes estatísticos'!$D$22+'Testes estatísticos'!$D$45)/2,"")</f>
        <v>-0.27048400000000328</v>
      </c>
      <c r="AP195" s="7">
        <f>IF(41&gt;=17,('Testes estatísticos'!$D$22+'Testes estatísticos'!$D$46)/2,"")</f>
        <v>-2.7764234999999999</v>
      </c>
      <c r="AQ195" s="7">
        <f>IF(42&gt;=17,('Testes estatísticos'!$D$22+'Testes estatísticos'!$D$47)/2,"")</f>
        <v>-1.6340645000000009</v>
      </c>
      <c r="AR195" s="7">
        <f>IF(43&gt;=17,('Testes estatísticos'!$D$22+'Testes estatísticos'!$D$48)/2,"")</f>
        <v>-2.6829785000000008</v>
      </c>
      <c r="AS195" s="7">
        <f>IF(44&gt;=17,('Testes estatísticos'!$D$22+'Testes estatísticos'!$D$49)/2,"")</f>
        <v>-3.2141015000000017</v>
      </c>
      <c r="AT195" s="7">
        <f>IF(45&gt;=17,('Testes estatísticos'!$D$22+'Testes estatísticos'!$D$50)/2,"")</f>
        <v>-2.3850230000000003</v>
      </c>
      <c r="AU195" s="7">
        <f>IF(46&gt;=17,('Testes estatísticos'!$D$22+'Testes estatísticos'!$D$51)/2,"")</f>
        <v>-5.4162190000000017</v>
      </c>
      <c r="AV195" s="7">
        <f>IF(47&gt;=17,('Testes estatísticos'!$D$22+'Testes estatísticos'!$D$52)/2,"")</f>
        <v>-0.34604600000000119</v>
      </c>
      <c r="AW195" s="7">
        <f>IF(48&gt;=17,('Testes estatísticos'!$D$22+'Testes estatísticos'!$D$53)/2,"")</f>
        <v>-4.782077000000001</v>
      </c>
      <c r="AX195" s="7">
        <f>IF(49&gt;=17,('Testes estatísticos'!$D$22+'Testes estatísticos'!$D$54)/2,"")</f>
        <v>-3.5222864999999999</v>
      </c>
      <c r="AY195" s="7">
        <f>IF(50&gt;=17,('Testes estatísticos'!$D$22+'Testes estatísticos'!$D$55)/2,"")</f>
        <v>-1.8971219999999995</v>
      </c>
      <c r="AZ195" s="7">
        <f>IF(51&gt;=17,('Testes estatísticos'!$D$22+'Testes estatísticos'!$D$56)/2,"")</f>
        <v>-1.8526525000000014</v>
      </c>
      <c r="BA195" s="7">
        <f>IF(52&gt;=17,('Testes estatísticos'!$D$22+'Testes estatísticos'!$D$57)/2,"")</f>
        <v>-5.2608685000000008</v>
      </c>
      <c r="BB195" s="7">
        <f>IF(53&gt;=17,('Testes estatísticos'!$D$22+'Testes estatísticos'!$D$58)/2,"")</f>
        <v>-1.8521059999999991</v>
      </c>
      <c r="BC195" s="7">
        <f>IF(54&gt;=17,('Testes estatísticos'!$D$22+'Testes estatísticos'!$D$59)/2,"")</f>
        <v>-2.7717485000000011</v>
      </c>
      <c r="BD195" s="7">
        <f>IF(55&gt;=17,('Testes estatísticos'!$D$22+'Testes estatísticos'!$D$60)/2,"")</f>
        <v>0.32392249999999834</v>
      </c>
      <c r="BE195" s="7">
        <f>IF(56&gt;=17,('Testes estatísticos'!$D$22+'Testes estatísticos'!$D$61)/2,"")</f>
        <v>-2.3060459999999985</v>
      </c>
      <c r="BF195" s="7">
        <f>IF(57&gt;=17,('Testes estatísticos'!$D$22+'Testes estatísticos'!$D$62)/2,"")</f>
        <v>-5.7062360000000041</v>
      </c>
      <c r="BG195" s="7">
        <f>IF(58&gt;=17,('Testes estatísticos'!$D$22+'Testes estatísticos'!$D$63)/2,"")</f>
        <v>-0.44034100000000009</v>
      </c>
      <c r="BH195" s="7">
        <f>IF(59&gt;=17,('Testes estatísticos'!$D$22+'Testes estatísticos'!$D$64)/2,"")</f>
        <v>-6.2839535000000026</v>
      </c>
      <c r="BI195" s="7">
        <f>IF(60&gt;=17,('Testes estatísticos'!$D$22+'Testes estatísticos'!$D$65)/2,"")</f>
        <v>-4.5363624999999992</v>
      </c>
      <c r="BJ195" s="7">
        <f>IF(61&gt;=17,('Testes estatísticos'!$D$22+'Testes estatísticos'!$D$66)/2,"")</f>
        <v>-1.9013075000000015</v>
      </c>
      <c r="BK195" s="7">
        <f>IF(62&gt;=17,('Testes estatísticos'!$D$22+'Testes estatísticos'!$D$67)/2,"")</f>
        <v>-2.4101025000000007</v>
      </c>
      <c r="BL195" s="7">
        <f>IF(63&gt;=17,('Testes estatísticos'!$D$22+'Testes estatísticos'!$D$68)/2,"")</f>
        <v>-1.5107880000000016</v>
      </c>
      <c r="BM195" s="7">
        <f>IF(64&gt;=17,('Testes estatísticos'!$D$22+'Testes estatísticos'!$D$69)/2,"")</f>
        <v>-1.4599460000000022</v>
      </c>
      <c r="BN195" s="7">
        <f>IF(65&gt;=17,('Testes estatísticos'!$D$22+'Testes estatísticos'!$D$70)/2,"")</f>
        <v>-3.6057525000000012</v>
      </c>
      <c r="BO195" s="7">
        <f>IF(66&gt;=17,('Testes estatísticos'!$D$22+'Testes estatísticos'!$D$71)/2,"")</f>
        <v>-2.7099000000000011</v>
      </c>
      <c r="BP195" s="7">
        <f>IF(67&gt;=17,('Testes estatísticos'!$D$22+'Testes estatísticos'!$D$72)/2,"")</f>
        <v>-5.600359000000001</v>
      </c>
      <c r="BQ195" s="7">
        <f>IF(68&gt;=17,('Testes estatísticos'!$D$22+'Testes estatísticos'!$D$73)/2,"")</f>
        <v>-0.93712600000000279</v>
      </c>
      <c r="BR195" s="7">
        <f>IF(69&gt;=17,('Testes estatísticos'!$D$22+'Testes estatísticos'!$D$74)/2,"")</f>
        <v>-0.30494400000000255</v>
      </c>
      <c r="BS195" s="7">
        <f>IF(70&gt;=17,('Testes estatísticos'!$D$22+'Testes estatísticos'!$D$75)/2,"")</f>
        <v>-1.3094085000000035</v>
      </c>
      <c r="BT195" s="7">
        <f>IF(71&gt;=17,('Testes estatísticos'!$D$22+'Testes estatísticos'!$D$76)/2,"")</f>
        <v>0.26495649999999671</v>
      </c>
      <c r="BU195" s="7">
        <f>IF(72&gt;=17,('Testes estatísticos'!$D$22+'Testes estatísticos'!$D$77)/2,"")</f>
        <v>-5.3347405000000023</v>
      </c>
      <c r="BV195" s="7">
        <f>IF(73&gt;=17,('Testes estatísticos'!$D$22+'Testes estatísticos'!$D$78)/2,"")</f>
        <v>-3.2612660000000027</v>
      </c>
      <c r="BW195" s="7">
        <f>IF(74&gt;=17,('Testes estatísticos'!$D$22+'Testes estatísticos'!$D$79)/2,"")</f>
        <v>-3.9445845000000013</v>
      </c>
      <c r="BX195" s="7">
        <f>IF(75&gt;=17,('Testes estatísticos'!$D$22+'Testes estatísticos'!$D$80)/2,"")</f>
        <v>-3.9663625000000025</v>
      </c>
      <c r="BY195" s="7">
        <f>IF(76&gt;=17,('Testes estatísticos'!$D$22+'Testes estatísticos'!$D$81)/2,"")</f>
        <v>0.16509549999999962</v>
      </c>
      <c r="BZ195" s="7">
        <f>IF(77&gt;=17,('Testes estatísticos'!$D$22+'Testes estatísticos'!$D$82)/2,"")</f>
        <v>-5.0964939999999999</v>
      </c>
      <c r="CA195" s="7">
        <f>IF(78&gt;=17,('Testes estatísticos'!$D$22+'Testes estatísticos'!$D$83)/2,"")</f>
        <v>-3.3362349999999985</v>
      </c>
      <c r="CB195" s="7">
        <f>IF(79&gt;=17,('Testes estatísticos'!$D$22+'Testes estatísticos'!$D$84)/2,"")</f>
        <v>-3.2845125000000017</v>
      </c>
      <c r="CC195" s="7">
        <f>IF(80&gt;=17,('Testes estatísticos'!$D$22+'Testes estatísticos'!$D$85)/2,"")</f>
        <v>-5.0915290000000013</v>
      </c>
      <c r="CD195" s="7">
        <f>IF(81&gt;=17,('Testes estatísticos'!$D$22+'Testes estatísticos'!$D$86)/2,"")</f>
        <v>-5.1416740000000019</v>
      </c>
      <c r="CE195" s="7">
        <f>IF(82&gt;=17,('Testes estatísticos'!$D$22+'Testes estatísticos'!$D$87)/2,"")</f>
        <v>-3.0638835000000029</v>
      </c>
      <c r="CF195" s="7">
        <f>IF(83&gt;=17,('Testes estatísticos'!$D$22+'Testes estatísticos'!$D$88)/2,"")</f>
        <v>-3.5926905000000033</v>
      </c>
      <c r="CG195" s="7">
        <f>IF(84&gt;=17,('Testes estatísticos'!$D$22+'Testes estatísticos'!$D$89)/2,"")</f>
        <v>-3.9245975000000008</v>
      </c>
      <c r="CH195" s="7">
        <f>IF(85&gt;=17,('Testes estatísticos'!$D$22+'Testes estatísticos'!$D$90)/2,"")</f>
        <v>-2.1090505000000022</v>
      </c>
      <c r="CI195" s="7">
        <f>IF(86&gt;=17,('Testes estatísticos'!$D$22+'Testes estatísticos'!$D$91)/2,"")</f>
        <v>-4.7992099999999986</v>
      </c>
      <c r="CJ195" s="7">
        <f>IF(87&gt;=17,('Testes estatísticos'!$D$22+'Testes estatísticos'!$D$92)/2,"")</f>
        <v>-3.5570035000000004</v>
      </c>
      <c r="CK195" s="7">
        <f>IF(88&gt;=17,('Testes estatísticos'!$D$22+'Testes estatísticos'!$D$93)/2,"")</f>
        <v>-3.3129200000000019</v>
      </c>
      <c r="CL195" s="7">
        <f>IF(89&gt;=17,('Testes estatísticos'!$D$22+'Testes estatísticos'!$D$94)/2,"")</f>
        <v>-3.9245120000000036</v>
      </c>
      <c r="CM195" s="7">
        <f>IF(90&gt;=17,('Testes estatísticos'!$D$22+'Testes estatísticos'!$D$95)/2,"")</f>
        <v>-6.2586440000000003</v>
      </c>
      <c r="CN195" s="7">
        <f>IF(91&gt;=17,('Testes estatísticos'!$D$22+'Testes estatísticos'!$D$96)/2,"")</f>
        <v>-3.7201209999999989</v>
      </c>
      <c r="CO195" s="7">
        <f>IF(92&gt;=17,('Testes estatísticos'!$D$22+'Testes estatísticos'!$D$97)/2,"")</f>
        <v>-4.0666244999999996</v>
      </c>
      <c r="CP195" s="7">
        <f>IF(93&gt;=17,('Testes estatísticos'!$D$22+'Testes estatísticos'!$D$98)/2,"")</f>
        <v>-4.2713764999999988</v>
      </c>
      <c r="CQ195" s="7">
        <f>IF(94&gt;=17,('Testes estatísticos'!$D$22+'Testes estatísticos'!$D$99)/2,"")</f>
        <v>-2.0902185000000024</v>
      </c>
      <c r="CR195" s="7">
        <f>IF(95&gt;=17,('Testes estatísticos'!$D$22+'Testes estatísticos'!$D$100)/2,"")</f>
        <v>-3.9960115000000016</v>
      </c>
      <c r="CS195" s="7">
        <f>IF(96&gt;=17,('Testes estatísticos'!$D$22+'Testes estatísticos'!$D$101)/2,"")</f>
        <v>-3.9520245000000038</v>
      </c>
      <c r="CT195" s="7">
        <f>IF(97&gt;=17,('Testes estatísticos'!$D$22+'Testes estatísticos'!$D$102)/2,"")</f>
        <v>-3.7189740000000029</v>
      </c>
      <c r="CU195" s="7">
        <f>IF(98&gt;=17,('Testes estatísticos'!$D$22+'Testes estatísticos'!$D$103)/2,"")</f>
        <v>-3.6616479999999996</v>
      </c>
      <c r="CV195" s="7">
        <f>IF(99&gt;=17,('Testes estatísticos'!$D$22+'Testes estatísticos'!$D$104)/2,"")</f>
        <v>-4.0964740000000006</v>
      </c>
      <c r="CW195" s="7">
        <f>IF(100&gt;=17,('Testes estatísticos'!$D$22+'Testes estatísticos'!$D$105)/2,"")</f>
        <v>-4.1959400000000002</v>
      </c>
      <c r="CX195" s="7">
        <f>IF(101&gt;=17,('Testes estatísticos'!$D$22+'Testes estatísticos'!$D$106)/2,"")</f>
        <v>-3.6730134999999997</v>
      </c>
      <c r="CY195" s="7">
        <f>IF(102&gt;=17,('Testes estatísticos'!$D$22+'Testes estatísticos'!$D$107)/2,"")</f>
        <v>-3.7286785000000009</v>
      </c>
      <c r="CZ195" s="7">
        <f>IF(103&gt;=17,('Testes estatísticos'!$D$22+'Testes estatísticos'!$D$108)/2,"")</f>
        <v>-4.2528450000000007</v>
      </c>
      <c r="DA195" s="7">
        <f>IF(104&gt;=17,('Testes estatísticos'!$D$22+'Testes estatísticos'!$D$109)/2,"")</f>
        <v>-3.9902109999999986</v>
      </c>
      <c r="DB195" s="7">
        <f>IF(105&gt;=17,('Testes estatísticos'!$D$22+'Testes estatísticos'!$D$110)/2,"")</f>
        <v>-3.9558800000000005</v>
      </c>
      <c r="DC195" s="7">
        <f>IF(106&gt;=17,('Testes estatísticos'!$D$22+'Testes estatísticos'!$D$111)/2,"")</f>
        <v>-3.2129590000000015</v>
      </c>
      <c r="DD195" s="7">
        <f>IF(107&gt;=17,('Testes estatísticos'!$D$22+'Testes estatísticos'!$D$112)/2,"")</f>
        <v>0.2802119999999988</v>
      </c>
      <c r="DE195" s="7">
        <f>IF(108&gt;=17,('Testes estatísticos'!$D$22+'Testes estatísticos'!$D$113)/2,"")</f>
        <v>-3.1424234999999996</v>
      </c>
      <c r="DF195" s="7">
        <f>IF(109&gt;=17,('Testes estatísticos'!$D$22+'Testes estatísticos'!$D$114)/2,"")</f>
        <v>-3.1786804999999987</v>
      </c>
      <c r="DG195" s="7">
        <f>IF(110&gt;=17,('Testes estatísticos'!$D$22+'Testes estatísticos'!$D$115)/2,"")</f>
        <v>-8.7258200000000024</v>
      </c>
      <c r="DH195" s="7">
        <f>IF(111&gt;=17,('Testes estatísticos'!$D$22+'Testes estatísticos'!$D$116)/2,"")</f>
        <v>-3.0449894999999998</v>
      </c>
      <c r="DI195" s="7">
        <f>IF(112&gt;=17,('Testes estatísticos'!$D$22+'Testes estatísticos'!$D$117)/2,"")</f>
        <v>2.3834504999999986</v>
      </c>
      <c r="DJ195" s="7">
        <f>IF(113&gt;=17,('Testes estatísticos'!$D$22+'Testes estatísticos'!$D$118)/2,"")</f>
        <v>-3.0731065000000015</v>
      </c>
      <c r="DK195" s="7">
        <f>IF(114&gt;=17,('Testes estatísticos'!$D$22+'Testes estatísticos'!$D$119)/2,"")</f>
        <v>-3.1748565000000006</v>
      </c>
      <c r="DL195" s="7">
        <f>IF(115&gt;=17,('Testes estatísticos'!$D$22+'Testes estatísticos'!$D$120)/2,"")</f>
        <v>-3.1283789999999989</v>
      </c>
      <c r="DM195" s="7">
        <f>IF(116&gt;=17,('Testes estatísticos'!$D$22+'Testes estatísticos'!$D$121)/2,"")</f>
        <v>-3.1197765000000004</v>
      </c>
      <c r="DN195" s="7">
        <f>IF(117&gt;=17,('Testes estatísticos'!$D$22+'Testes estatísticos'!$D$122)/2,"")</f>
        <v>-3.0967085000000019</v>
      </c>
      <c r="DO195" s="7">
        <f>IF(118&gt;=17,('Testes estatísticos'!$D$22+'Testes estatísticos'!$D$123)/2,"")</f>
        <v>-3.0467980000000026</v>
      </c>
      <c r="DP195" s="7">
        <f>IF(119&gt;=17,('Testes estatísticos'!$D$22+'Testes estatísticos'!$D$124)/2,"")</f>
        <v>-3.0680095000000023</v>
      </c>
      <c r="DQ195" s="7">
        <f>IF(120&gt;=17,('Testes estatísticos'!$D$22+'Testes estatísticos'!$D$125)/2,"")</f>
        <v>-1.6394999999999271E-2</v>
      </c>
      <c r="DR195" s="7">
        <f>IF(121&gt;=17,('Testes estatísticos'!$D$22+'Testes estatísticos'!$D$126)/2,"")</f>
        <v>-2.8054115000000017</v>
      </c>
      <c r="DS195" s="7">
        <f>IF(122&gt;=17,('Testes estatísticos'!$D$22+'Testes estatísticos'!$D$127)/2,"")</f>
        <v>-3.8708199999999984</v>
      </c>
      <c r="DT195" s="7">
        <f>IF(123&gt;=17,('Testes estatísticos'!$D$22+'Testes estatísticos'!$D$128)/2,"")</f>
        <v>2.1980494999999962</v>
      </c>
      <c r="DU195" s="7">
        <f>IF(124&gt;=17,('Testes estatísticos'!$D$22+'Testes estatísticos'!$D$129)/2,"")</f>
        <v>-2.6977220000000024</v>
      </c>
      <c r="DV195" s="7">
        <f>IF(125&gt;=17,('Testes estatísticos'!$D$22+'Testes estatísticos'!$D$130)/2,"")</f>
        <v>-1.539414500000003</v>
      </c>
      <c r="DW195" s="7">
        <f>IF(126&gt;=17,('Testes estatísticos'!$D$22+'Testes estatísticos'!$D$131)/2,"")</f>
        <v>-3.9428905000000007</v>
      </c>
      <c r="DX195" s="7">
        <f>IF(127&gt;=17,('Testes estatísticos'!$D$22+'Testes estatísticos'!$D$132)/2,"")</f>
        <v>-5.9990820000000014</v>
      </c>
      <c r="DY195" s="7">
        <f>IF(128&gt;=17,('Testes estatísticos'!$D$22+'Testes estatísticos'!$D$133)/2,"")</f>
        <v>-6.3401715000000003</v>
      </c>
      <c r="DZ195" s="7">
        <f>IF(129&gt;=17,('Testes estatísticos'!$D$22+'Testes estatísticos'!$D$134)/2,"")</f>
        <v>-9.7639615000000006</v>
      </c>
      <c r="EA195" s="7">
        <f>IF(130&gt;=17,('Testes estatísticos'!$D$22+'Testes estatísticos'!$D$135)/2,"")</f>
        <v>-4.0021914999999986</v>
      </c>
      <c r="EB195" s="7">
        <f>IF(131&gt;=17,('Testes estatísticos'!$D$22+'Testes estatísticos'!$D$136)/2,"")</f>
        <v>-3.9143185000000038</v>
      </c>
      <c r="EC195" s="7">
        <f>IF(132&gt;=17,('Testes estatísticos'!$D$22+'Testes estatísticos'!$D$137)/2,"")</f>
        <v>-5.401055000000003</v>
      </c>
      <c r="ED195" s="7">
        <f>IF(133&gt;=17,('Testes estatísticos'!$D$22+'Testes estatísticos'!$D$138)/2,"")</f>
        <v>-3.2121175000000015</v>
      </c>
      <c r="EE195" s="7">
        <f>IF(134&gt;=17,('Testes estatísticos'!$D$22+'Testes estatísticos'!$D$139)/2,"")</f>
        <v>-5.5093080000000043</v>
      </c>
      <c r="EF195" s="7">
        <f>IF(135&gt;=17,('Testes estatísticos'!$D$22+'Testes estatísticos'!$D$140)/2,"")</f>
        <v>-2.2948754999999998</v>
      </c>
      <c r="EG195" s="7">
        <f>IF(136&gt;=17,('Testes estatísticos'!$D$22+'Testes estatísticos'!$D$141)/2,"")</f>
        <v>-3.988365500000004</v>
      </c>
      <c r="EH195" s="7">
        <f>IF(137&gt;=17,('Testes estatísticos'!$D$22+'Testes estatísticos'!$D$142)/2,"")</f>
        <v>-2.283625500000003</v>
      </c>
      <c r="EI195" s="7">
        <f>IF(138&gt;=17,('Testes estatísticos'!$D$22+'Testes estatísticos'!$D$143)/2,"")</f>
        <v>-3.9486409999999985</v>
      </c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</row>
    <row r="196" spans="2:151" x14ac:dyDescent="0.3">
      <c r="B196" s="7" t="str">
        <f>IF(1&gt;=18,('Testes estatísticos'!$D$23+'Testes estatísticos'!$D$6)/2,"")</f>
        <v/>
      </c>
      <c r="C196" s="7" t="str">
        <f>IF(2&gt;=18,('Testes estatísticos'!$D$23+'Testes estatísticos'!$D$7)/2,"")</f>
        <v/>
      </c>
      <c r="D196" s="7" t="str">
        <f>IF(3&gt;=18,('Testes estatísticos'!$D$23+'Testes estatísticos'!$D$8)/2,"")</f>
        <v/>
      </c>
      <c r="E196" s="7" t="str">
        <f>IF(4&gt;=18,('Testes estatísticos'!$D$23+'Testes estatísticos'!$D$9)/2,"")</f>
        <v/>
      </c>
      <c r="F196" s="7" t="str">
        <f>IF(5&gt;=18,('Testes estatísticos'!$D$23+'Testes estatísticos'!$D$10)/2,"")</f>
        <v/>
      </c>
      <c r="G196" s="7" t="str">
        <f>IF(6&gt;=18,('Testes estatísticos'!$D$23+'Testes estatísticos'!$D$11)/2,"")</f>
        <v/>
      </c>
      <c r="H196" s="7" t="str">
        <f>IF(7&gt;=18,('Testes estatísticos'!$D$23+'Testes estatísticos'!$D$12)/2,"")</f>
        <v/>
      </c>
      <c r="I196" s="7" t="str">
        <f>IF(8&gt;=18,('Testes estatísticos'!$D$23+'Testes estatísticos'!$D$13)/2,"")</f>
        <v/>
      </c>
      <c r="J196" s="7" t="str">
        <f>IF(9&gt;=18,('Testes estatísticos'!$D$23+'Testes estatísticos'!$D$14)/2,"")</f>
        <v/>
      </c>
      <c r="K196" s="7" t="str">
        <f>IF(10&gt;=18,('Testes estatísticos'!$D$23+'Testes estatísticos'!$D$15)/2,"")</f>
        <v/>
      </c>
      <c r="L196" s="7" t="str">
        <f>IF(11&gt;=18,('Testes estatísticos'!$D$23+'Testes estatísticos'!$D$16)/2,"")</f>
        <v/>
      </c>
      <c r="M196" s="7" t="str">
        <f>IF(12&gt;=18,('Testes estatísticos'!$D$23+'Testes estatísticos'!$D$17)/2,"")</f>
        <v/>
      </c>
      <c r="N196" s="7" t="str">
        <f>IF(13&gt;=18,('Testes estatísticos'!$D$23+'Testes estatísticos'!$D$18)/2,"")</f>
        <v/>
      </c>
      <c r="O196" s="7" t="str">
        <f>IF(14&gt;=18,('Testes estatísticos'!$D$23+'Testes estatísticos'!$D$19)/2,"")</f>
        <v/>
      </c>
      <c r="P196" s="7" t="str">
        <f>IF(15&gt;=18,('Testes estatísticos'!$D$23+'Testes estatísticos'!$D$20)/2,"")</f>
        <v/>
      </c>
      <c r="Q196" s="7" t="str">
        <f>IF(16&gt;=18,('Testes estatísticos'!$D$23+'Testes estatísticos'!$D$21)/2,"")</f>
        <v/>
      </c>
      <c r="R196" s="7" t="str">
        <f>IF(17&gt;=18,('Testes estatísticos'!$D$23+'Testes estatísticos'!$D$22)/2,"")</f>
        <v/>
      </c>
      <c r="S196" s="7">
        <f>IF(18&gt;=18,('Testes estatísticos'!$D$23+'Testes estatísticos'!$D$23)/2,"")</f>
        <v>-6.2591940000000008</v>
      </c>
      <c r="T196" s="7">
        <f>IF(19&gt;=18,('Testes estatísticos'!$D$23+'Testes estatísticos'!$D$24)/2,"")</f>
        <v>-5.8607530000000025</v>
      </c>
      <c r="U196" s="7">
        <f>IF(20&gt;=18,('Testes estatísticos'!$D$23+'Testes estatísticos'!$D$25)/2,"")</f>
        <v>-6.8061209999999974</v>
      </c>
      <c r="V196" s="7">
        <f>IF(21&gt;=18,('Testes estatísticos'!$D$23+'Testes estatísticos'!$D$26)/2,"")</f>
        <v>-4.9474359999999997</v>
      </c>
      <c r="W196" s="7">
        <f>IF(22&gt;=18,('Testes estatísticos'!$D$23+'Testes estatísticos'!$D$27)/2,"")</f>
        <v>-4.9836655000000007</v>
      </c>
      <c r="X196" s="7">
        <f>IF(23&gt;=18,('Testes estatísticos'!$D$23+'Testes estatísticos'!$D$28)/2,"")</f>
        <v>-5.1065429999999985</v>
      </c>
      <c r="Y196" s="7">
        <f>IF(24&gt;=18,('Testes estatísticos'!$D$23+'Testes estatísticos'!$D$29)/2,"")</f>
        <v>-4.5433625000000006</v>
      </c>
      <c r="Z196" s="7">
        <f>IF(25&gt;=18,('Testes estatísticos'!$D$23+'Testes estatísticos'!$D$30)/2,"")</f>
        <v>-4.2297995000000022</v>
      </c>
      <c r="AA196" s="7">
        <f>IF(26&gt;=18,('Testes estatísticos'!$D$23+'Testes estatísticos'!$D$31)/2,"")</f>
        <v>-4.2263289999999998</v>
      </c>
      <c r="AB196" s="7">
        <f>IF(27&gt;=18,('Testes estatísticos'!$D$23+'Testes estatísticos'!$D$32)/2,"")</f>
        <v>-4.3309379999999997</v>
      </c>
      <c r="AC196" s="7">
        <f>IF(28&gt;=18,('Testes estatísticos'!$D$23+'Testes estatísticos'!$D$33)/2,"")</f>
        <v>-4.2712235000000014</v>
      </c>
      <c r="AD196" s="7">
        <f>IF(29&gt;=18,('Testes estatísticos'!$D$23+'Testes estatísticos'!$D$34)/2,"")</f>
        <v>-3.5419615000000029</v>
      </c>
      <c r="AE196" s="7">
        <f>IF(30&gt;=18,('Testes estatísticos'!$D$23+'Testes estatísticos'!$D$35)/2,"")</f>
        <v>-4.8555075000000016</v>
      </c>
      <c r="AF196" s="7">
        <f>IF(31&gt;=18,('Testes estatísticos'!$D$23+'Testes estatísticos'!$D$36)/2,"")</f>
        <v>-5.1979019999999991</v>
      </c>
      <c r="AG196" s="7">
        <f>IF(32&gt;=18,('Testes estatísticos'!$D$23+'Testes estatísticos'!$D$37)/2,"")</f>
        <v>-4.094281500000001</v>
      </c>
      <c r="AH196" s="7">
        <f>IF(33&gt;=18,('Testes estatísticos'!$D$23+'Testes estatísticos'!$D$38)/2,"")</f>
        <v>-4.2598210000000023</v>
      </c>
      <c r="AI196" s="7">
        <f>IF(34&gt;=18,('Testes estatísticos'!$D$23+'Testes estatísticos'!$D$39)/2,"")</f>
        <v>-1.4432749999999999</v>
      </c>
      <c r="AJ196" s="7">
        <f>IF(35&gt;=18,('Testes estatísticos'!$D$23+'Testes estatísticos'!$D$40)/2,"")</f>
        <v>-4.1847729999999999</v>
      </c>
      <c r="AK196" s="7">
        <f>IF(36&gt;=18,('Testes estatísticos'!$D$23+'Testes estatísticos'!$D$41)/2,"")</f>
        <v>-1.9168285000000012</v>
      </c>
      <c r="AL196" s="7">
        <f>IF(37&gt;=18,('Testes estatísticos'!$D$23+'Testes estatísticos'!$D$42)/2,"")</f>
        <v>-4.195389500000001</v>
      </c>
      <c r="AM196" s="7">
        <f>IF(38&gt;=18,('Testes estatísticos'!$D$23+'Testes estatísticos'!$D$43)/2,"")</f>
        <v>-4.1825299999999999</v>
      </c>
      <c r="AN196" s="7">
        <f>IF(39&gt;=18,('Testes estatísticos'!$D$23+'Testes estatísticos'!$D$44)/2,"")</f>
        <v>-5.3195240000000013</v>
      </c>
      <c r="AO196" s="7">
        <f>IF(40&gt;=18,('Testes estatísticos'!$D$23+'Testes estatísticos'!$D$45)/2,"")</f>
        <v>-1.3445975000000026</v>
      </c>
      <c r="AP196" s="7">
        <f>IF(41&gt;=18,('Testes estatísticos'!$D$23+'Testes estatísticos'!$D$46)/2,"")</f>
        <v>-3.8505369999999992</v>
      </c>
      <c r="AQ196" s="7">
        <f>IF(42&gt;=18,('Testes estatísticos'!$D$23+'Testes estatísticos'!$D$47)/2,"")</f>
        <v>-2.7081780000000002</v>
      </c>
      <c r="AR196" s="7">
        <f>IF(43&gt;=18,('Testes estatísticos'!$D$23+'Testes estatísticos'!$D$48)/2,"")</f>
        <v>-3.7570920000000001</v>
      </c>
      <c r="AS196" s="7">
        <f>IF(44&gt;=18,('Testes estatísticos'!$D$23+'Testes estatísticos'!$D$49)/2,"")</f>
        <v>-4.288215000000001</v>
      </c>
      <c r="AT196" s="7">
        <f>IF(45&gt;=18,('Testes estatísticos'!$D$23+'Testes estatísticos'!$D$50)/2,"")</f>
        <v>-3.4591364999999996</v>
      </c>
      <c r="AU196" s="7">
        <f>IF(46&gt;=18,('Testes estatísticos'!$D$23+'Testes estatísticos'!$D$51)/2,"")</f>
        <v>-6.4903325000000009</v>
      </c>
      <c r="AV196" s="7">
        <f>IF(47&gt;=18,('Testes estatísticos'!$D$23+'Testes estatísticos'!$D$52)/2,"")</f>
        <v>-1.4201595000000005</v>
      </c>
      <c r="AW196" s="7">
        <f>IF(48&gt;=18,('Testes estatísticos'!$D$23+'Testes estatísticos'!$D$53)/2,"")</f>
        <v>-5.8561905000000003</v>
      </c>
      <c r="AX196" s="7">
        <f>IF(49&gt;=18,('Testes estatísticos'!$D$23+'Testes estatísticos'!$D$54)/2,"")</f>
        <v>-4.5963999999999992</v>
      </c>
      <c r="AY196" s="7">
        <f>IF(50&gt;=18,('Testes estatísticos'!$D$23+'Testes estatísticos'!$D$55)/2,"")</f>
        <v>-2.9712354999999988</v>
      </c>
      <c r="AZ196" s="7">
        <f>IF(51&gt;=18,('Testes estatísticos'!$D$23+'Testes estatísticos'!$D$56)/2,"")</f>
        <v>-2.9267660000000006</v>
      </c>
      <c r="BA196" s="7">
        <f>IF(52&gt;=18,('Testes estatísticos'!$D$23+'Testes estatísticos'!$D$57)/2,"")</f>
        <v>-6.3349820000000001</v>
      </c>
      <c r="BB196" s="7">
        <f>IF(53&gt;=18,('Testes estatísticos'!$D$23+'Testes estatísticos'!$D$58)/2,"")</f>
        <v>-2.9262194999999984</v>
      </c>
      <c r="BC196" s="7">
        <f>IF(54&gt;=18,('Testes estatísticos'!$D$23+'Testes estatísticos'!$D$59)/2,"")</f>
        <v>-3.8458620000000003</v>
      </c>
      <c r="BD196" s="7">
        <f>IF(55&gt;=18,('Testes estatísticos'!$D$23+'Testes estatísticos'!$D$60)/2,"")</f>
        <v>-0.75019100000000094</v>
      </c>
      <c r="BE196" s="7">
        <f>IF(56&gt;=18,('Testes estatísticos'!$D$23+'Testes estatísticos'!$D$61)/2,"")</f>
        <v>-3.3801594999999978</v>
      </c>
      <c r="BF196" s="7">
        <f>IF(57&gt;=18,('Testes estatísticos'!$D$23+'Testes estatísticos'!$D$62)/2,"")</f>
        <v>-6.7803495000000034</v>
      </c>
      <c r="BG196" s="7">
        <f>IF(58&gt;=18,('Testes estatísticos'!$D$23+'Testes estatísticos'!$D$63)/2,"")</f>
        <v>-1.5144544999999994</v>
      </c>
      <c r="BH196" s="7">
        <f>IF(59&gt;=18,('Testes estatísticos'!$D$23+'Testes estatísticos'!$D$64)/2,"")</f>
        <v>-7.3580670000000019</v>
      </c>
      <c r="BI196" s="7">
        <f>IF(60&gt;=18,('Testes estatísticos'!$D$23+'Testes estatísticos'!$D$65)/2,"")</f>
        <v>-5.6104759999999985</v>
      </c>
      <c r="BJ196" s="7">
        <f>IF(61&gt;=18,('Testes estatísticos'!$D$23+'Testes estatísticos'!$D$66)/2,"")</f>
        <v>-2.9754210000000008</v>
      </c>
      <c r="BK196" s="7">
        <f>IF(62&gt;=18,('Testes estatísticos'!$D$23+'Testes estatísticos'!$D$67)/2,"")</f>
        <v>-3.484216</v>
      </c>
      <c r="BL196" s="7">
        <f>IF(63&gt;=18,('Testes estatísticos'!$D$23+'Testes estatísticos'!$D$68)/2,"")</f>
        <v>-2.5849015000000009</v>
      </c>
      <c r="BM196" s="7">
        <f>IF(64&gt;=18,('Testes estatísticos'!$D$23+'Testes estatísticos'!$D$69)/2,"")</f>
        <v>-2.5340595000000015</v>
      </c>
      <c r="BN196" s="7">
        <f>IF(65&gt;=18,('Testes estatísticos'!$D$23+'Testes estatísticos'!$D$70)/2,"")</f>
        <v>-4.6798660000000005</v>
      </c>
      <c r="BO196" s="7">
        <f>IF(66&gt;=18,('Testes estatísticos'!$D$23+'Testes estatísticos'!$D$71)/2,"")</f>
        <v>-3.7840135000000004</v>
      </c>
      <c r="BP196" s="7">
        <f>IF(67&gt;=18,('Testes estatísticos'!$D$23+'Testes estatísticos'!$D$72)/2,"")</f>
        <v>-6.6744725000000003</v>
      </c>
      <c r="BQ196" s="7">
        <f>IF(68&gt;=18,('Testes estatísticos'!$D$23+'Testes estatísticos'!$D$73)/2,"")</f>
        <v>-2.0112395000000021</v>
      </c>
      <c r="BR196" s="7">
        <f>IF(69&gt;=18,('Testes estatísticos'!$D$23+'Testes estatísticos'!$D$74)/2,"")</f>
        <v>-1.3790575000000018</v>
      </c>
      <c r="BS196" s="7">
        <f>IF(70&gt;=18,('Testes estatísticos'!$D$23+'Testes estatísticos'!$D$75)/2,"")</f>
        <v>-2.3835220000000028</v>
      </c>
      <c r="BT196" s="7">
        <f>IF(71&gt;=18,('Testes estatísticos'!$D$23+'Testes estatísticos'!$D$76)/2,"")</f>
        <v>-0.80915700000000257</v>
      </c>
      <c r="BU196" s="7">
        <f>IF(72&gt;=18,('Testes estatísticos'!$D$23+'Testes estatísticos'!$D$77)/2,"")</f>
        <v>-6.4088540000000016</v>
      </c>
      <c r="BV196" s="7">
        <f>IF(73&gt;=18,('Testes estatísticos'!$D$23+'Testes estatísticos'!$D$78)/2,"")</f>
        <v>-4.3353795000000019</v>
      </c>
      <c r="BW196" s="7">
        <f>IF(74&gt;=18,('Testes estatísticos'!$D$23+'Testes estatísticos'!$D$79)/2,"")</f>
        <v>-5.0186980000000005</v>
      </c>
      <c r="BX196" s="7">
        <f>IF(75&gt;=18,('Testes estatísticos'!$D$23+'Testes estatísticos'!$D$80)/2,"")</f>
        <v>-5.0404760000000017</v>
      </c>
      <c r="BY196" s="7">
        <f>IF(76&gt;=18,('Testes estatísticos'!$D$23+'Testes estatísticos'!$D$81)/2,"")</f>
        <v>-0.90901799999999966</v>
      </c>
      <c r="BZ196" s="7">
        <f>IF(77&gt;=18,('Testes estatísticos'!$D$23+'Testes estatísticos'!$D$82)/2,"")</f>
        <v>-6.1706074999999991</v>
      </c>
      <c r="CA196" s="7">
        <f>IF(78&gt;=18,('Testes estatísticos'!$D$23+'Testes estatísticos'!$D$83)/2,"")</f>
        <v>-4.4103484999999978</v>
      </c>
      <c r="CB196" s="7">
        <f>IF(79&gt;=18,('Testes estatísticos'!$D$23+'Testes estatísticos'!$D$84)/2,"")</f>
        <v>-4.358626000000001</v>
      </c>
      <c r="CC196" s="7">
        <f>IF(80&gt;=18,('Testes estatísticos'!$D$23+'Testes estatísticos'!$D$85)/2,"")</f>
        <v>-6.1656425000000006</v>
      </c>
      <c r="CD196" s="7">
        <f>IF(81&gt;=18,('Testes estatísticos'!$D$23+'Testes estatísticos'!$D$86)/2,"")</f>
        <v>-6.2157875000000011</v>
      </c>
      <c r="CE196" s="7">
        <f>IF(82&gt;=18,('Testes estatísticos'!$D$23+'Testes estatísticos'!$D$87)/2,"")</f>
        <v>-4.1379970000000021</v>
      </c>
      <c r="CF196" s="7">
        <f>IF(83&gt;=18,('Testes estatísticos'!$D$23+'Testes estatísticos'!$D$88)/2,"")</f>
        <v>-4.6668040000000026</v>
      </c>
      <c r="CG196" s="7">
        <f>IF(84&gt;=18,('Testes estatísticos'!$D$23+'Testes estatísticos'!$D$89)/2,"")</f>
        <v>-4.9987110000000001</v>
      </c>
      <c r="CH196" s="7">
        <f>IF(85&gt;=18,('Testes estatísticos'!$D$23+'Testes estatísticos'!$D$90)/2,"")</f>
        <v>-3.1831640000000014</v>
      </c>
      <c r="CI196" s="7">
        <f>IF(86&gt;=18,('Testes estatísticos'!$D$23+'Testes estatísticos'!$D$91)/2,"")</f>
        <v>-5.8733234999999979</v>
      </c>
      <c r="CJ196" s="7">
        <f>IF(87&gt;=18,('Testes estatísticos'!$D$23+'Testes estatísticos'!$D$92)/2,"")</f>
        <v>-4.6311169999999997</v>
      </c>
      <c r="CK196" s="7">
        <f>IF(88&gt;=18,('Testes estatísticos'!$D$23+'Testes estatísticos'!$D$93)/2,"")</f>
        <v>-4.3870335000000011</v>
      </c>
      <c r="CL196" s="7">
        <f>IF(89&gt;=18,('Testes estatísticos'!$D$23+'Testes estatísticos'!$D$94)/2,"")</f>
        <v>-4.9986255000000028</v>
      </c>
      <c r="CM196" s="7">
        <f>IF(90&gt;=18,('Testes estatísticos'!$D$23+'Testes estatísticos'!$D$95)/2,"")</f>
        <v>-7.3327574999999996</v>
      </c>
      <c r="CN196" s="7">
        <f>IF(91&gt;=18,('Testes estatísticos'!$D$23+'Testes estatísticos'!$D$96)/2,"")</f>
        <v>-4.7942344999999982</v>
      </c>
      <c r="CO196" s="7">
        <f>IF(92&gt;=18,('Testes estatísticos'!$D$23+'Testes estatísticos'!$D$97)/2,"")</f>
        <v>-5.1407379999999989</v>
      </c>
      <c r="CP196" s="7">
        <f>IF(93&gt;=18,('Testes estatísticos'!$D$23+'Testes estatísticos'!$D$98)/2,"")</f>
        <v>-5.3454899999999981</v>
      </c>
      <c r="CQ196" s="7">
        <f>IF(94&gt;=18,('Testes estatísticos'!$D$23+'Testes estatísticos'!$D$99)/2,"")</f>
        <v>-3.1643320000000017</v>
      </c>
      <c r="CR196" s="7">
        <f>IF(95&gt;=18,('Testes estatísticos'!$D$23+'Testes estatísticos'!$D$100)/2,"")</f>
        <v>-5.0701250000000009</v>
      </c>
      <c r="CS196" s="7">
        <f>IF(96&gt;=18,('Testes estatísticos'!$D$23+'Testes estatísticos'!$D$101)/2,"")</f>
        <v>-5.0261380000000031</v>
      </c>
      <c r="CT196" s="7">
        <f>IF(97&gt;=18,('Testes estatísticos'!$D$23+'Testes estatísticos'!$D$102)/2,"")</f>
        <v>-4.7930875000000022</v>
      </c>
      <c r="CU196" s="7">
        <f>IF(98&gt;=18,('Testes estatísticos'!$D$23+'Testes estatísticos'!$D$103)/2,"")</f>
        <v>-4.7357614999999988</v>
      </c>
      <c r="CV196" s="7">
        <f>IF(99&gt;=18,('Testes estatísticos'!$D$23+'Testes estatísticos'!$D$104)/2,"")</f>
        <v>-5.1705874999999999</v>
      </c>
      <c r="CW196" s="7">
        <f>IF(100&gt;=18,('Testes estatísticos'!$D$23+'Testes estatísticos'!$D$105)/2,"")</f>
        <v>-5.2700534999999995</v>
      </c>
      <c r="CX196" s="7">
        <f>IF(101&gt;=18,('Testes estatísticos'!$D$23+'Testes estatísticos'!$D$106)/2,"")</f>
        <v>-4.747126999999999</v>
      </c>
      <c r="CY196" s="7">
        <f>IF(102&gt;=18,('Testes estatísticos'!$D$23+'Testes estatísticos'!$D$107)/2,"")</f>
        <v>-4.8027920000000002</v>
      </c>
      <c r="CZ196" s="7">
        <f>IF(103&gt;=18,('Testes estatísticos'!$D$23+'Testes estatísticos'!$D$108)/2,"")</f>
        <v>-5.3269584999999999</v>
      </c>
      <c r="DA196" s="7">
        <f>IF(104&gt;=18,('Testes estatísticos'!$D$23+'Testes estatísticos'!$D$109)/2,"")</f>
        <v>-5.0643244999999979</v>
      </c>
      <c r="DB196" s="7">
        <f>IF(105&gt;=18,('Testes estatísticos'!$D$23+'Testes estatísticos'!$D$110)/2,"")</f>
        <v>-5.0299934999999998</v>
      </c>
      <c r="DC196" s="7">
        <f>IF(106&gt;=18,('Testes estatísticos'!$D$23+'Testes estatísticos'!$D$111)/2,"")</f>
        <v>-4.2870725000000007</v>
      </c>
      <c r="DD196" s="7">
        <f>IF(107&gt;=18,('Testes estatísticos'!$D$23+'Testes estatísticos'!$D$112)/2,"")</f>
        <v>-0.79390150000000048</v>
      </c>
      <c r="DE196" s="7">
        <f>IF(108&gt;=18,('Testes estatísticos'!$D$23+'Testes estatísticos'!$D$113)/2,"")</f>
        <v>-4.2165369999999989</v>
      </c>
      <c r="DF196" s="7">
        <f>IF(109&gt;=18,('Testes estatísticos'!$D$23+'Testes estatísticos'!$D$114)/2,"")</f>
        <v>-4.252793999999998</v>
      </c>
      <c r="DG196" s="7">
        <f>IF(110&gt;=18,('Testes estatísticos'!$D$23+'Testes estatísticos'!$D$115)/2,"")</f>
        <v>-9.7999335000000016</v>
      </c>
      <c r="DH196" s="7">
        <f>IF(111&gt;=18,('Testes estatísticos'!$D$23+'Testes estatísticos'!$D$116)/2,"")</f>
        <v>-4.1191029999999991</v>
      </c>
      <c r="DI196" s="7">
        <f>IF(112&gt;=18,('Testes estatísticos'!$D$23+'Testes estatísticos'!$D$117)/2,"")</f>
        <v>1.3093369999999993</v>
      </c>
      <c r="DJ196" s="7">
        <f>IF(113&gt;=18,('Testes estatísticos'!$D$23+'Testes estatísticos'!$D$118)/2,"")</f>
        <v>-4.1472200000000008</v>
      </c>
      <c r="DK196" s="7">
        <f>IF(114&gt;=18,('Testes estatísticos'!$D$23+'Testes estatísticos'!$D$119)/2,"")</f>
        <v>-4.2489699999999999</v>
      </c>
      <c r="DL196" s="7">
        <f>IF(115&gt;=18,('Testes estatísticos'!$D$23+'Testes estatísticos'!$D$120)/2,"")</f>
        <v>-4.2024924999999982</v>
      </c>
      <c r="DM196" s="7">
        <f>IF(116&gt;=18,('Testes estatísticos'!$D$23+'Testes estatísticos'!$D$121)/2,"")</f>
        <v>-4.1938899999999997</v>
      </c>
      <c r="DN196" s="7">
        <f>IF(117&gt;=18,('Testes estatísticos'!$D$23+'Testes estatísticos'!$D$122)/2,"")</f>
        <v>-4.1708220000000011</v>
      </c>
      <c r="DO196" s="7">
        <f>IF(118&gt;=18,('Testes estatísticos'!$D$23+'Testes estatísticos'!$D$123)/2,"")</f>
        <v>-4.1209115000000018</v>
      </c>
      <c r="DP196" s="7">
        <f>IF(119&gt;=18,('Testes estatísticos'!$D$23+'Testes estatísticos'!$D$124)/2,"")</f>
        <v>-4.1421230000000016</v>
      </c>
      <c r="DQ196" s="7">
        <f>IF(120&gt;=18,('Testes estatísticos'!$D$23+'Testes estatísticos'!$D$125)/2,"")</f>
        <v>-1.0905084999999985</v>
      </c>
      <c r="DR196" s="7">
        <f>IF(121&gt;=18,('Testes estatísticos'!$D$23+'Testes estatísticos'!$D$126)/2,"")</f>
        <v>-3.879525000000001</v>
      </c>
      <c r="DS196" s="7">
        <f>IF(122&gt;=18,('Testes estatísticos'!$D$23+'Testes estatísticos'!$D$127)/2,"")</f>
        <v>-4.9449334999999977</v>
      </c>
      <c r="DT196" s="7">
        <f>IF(123&gt;=18,('Testes estatísticos'!$D$23+'Testes estatísticos'!$D$128)/2,"")</f>
        <v>1.1239359999999969</v>
      </c>
      <c r="DU196" s="7">
        <f>IF(124&gt;=18,('Testes estatísticos'!$D$23+'Testes estatísticos'!$D$129)/2,"")</f>
        <v>-3.7718355000000017</v>
      </c>
      <c r="DV196" s="7">
        <f>IF(125&gt;=18,('Testes estatísticos'!$D$23+'Testes estatísticos'!$D$130)/2,"")</f>
        <v>-2.6135280000000023</v>
      </c>
      <c r="DW196" s="7">
        <f>IF(126&gt;=18,('Testes estatísticos'!$D$23+'Testes estatísticos'!$D$131)/2,"")</f>
        <v>-5.017004</v>
      </c>
      <c r="DX196" s="7">
        <f>IF(127&gt;=18,('Testes estatísticos'!$D$23+'Testes estatísticos'!$D$132)/2,"")</f>
        <v>-7.0731955000000006</v>
      </c>
      <c r="DY196" s="7">
        <f>IF(128&gt;=18,('Testes estatísticos'!$D$23+'Testes estatísticos'!$D$133)/2,"")</f>
        <v>-7.4142849999999996</v>
      </c>
      <c r="DZ196" s="7">
        <f>IF(129&gt;=18,('Testes estatísticos'!$D$23+'Testes estatísticos'!$D$134)/2,"")</f>
        <v>-10.838075</v>
      </c>
      <c r="EA196" s="7">
        <f>IF(130&gt;=18,('Testes estatísticos'!$D$23+'Testes estatísticos'!$D$135)/2,"")</f>
        <v>-5.0763049999999978</v>
      </c>
      <c r="EB196" s="7">
        <f>IF(131&gt;=18,('Testes estatísticos'!$D$23+'Testes estatísticos'!$D$136)/2,"")</f>
        <v>-4.9884320000000031</v>
      </c>
      <c r="EC196" s="7">
        <f>IF(132&gt;=18,('Testes estatísticos'!$D$23+'Testes estatísticos'!$D$137)/2,"")</f>
        <v>-6.4751685000000023</v>
      </c>
      <c r="ED196" s="7">
        <f>IF(133&gt;=18,('Testes estatísticos'!$D$23+'Testes estatísticos'!$D$138)/2,"")</f>
        <v>-4.2862310000000008</v>
      </c>
      <c r="EE196" s="7">
        <f>IF(134&gt;=18,('Testes estatísticos'!$D$23+'Testes estatísticos'!$D$139)/2,"")</f>
        <v>-6.5834215000000036</v>
      </c>
      <c r="EF196" s="7">
        <f>IF(135&gt;=18,('Testes estatísticos'!$D$23+'Testes estatísticos'!$D$140)/2,"")</f>
        <v>-3.3689889999999991</v>
      </c>
      <c r="EG196" s="7">
        <f>IF(136&gt;=18,('Testes estatísticos'!$D$23+'Testes estatísticos'!$D$141)/2,"")</f>
        <v>-5.0624790000000033</v>
      </c>
      <c r="EH196" s="7">
        <f>IF(137&gt;=18,('Testes estatísticos'!$D$23+'Testes estatísticos'!$D$142)/2,"")</f>
        <v>-3.3577390000000022</v>
      </c>
      <c r="EI196" s="7">
        <f>IF(138&gt;=18,('Testes estatísticos'!$D$23+'Testes estatísticos'!$D$143)/2,"")</f>
        <v>-5.0227544999999978</v>
      </c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</row>
    <row r="197" spans="2:151" x14ac:dyDescent="0.3">
      <c r="B197" s="7" t="str">
        <f>IF(1&gt;=19,('Testes estatísticos'!$D$24+'Testes estatísticos'!$D$6)/2,"")</f>
        <v/>
      </c>
      <c r="C197" s="7" t="str">
        <f>IF(2&gt;=19,('Testes estatísticos'!$D$24+'Testes estatísticos'!$D$7)/2,"")</f>
        <v/>
      </c>
      <c r="D197" s="7" t="str">
        <f>IF(3&gt;=19,('Testes estatísticos'!$D$24+'Testes estatísticos'!$D$8)/2,"")</f>
        <v/>
      </c>
      <c r="E197" s="7" t="str">
        <f>IF(4&gt;=19,('Testes estatísticos'!$D$24+'Testes estatísticos'!$D$9)/2,"")</f>
        <v/>
      </c>
      <c r="F197" s="7" t="str">
        <f>IF(5&gt;=19,('Testes estatísticos'!$D$24+'Testes estatísticos'!$D$10)/2,"")</f>
        <v/>
      </c>
      <c r="G197" s="7" t="str">
        <f>IF(6&gt;=19,('Testes estatísticos'!$D$24+'Testes estatísticos'!$D$11)/2,"")</f>
        <v/>
      </c>
      <c r="H197" s="7" t="str">
        <f>IF(7&gt;=19,('Testes estatísticos'!$D$24+'Testes estatísticos'!$D$12)/2,"")</f>
        <v/>
      </c>
      <c r="I197" s="7" t="str">
        <f>IF(8&gt;=19,('Testes estatísticos'!$D$24+'Testes estatísticos'!$D$13)/2,"")</f>
        <v/>
      </c>
      <c r="J197" s="7" t="str">
        <f>IF(9&gt;=19,('Testes estatísticos'!$D$24+'Testes estatísticos'!$D$14)/2,"")</f>
        <v/>
      </c>
      <c r="K197" s="7" t="str">
        <f>IF(10&gt;=19,('Testes estatísticos'!$D$24+'Testes estatísticos'!$D$15)/2,"")</f>
        <v/>
      </c>
      <c r="L197" s="7" t="str">
        <f>IF(11&gt;=19,('Testes estatísticos'!$D$24+'Testes estatísticos'!$D$16)/2,"")</f>
        <v/>
      </c>
      <c r="M197" s="7" t="str">
        <f>IF(12&gt;=19,('Testes estatísticos'!$D$24+'Testes estatísticos'!$D$17)/2,"")</f>
        <v/>
      </c>
      <c r="N197" s="7" t="str">
        <f>IF(13&gt;=19,('Testes estatísticos'!$D$24+'Testes estatísticos'!$D$18)/2,"")</f>
        <v/>
      </c>
      <c r="O197" s="7" t="str">
        <f>IF(14&gt;=19,('Testes estatísticos'!$D$24+'Testes estatísticos'!$D$19)/2,"")</f>
        <v/>
      </c>
      <c r="P197" s="7" t="str">
        <f>IF(15&gt;=19,('Testes estatísticos'!$D$24+'Testes estatísticos'!$D$20)/2,"")</f>
        <v/>
      </c>
      <c r="Q197" s="7" t="str">
        <f>IF(16&gt;=19,('Testes estatísticos'!$D$24+'Testes estatísticos'!$D$21)/2,"")</f>
        <v/>
      </c>
      <c r="R197" s="7" t="str">
        <f>IF(17&gt;=19,('Testes estatísticos'!$D$24+'Testes estatísticos'!$D$22)/2,"")</f>
        <v/>
      </c>
      <c r="S197" s="7" t="str">
        <f>IF(18&gt;=19,('Testes estatísticos'!$D$24+'Testes estatísticos'!$D$23)/2,"")</f>
        <v/>
      </c>
      <c r="T197" s="7">
        <f>IF(19&gt;=19,('Testes estatísticos'!$D$24+'Testes estatísticos'!$D$24)/2,"")</f>
        <v>-5.4623120000000043</v>
      </c>
      <c r="U197" s="7">
        <f>IF(20&gt;=19,('Testes estatísticos'!$D$24+'Testes estatísticos'!$D$25)/2,"")</f>
        <v>-6.4076799999999992</v>
      </c>
      <c r="V197" s="7">
        <f>IF(21&gt;=19,('Testes estatísticos'!$D$24+'Testes estatísticos'!$D$26)/2,"")</f>
        <v>-4.5489950000000015</v>
      </c>
      <c r="W197" s="7">
        <f>IF(22&gt;=19,('Testes estatísticos'!$D$24+'Testes estatísticos'!$D$27)/2,"")</f>
        <v>-4.5852245000000025</v>
      </c>
      <c r="X197" s="7">
        <f>IF(23&gt;=19,('Testes estatísticos'!$D$24+'Testes estatísticos'!$D$28)/2,"")</f>
        <v>-4.7081020000000002</v>
      </c>
      <c r="Y197" s="7">
        <f>IF(24&gt;=19,('Testes estatísticos'!$D$24+'Testes estatísticos'!$D$29)/2,"")</f>
        <v>-4.1449215000000024</v>
      </c>
      <c r="Z197" s="7">
        <f>IF(25&gt;=19,('Testes estatísticos'!$D$24+'Testes estatísticos'!$D$30)/2,"")</f>
        <v>-3.8313585000000039</v>
      </c>
      <c r="AA197" s="7">
        <f>IF(26&gt;=19,('Testes estatísticos'!$D$24+'Testes estatísticos'!$D$31)/2,"")</f>
        <v>-3.8278880000000015</v>
      </c>
      <c r="AB197" s="7">
        <f>IF(27&gt;=19,('Testes estatísticos'!$D$24+'Testes estatísticos'!$D$32)/2,"")</f>
        <v>-3.9324970000000015</v>
      </c>
      <c r="AC197" s="7">
        <f>IF(28&gt;=19,('Testes estatísticos'!$D$24+'Testes estatísticos'!$D$33)/2,"")</f>
        <v>-3.8727825000000031</v>
      </c>
      <c r="AD197" s="7">
        <f>IF(29&gt;=19,('Testes estatísticos'!$D$24+'Testes estatísticos'!$D$34)/2,"")</f>
        <v>-3.1435205000000046</v>
      </c>
      <c r="AE197" s="7">
        <f>IF(30&gt;=19,('Testes estatísticos'!$D$24+'Testes estatísticos'!$D$35)/2,"")</f>
        <v>-4.4570665000000034</v>
      </c>
      <c r="AF197" s="7">
        <f>IF(31&gt;=19,('Testes estatísticos'!$D$24+'Testes estatísticos'!$D$36)/2,"")</f>
        <v>-4.7994610000000009</v>
      </c>
      <c r="AG197" s="7">
        <f>IF(32&gt;=19,('Testes estatísticos'!$D$24+'Testes estatísticos'!$D$37)/2,"")</f>
        <v>-3.6958405000000027</v>
      </c>
      <c r="AH197" s="7">
        <f>IF(33&gt;=19,('Testes estatísticos'!$D$24+'Testes estatísticos'!$D$38)/2,"")</f>
        <v>-3.861380000000004</v>
      </c>
      <c r="AI197" s="7">
        <f>IF(34&gt;=19,('Testes estatísticos'!$D$24+'Testes estatísticos'!$D$39)/2,"")</f>
        <v>-1.0448340000000016</v>
      </c>
      <c r="AJ197" s="7">
        <f>IF(35&gt;=19,('Testes estatísticos'!$D$24+'Testes estatísticos'!$D$40)/2,"")</f>
        <v>-3.7863320000000016</v>
      </c>
      <c r="AK197" s="7">
        <f>IF(36&gt;=19,('Testes estatísticos'!$D$24+'Testes estatísticos'!$D$41)/2,"")</f>
        <v>-1.5183875000000029</v>
      </c>
      <c r="AL197" s="7">
        <f>IF(37&gt;=19,('Testes estatísticos'!$D$24+'Testes estatísticos'!$D$42)/2,"")</f>
        <v>-3.7969485000000027</v>
      </c>
      <c r="AM197" s="7">
        <f>IF(38&gt;=19,('Testes estatísticos'!$D$24+'Testes estatísticos'!$D$43)/2,"")</f>
        <v>-3.7840890000000016</v>
      </c>
      <c r="AN197" s="7">
        <f>IF(39&gt;=19,('Testes estatísticos'!$D$24+'Testes estatísticos'!$D$44)/2,"")</f>
        <v>-4.921083000000003</v>
      </c>
      <c r="AO197" s="7">
        <f>IF(40&gt;=19,('Testes estatísticos'!$D$24+'Testes estatísticos'!$D$45)/2,"")</f>
        <v>-0.94615650000000429</v>
      </c>
      <c r="AP197" s="7">
        <f>IF(41&gt;=19,('Testes estatísticos'!$D$24+'Testes estatísticos'!$D$46)/2,"")</f>
        <v>-3.4520960000000009</v>
      </c>
      <c r="AQ197" s="7">
        <f>IF(42&gt;=19,('Testes estatísticos'!$D$24+'Testes estatísticos'!$D$47)/2,"")</f>
        <v>-2.3097370000000019</v>
      </c>
      <c r="AR197" s="7">
        <f>IF(43&gt;=19,('Testes estatísticos'!$D$24+'Testes estatísticos'!$D$48)/2,"")</f>
        <v>-3.3586510000000018</v>
      </c>
      <c r="AS197" s="7">
        <f>IF(44&gt;=19,('Testes estatísticos'!$D$24+'Testes estatísticos'!$D$49)/2,"")</f>
        <v>-3.8897740000000027</v>
      </c>
      <c r="AT197" s="7">
        <f>IF(45&gt;=19,('Testes estatísticos'!$D$24+'Testes estatísticos'!$D$50)/2,"")</f>
        <v>-3.0606955000000013</v>
      </c>
      <c r="AU197" s="7">
        <f>IF(46&gt;=19,('Testes estatísticos'!$D$24+'Testes estatísticos'!$D$51)/2,"")</f>
        <v>-6.0918915000000027</v>
      </c>
      <c r="AV197" s="7">
        <f>IF(47&gt;=19,('Testes estatísticos'!$D$24+'Testes estatísticos'!$D$52)/2,"")</f>
        <v>-1.0217185000000022</v>
      </c>
      <c r="AW197" s="7">
        <f>IF(48&gt;=19,('Testes estatísticos'!$D$24+'Testes estatísticos'!$D$53)/2,"")</f>
        <v>-5.457749500000002</v>
      </c>
      <c r="AX197" s="7">
        <f>IF(49&gt;=19,('Testes estatísticos'!$D$24+'Testes estatísticos'!$D$54)/2,"")</f>
        <v>-4.1979590000000009</v>
      </c>
      <c r="AY197" s="7">
        <f>IF(50&gt;=19,('Testes estatísticos'!$D$24+'Testes estatísticos'!$D$55)/2,"")</f>
        <v>-2.5727945000000005</v>
      </c>
      <c r="AZ197" s="7">
        <f>IF(51&gt;=19,('Testes estatísticos'!$D$24+'Testes estatísticos'!$D$56)/2,"")</f>
        <v>-2.5283250000000024</v>
      </c>
      <c r="BA197" s="7">
        <f>IF(52&gt;=19,('Testes estatísticos'!$D$24+'Testes estatísticos'!$D$57)/2,"")</f>
        <v>-5.9365410000000018</v>
      </c>
      <c r="BB197" s="7">
        <f>IF(53&gt;=19,('Testes estatísticos'!$D$24+'Testes estatísticos'!$D$58)/2,"")</f>
        <v>-2.5277785000000002</v>
      </c>
      <c r="BC197" s="7">
        <f>IF(54&gt;=19,('Testes estatísticos'!$D$24+'Testes estatísticos'!$D$59)/2,"")</f>
        <v>-3.4474210000000021</v>
      </c>
      <c r="BD197" s="7">
        <f>IF(55&gt;=19,('Testes estatísticos'!$D$24+'Testes estatísticos'!$D$60)/2,"")</f>
        <v>-0.35175000000000267</v>
      </c>
      <c r="BE197" s="7">
        <f>IF(56&gt;=19,('Testes estatísticos'!$D$24+'Testes estatísticos'!$D$61)/2,"")</f>
        <v>-2.9817184999999995</v>
      </c>
      <c r="BF197" s="7">
        <f>IF(57&gt;=19,('Testes estatísticos'!$D$24+'Testes estatísticos'!$D$62)/2,"")</f>
        <v>-6.3819085000000051</v>
      </c>
      <c r="BG197" s="7">
        <f>IF(58&gt;=19,('Testes estatísticos'!$D$24+'Testes estatísticos'!$D$63)/2,"")</f>
        <v>-1.1160135000000011</v>
      </c>
      <c r="BH197" s="7">
        <f>IF(59&gt;=19,('Testes estatísticos'!$D$24+'Testes estatísticos'!$D$64)/2,"")</f>
        <v>-6.9596260000000036</v>
      </c>
      <c r="BI197" s="7">
        <f>IF(60&gt;=19,('Testes estatísticos'!$D$24+'Testes estatísticos'!$D$65)/2,"")</f>
        <v>-5.2120350000000002</v>
      </c>
      <c r="BJ197" s="7">
        <f>IF(61&gt;=19,('Testes estatísticos'!$D$24+'Testes estatísticos'!$D$66)/2,"")</f>
        <v>-2.5769800000000025</v>
      </c>
      <c r="BK197" s="7">
        <f>IF(62&gt;=19,('Testes estatísticos'!$D$24+'Testes estatísticos'!$D$67)/2,"")</f>
        <v>-3.0857750000000017</v>
      </c>
      <c r="BL197" s="7">
        <f>IF(63&gt;=19,('Testes estatísticos'!$D$24+'Testes estatísticos'!$D$68)/2,"")</f>
        <v>-2.1864605000000026</v>
      </c>
      <c r="BM197" s="7">
        <f>IF(64&gt;=19,('Testes estatísticos'!$D$24+'Testes estatísticos'!$D$69)/2,"")</f>
        <v>-2.1356185000000032</v>
      </c>
      <c r="BN197" s="7">
        <f>IF(65&gt;=19,('Testes estatísticos'!$D$24+'Testes estatísticos'!$D$70)/2,"")</f>
        <v>-4.2814250000000023</v>
      </c>
      <c r="BO197" s="7">
        <f>IF(66&gt;=19,('Testes estatísticos'!$D$24+'Testes estatísticos'!$D$71)/2,"")</f>
        <v>-3.3855725000000021</v>
      </c>
      <c r="BP197" s="7">
        <f>IF(67&gt;=19,('Testes estatísticos'!$D$24+'Testes estatísticos'!$D$72)/2,"")</f>
        <v>-6.276031500000002</v>
      </c>
      <c r="BQ197" s="7">
        <f>IF(68&gt;=19,('Testes estatísticos'!$D$24+'Testes estatísticos'!$D$73)/2,"")</f>
        <v>-1.6127985000000038</v>
      </c>
      <c r="BR197" s="7">
        <f>IF(69&gt;=19,('Testes estatísticos'!$D$24+'Testes estatísticos'!$D$74)/2,"")</f>
        <v>-0.98061650000000355</v>
      </c>
      <c r="BS197" s="7">
        <f>IF(70&gt;=19,('Testes estatísticos'!$D$24+'Testes estatísticos'!$D$75)/2,"")</f>
        <v>-1.9850810000000045</v>
      </c>
      <c r="BT197" s="7">
        <f>IF(71&gt;=19,('Testes estatísticos'!$D$24+'Testes estatísticos'!$D$76)/2,"")</f>
        <v>-0.4107160000000043</v>
      </c>
      <c r="BU197" s="7">
        <f>IF(72&gt;=19,('Testes estatísticos'!$D$24+'Testes estatísticos'!$D$77)/2,"")</f>
        <v>-6.0104130000000033</v>
      </c>
      <c r="BV197" s="7">
        <f>IF(73&gt;=19,('Testes estatísticos'!$D$24+'Testes estatísticos'!$D$78)/2,"")</f>
        <v>-3.9369385000000037</v>
      </c>
      <c r="BW197" s="7">
        <f>IF(74&gt;=19,('Testes estatísticos'!$D$24+'Testes estatísticos'!$D$79)/2,"")</f>
        <v>-4.6202570000000023</v>
      </c>
      <c r="BX197" s="7">
        <f>IF(75&gt;=19,('Testes estatísticos'!$D$24+'Testes estatísticos'!$D$80)/2,"")</f>
        <v>-4.6420350000000035</v>
      </c>
      <c r="BY197" s="7">
        <f>IF(76&gt;=19,('Testes estatísticos'!$D$24+'Testes estatísticos'!$D$81)/2,"")</f>
        <v>-0.51057700000000139</v>
      </c>
      <c r="BZ197" s="7">
        <f>IF(77&gt;=19,('Testes estatísticos'!$D$24+'Testes estatísticos'!$D$82)/2,"")</f>
        <v>-5.7721665000000009</v>
      </c>
      <c r="CA197" s="7">
        <f>IF(78&gt;=19,('Testes estatísticos'!$D$24+'Testes estatísticos'!$D$83)/2,"")</f>
        <v>-4.0119074999999995</v>
      </c>
      <c r="CB197" s="7">
        <f>IF(79&gt;=19,('Testes estatísticos'!$D$24+'Testes estatísticos'!$D$84)/2,"")</f>
        <v>-3.9601850000000027</v>
      </c>
      <c r="CC197" s="7">
        <f>IF(80&gt;=19,('Testes estatísticos'!$D$24+'Testes estatísticos'!$D$85)/2,"")</f>
        <v>-5.7672015000000023</v>
      </c>
      <c r="CD197" s="7">
        <f>IF(81&gt;=19,('Testes estatísticos'!$D$24+'Testes estatísticos'!$D$86)/2,"")</f>
        <v>-5.8173465000000029</v>
      </c>
      <c r="CE197" s="7">
        <f>IF(82&gt;=19,('Testes estatísticos'!$D$24+'Testes estatísticos'!$D$87)/2,"")</f>
        <v>-3.7395560000000039</v>
      </c>
      <c r="CF197" s="7">
        <f>IF(83&gt;=19,('Testes estatísticos'!$D$24+'Testes estatísticos'!$D$88)/2,"")</f>
        <v>-4.2683630000000043</v>
      </c>
      <c r="CG197" s="7">
        <f>IF(84&gt;=19,('Testes estatísticos'!$D$24+'Testes estatísticos'!$D$89)/2,"")</f>
        <v>-4.6002700000000019</v>
      </c>
      <c r="CH197" s="7">
        <f>IF(85&gt;=19,('Testes estatísticos'!$D$24+'Testes estatísticos'!$D$90)/2,"")</f>
        <v>-2.7847230000000032</v>
      </c>
      <c r="CI197" s="7">
        <f>IF(86&gt;=19,('Testes estatísticos'!$D$24+'Testes estatísticos'!$D$91)/2,"")</f>
        <v>-5.4748824999999997</v>
      </c>
      <c r="CJ197" s="7">
        <f>IF(87&gt;=19,('Testes estatísticos'!$D$24+'Testes estatísticos'!$D$92)/2,"")</f>
        <v>-4.2326760000000014</v>
      </c>
      <c r="CK197" s="7">
        <f>IF(88&gt;=19,('Testes estatísticos'!$D$24+'Testes estatísticos'!$D$93)/2,"")</f>
        <v>-3.9885925000000029</v>
      </c>
      <c r="CL197" s="7">
        <f>IF(89&gt;=19,('Testes estatísticos'!$D$24+'Testes estatísticos'!$D$94)/2,"")</f>
        <v>-4.6001845000000046</v>
      </c>
      <c r="CM197" s="7">
        <f>IF(90&gt;=19,('Testes estatísticos'!$D$24+'Testes estatísticos'!$D$95)/2,"")</f>
        <v>-6.9343165000000013</v>
      </c>
      <c r="CN197" s="7">
        <f>IF(91&gt;=19,('Testes estatísticos'!$D$24+'Testes estatísticos'!$D$96)/2,"")</f>
        <v>-4.3957934999999999</v>
      </c>
      <c r="CO197" s="7">
        <f>IF(92&gt;=19,('Testes estatísticos'!$D$24+'Testes estatísticos'!$D$97)/2,"")</f>
        <v>-4.7422970000000007</v>
      </c>
      <c r="CP197" s="7">
        <f>IF(93&gt;=19,('Testes estatísticos'!$D$24+'Testes estatísticos'!$D$98)/2,"")</f>
        <v>-4.9470489999999998</v>
      </c>
      <c r="CQ197" s="7">
        <f>IF(94&gt;=19,('Testes estatísticos'!$D$24+'Testes estatísticos'!$D$99)/2,"")</f>
        <v>-2.7658910000000034</v>
      </c>
      <c r="CR197" s="7">
        <f>IF(95&gt;=19,('Testes estatísticos'!$D$24+'Testes estatísticos'!$D$100)/2,"")</f>
        <v>-4.6716840000000026</v>
      </c>
      <c r="CS197" s="7">
        <f>IF(96&gt;=19,('Testes estatísticos'!$D$24+'Testes estatísticos'!$D$101)/2,"")</f>
        <v>-4.6276970000000048</v>
      </c>
      <c r="CT197" s="7">
        <f>IF(97&gt;=19,('Testes estatísticos'!$D$24+'Testes estatísticos'!$D$102)/2,"")</f>
        <v>-4.3946465000000039</v>
      </c>
      <c r="CU197" s="7">
        <f>IF(98&gt;=19,('Testes estatísticos'!$D$24+'Testes estatísticos'!$D$103)/2,"")</f>
        <v>-4.3373205000000006</v>
      </c>
      <c r="CV197" s="7">
        <f>IF(99&gt;=19,('Testes estatísticos'!$D$24+'Testes estatísticos'!$D$104)/2,"")</f>
        <v>-4.7721465000000016</v>
      </c>
      <c r="CW197" s="7">
        <f>IF(100&gt;=19,('Testes estatísticos'!$D$24+'Testes estatísticos'!$D$105)/2,"")</f>
        <v>-4.8716125000000012</v>
      </c>
      <c r="CX197" s="7">
        <f>IF(101&gt;=19,('Testes estatísticos'!$D$24+'Testes estatísticos'!$D$106)/2,"")</f>
        <v>-4.3486860000000007</v>
      </c>
      <c r="CY197" s="7">
        <f>IF(102&gt;=19,('Testes estatísticos'!$D$24+'Testes estatísticos'!$D$107)/2,"")</f>
        <v>-4.4043510000000019</v>
      </c>
      <c r="CZ197" s="7">
        <f>IF(103&gt;=19,('Testes estatísticos'!$D$24+'Testes estatísticos'!$D$108)/2,"")</f>
        <v>-4.9285175000000017</v>
      </c>
      <c r="DA197" s="7">
        <f>IF(104&gt;=19,('Testes estatísticos'!$D$24+'Testes estatísticos'!$D$109)/2,"")</f>
        <v>-4.6658834999999996</v>
      </c>
      <c r="DB197" s="7">
        <f>IF(105&gt;=19,('Testes estatísticos'!$D$24+'Testes estatísticos'!$D$110)/2,"")</f>
        <v>-4.6315525000000015</v>
      </c>
      <c r="DC197" s="7">
        <f>IF(106&gt;=19,('Testes estatísticos'!$D$24+'Testes estatísticos'!$D$111)/2,"")</f>
        <v>-3.8886315000000025</v>
      </c>
      <c r="DD197" s="7">
        <f>IF(107&gt;=19,('Testes estatísticos'!$D$24+'Testes estatísticos'!$D$112)/2,"")</f>
        <v>-0.39546050000000221</v>
      </c>
      <c r="DE197" s="7">
        <f>IF(108&gt;=19,('Testes estatísticos'!$D$24+'Testes estatísticos'!$D$113)/2,"")</f>
        <v>-3.8180960000000006</v>
      </c>
      <c r="DF197" s="7">
        <f>IF(109&gt;=19,('Testes estatísticos'!$D$24+'Testes estatísticos'!$D$114)/2,"")</f>
        <v>-3.8543529999999997</v>
      </c>
      <c r="DG197" s="7">
        <f>IF(110&gt;=19,('Testes estatísticos'!$D$24+'Testes estatísticos'!$D$115)/2,"")</f>
        <v>-9.4014925000000034</v>
      </c>
      <c r="DH197" s="7">
        <f>IF(111&gt;=19,('Testes estatísticos'!$D$24+'Testes estatísticos'!$D$116)/2,"")</f>
        <v>-3.7206620000000008</v>
      </c>
      <c r="DI197" s="7">
        <f>IF(112&gt;=19,('Testes estatísticos'!$D$24+'Testes estatísticos'!$D$117)/2,"")</f>
        <v>1.7077779999999976</v>
      </c>
      <c r="DJ197" s="7">
        <f>IF(113&gt;=19,('Testes estatísticos'!$D$24+'Testes estatísticos'!$D$118)/2,"")</f>
        <v>-3.7487790000000025</v>
      </c>
      <c r="DK197" s="7">
        <f>IF(114&gt;=19,('Testes estatísticos'!$D$24+'Testes estatísticos'!$D$119)/2,"")</f>
        <v>-3.8505290000000016</v>
      </c>
      <c r="DL197" s="7">
        <f>IF(115&gt;=19,('Testes estatísticos'!$D$24+'Testes estatísticos'!$D$120)/2,"")</f>
        <v>-3.8040514999999999</v>
      </c>
      <c r="DM197" s="7">
        <f>IF(116&gt;=19,('Testes estatísticos'!$D$24+'Testes estatísticos'!$D$121)/2,"")</f>
        <v>-3.7954490000000014</v>
      </c>
      <c r="DN197" s="7">
        <f>IF(117&gt;=19,('Testes estatísticos'!$D$24+'Testes estatísticos'!$D$122)/2,"")</f>
        <v>-3.7723810000000029</v>
      </c>
      <c r="DO197" s="7">
        <f>IF(118&gt;=19,('Testes estatísticos'!$D$24+'Testes estatísticos'!$D$123)/2,"")</f>
        <v>-3.7224705000000036</v>
      </c>
      <c r="DP197" s="7">
        <f>IF(119&gt;=19,('Testes estatísticos'!$D$24+'Testes estatísticos'!$D$124)/2,"")</f>
        <v>-3.7436820000000033</v>
      </c>
      <c r="DQ197" s="7">
        <f>IF(120&gt;=19,('Testes estatísticos'!$D$24+'Testes estatísticos'!$D$125)/2,"")</f>
        <v>-0.69206750000000028</v>
      </c>
      <c r="DR197" s="7">
        <f>IF(121&gt;=19,('Testes estatísticos'!$D$24+'Testes estatísticos'!$D$126)/2,"")</f>
        <v>-3.4810840000000027</v>
      </c>
      <c r="DS197" s="7">
        <f>IF(122&gt;=19,('Testes estatísticos'!$D$24+'Testes estatísticos'!$D$127)/2,"")</f>
        <v>-4.5464924999999994</v>
      </c>
      <c r="DT197" s="7">
        <f>IF(123&gt;=19,('Testes estatísticos'!$D$24+'Testes estatísticos'!$D$128)/2,"")</f>
        <v>1.5223769999999952</v>
      </c>
      <c r="DU197" s="7">
        <f>IF(124&gt;=19,('Testes estatísticos'!$D$24+'Testes estatísticos'!$D$129)/2,"")</f>
        <v>-3.3733945000000034</v>
      </c>
      <c r="DV197" s="7">
        <f>IF(125&gt;=19,('Testes estatísticos'!$D$24+'Testes estatísticos'!$D$130)/2,"")</f>
        <v>-2.215087000000004</v>
      </c>
      <c r="DW197" s="7">
        <f>IF(126&gt;=19,('Testes estatísticos'!$D$24+'Testes estatísticos'!$D$131)/2,"")</f>
        <v>-4.6185630000000018</v>
      </c>
      <c r="DX197" s="7">
        <f>IF(127&gt;=19,('Testes estatísticos'!$D$24+'Testes estatísticos'!$D$132)/2,"")</f>
        <v>-6.6747545000000024</v>
      </c>
      <c r="DY197" s="7">
        <f>IF(128&gt;=19,('Testes estatísticos'!$D$24+'Testes estatísticos'!$D$133)/2,"")</f>
        <v>-7.0158440000000013</v>
      </c>
      <c r="DZ197" s="7">
        <f>IF(129&gt;=19,('Testes estatísticos'!$D$24+'Testes estatísticos'!$D$134)/2,"")</f>
        <v>-10.439634000000002</v>
      </c>
      <c r="EA197" s="7">
        <f>IF(130&gt;=19,('Testes estatísticos'!$D$24+'Testes estatísticos'!$D$135)/2,"")</f>
        <v>-4.6778639999999996</v>
      </c>
      <c r="EB197" s="7">
        <f>IF(131&gt;=19,('Testes estatísticos'!$D$24+'Testes estatísticos'!$D$136)/2,"")</f>
        <v>-4.5899910000000048</v>
      </c>
      <c r="EC197" s="7">
        <f>IF(132&gt;=19,('Testes estatísticos'!$D$24+'Testes estatísticos'!$D$137)/2,"")</f>
        <v>-6.0767275000000041</v>
      </c>
      <c r="ED197" s="7">
        <f>IF(133&gt;=19,('Testes estatísticos'!$D$24+'Testes estatísticos'!$D$138)/2,"")</f>
        <v>-3.8877900000000025</v>
      </c>
      <c r="EE197" s="7">
        <f>IF(134&gt;=19,('Testes estatísticos'!$D$24+'Testes estatísticos'!$D$139)/2,"")</f>
        <v>-6.1849805000000053</v>
      </c>
      <c r="EF197" s="7">
        <f>IF(135&gt;=19,('Testes estatísticos'!$D$24+'Testes estatísticos'!$D$140)/2,"")</f>
        <v>-2.9705480000000009</v>
      </c>
      <c r="EG197" s="7">
        <f>IF(136&gt;=19,('Testes estatísticos'!$D$24+'Testes estatísticos'!$D$141)/2,"")</f>
        <v>-4.664038000000005</v>
      </c>
      <c r="EH197" s="7">
        <f>IF(137&gt;=19,('Testes estatísticos'!$D$24+'Testes estatísticos'!$D$142)/2,"")</f>
        <v>-2.959298000000004</v>
      </c>
      <c r="EI197" s="7">
        <f>IF(138&gt;=19,('Testes estatísticos'!$D$24+'Testes estatísticos'!$D$143)/2,"")</f>
        <v>-4.6243134999999995</v>
      </c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</row>
    <row r="198" spans="2:151" x14ac:dyDescent="0.3">
      <c r="B198" s="7" t="str">
        <f>IF(1&gt;=20,('Testes estatísticos'!$D$25+'Testes estatísticos'!$D$6)/2,"")</f>
        <v/>
      </c>
      <c r="C198" s="7" t="str">
        <f>IF(2&gt;=20,('Testes estatísticos'!$D$25+'Testes estatísticos'!$D$7)/2,"")</f>
        <v/>
      </c>
      <c r="D198" s="7" t="str">
        <f>IF(3&gt;=20,('Testes estatísticos'!$D$25+'Testes estatísticos'!$D$8)/2,"")</f>
        <v/>
      </c>
      <c r="E198" s="7" t="str">
        <f>IF(4&gt;=20,('Testes estatísticos'!$D$25+'Testes estatísticos'!$D$9)/2,"")</f>
        <v/>
      </c>
      <c r="F198" s="7" t="str">
        <f>IF(5&gt;=20,('Testes estatísticos'!$D$25+'Testes estatísticos'!$D$10)/2,"")</f>
        <v/>
      </c>
      <c r="G198" s="7" t="str">
        <f>IF(6&gt;=20,('Testes estatísticos'!$D$25+'Testes estatísticos'!$D$11)/2,"")</f>
        <v/>
      </c>
      <c r="H198" s="7" t="str">
        <f>IF(7&gt;=20,('Testes estatísticos'!$D$25+'Testes estatísticos'!$D$12)/2,"")</f>
        <v/>
      </c>
      <c r="I198" s="7" t="str">
        <f>IF(8&gt;=20,('Testes estatísticos'!$D$25+'Testes estatísticos'!$D$13)/2,"")</f>
        <v/>
      </c>
      <c r="J198" s="7" t="str">
        <f>IF(9&gt;=20,('Testes estatísticos'!$D$25+'Testes estatísticos'!$D$14)/2,"")</f>
        <v/>
      </c>
      <c r="K198" s="7" t="str">
        <f>IF(10&gt;=20,('Testes estatísticos'!$D$25+'Testes estatísticos'!$D$15)/2,"")</f>
        <v/>
      </c>
      <c r="L198" s="7" t="str">
        <f>IF(11&gt;=20,('Testes estatísticos'!$D$25+'Testes estatísticos'!$D$16)/2,"")</f>
        <v/>
      </c>
      <c r="M198" s="7" t="str">
        <f>IF(12&gt;=20,('Testes estatísticos'!$D$25+'Testes estatísticos'!$D$17)/2,"")</f>
        <v/>
      </c>
      <c r="N198" s="7" t="str">
        <f>IF(13&gt;=20,('Testes estatísticos'!$D$25+'Testes estatísticos'!$D$18)/2,"")</f>
        <v/>
      </c>
      <c r="O198" s="7" t="str">
        <f>IF(14&gt;=20,('Testes estatísticos'!$D$25+'Testes estatísticos'!$D$19)/2,"")</f>
        <v/>
      </c>
      <c r="P198" s="7" t="str">
        <f>IF(15&gt;=20,('Testes estatísticos'!$D$25+'Testes estatísticos'!$D$20)/2,"")</f>
        <v/>
      </c>
      <c r="Q198" s="7" t="str">
        <f>IF(16&gt;=20,('Testes estatísticos'!$D$25+'Testes estatísticos'!$D$21)/2,"")</f>
        <v/>
      </c>
      <c r="R198" s="7" t="str">
        <f>IF(17&gt;=20,('Testes estatísticos'!$D$25+'Testes estatísticos'!$D$22)/2,"")</f>
        <v/>
      </c>
      <c r="S198" s="7" t="str">
        <f>IF(18&gt;=20,('Testes estatísticos'!$D$25+'Testes estatísticos'!$D$23)/2,"")</f>
        <v/>
      </c>
      <c r="T198" s="7" t="str">
        <f>IF(19&gt;=20,('Testes estatísticos'!$D$25+'Testes estatísticos'!$D$24)/2,"")</f>
        <v/>
      </c>
      <c r="U198" s="7">
        <f>IF(20&gt;=20,('Testes estatísticos'!$D$25+'Testes estatísticos'!$D$25)/2,"")</f>
        <v>-7.353047999999994</v>
      </c>
      <c r="V198" s="7">
        <f>IF(21&gt;=20,('Testes estatísticos'!$D$25+'Testes estatísticos'!$D$26)/2,"")</f>
        <v>-5.4943629999999963</v>
      </c>
      <c r="W198" s="7">
        <f>IF(22&gt;=20,('Testes estatísticos'!$D$25+'Testes estatísticos'!$D$27)/2,"")</f>
        <v>-5.5305924999999974</v>
      </c>
      <c r="X198" s="7">
        <f>IF(23&gt;=20,('Testes estatísticos'!$D$25+'Testes estatísticos'!$D$28)/2,"")</f>
        <v>-5.6534699999999951</v>
      </c>
      <c r="Y198" s="7">
        <f>IF(24&gt;=20,('Testes estatísticos'!$D$25+'Testes estatísticos'!$D$29)/2,"")</f>
        <v>-5.0902894999999972</v>
      </c>
      <c r="Z198" s="7">
        <f>IF(25&gt;=20,('Testes estatísticos'!$D$25+'Testes estatísticos'!$D$30)/2,"")</f>
        <v>-4.7767264999999988</v>
      </c>
      <c r="AA198" s="7">
        <f>IF(26&gt;=20,('Testes estatísticos'!$D$25+'Testes estatísticos'!$D$31)/2,"")</f>
        <v>-4.7732559999999964</v>
      </c>
      <c r="AB198" s="7">
        <f>IF(27&gt;=20,('Testes estatísticos'!$D$25+'Testes estatísticos'!$D$32)/2,"")</f>
        <v>-4.8778649999999963</v>
      </c>
      <c r="AC198" s="7">
        <f>IF(28&gt;=20,('Testes estatísticos'!$D$25+'Testes estatísticos'!$D$33)/2,"")</f>
        <v>-4.818150499999998</v>
      </c>
      <c r="AD198" s="7">
        <f>IF(29&gt;=20,('Testes estatísticos'!$D$25+'Testes estatísticos'!$D$34)/2,"")</f>
        <v>-4.0888884999999995</v>
      </c>
      <c r="AE198" s="7">
        <f>IF(30&gt;=20,('Testes estatísticos'!$D$25+'Testes estatísticos'!$D$35)/2,"")</f>
        <v>-5.4024344999999983</v>
      </c>
      <c r="AF198" s="7">
        <f>IF(31&gt;=20,('Testes estatísticos'!$D$25+'Testes estatísticos'!$D$36)/2,"")</f>
        <v>-5.7448289999999957</v>
      </c>
      <c r="AG198" s="7">
        <f>IF(32&gt;=20,('Testes estatísticos'!$D$25+'Testes estatísticos'!$D$37)/2,"")</f>
        <v>-4.6412084999999976</v>
      </c>
      <c r="AH198" s="7">
        <f>IF(33&gt;=20,('Testes estatísticos'!$D$25+'Testes estatísticos'!$D$38)/2,"")</f>
        <v>-4.8067479999999989</v>
      </c>
      <c r="AI198" s="7">
        <f>IF(34&gt;=20,('Testes estatísticos'!$D$25+'Testes estatísticos'!$D$39)/2,"")</f>
        <v>-1.9902019999999965</v>
      </c>
      <c r="AJ198" s="7">
        <f>IF(35&gt;=20,('Testes estatísticos'!$D$25+'Testes estatísticos'!$D$40)/2,"")</f>
        <v>-4.7316999999999965</v>
      </c>
      <c r="AK198" s="7">
        <f>IF(36&gt;=20,('Testes estatísticos'!$D$25+'Testes estatísticos'!$D$41)/2,"")</f>
        <v>-2.4637554999999978</v>
      </c>
      <c r="AL198" s="7">
        <f>IF(37&gt;=20,('Testes estatísticos'!$D$25+'Testes estatísticos'!$D$42)/2,"")</f>
        <v>-4.7423164999999976</v>
      </c>
      <c r="AM198" s="7">
        <f>IF(38&gt;=20,('Testes estatísticos'!$D$25+'Testes estatísticos'!$D$43)/2,"")</f>
        <v>-4.7294569999999965</v>
      </c>
      <c r="AN198" s="7">
        <f>IF(39&gt;=20,('Testes estatísticos'!$D$25+'Testes estatísticos'!$D$44)/2,"")</f>
        <v>-5.8664509999999979</v>
      </c>
      <c r="AO198" s="7">
        <f>IF(40&gt;=20,('Testes estatísticos'!$D$25+'Testes estatísticos'!$D$45)/2,"")</f>
        <v>-1.8915244999999992</v>
      </c>
      <c r="AP198" s="7">
        <f>IF(41&gt;=20,('Testes estatísticos'!$D$25+'Testes estatísticos'!$D$46)/2,"")</f>
        <v>-4.3974639999999958</v>
      </c>
      <c r="AQ198" s="7">
        <f>IF(42&gt;=20,('Testes estatísticos'!$D$25+'Testes estatísticos'!$D$47)/2,"")</f>
        <v>-3.2551049999999968</v>
      </c>
      <c r="AR198" s="7">
        <f>IF(43&gt;=20,('Testes estatísticos'!$D$25+'Testes estatísticos'!$D$48)/2,"")</f>
        <v>-4.3040189999999967</v>
      </c>
      <c r="AS198" s="7">
        <f>IF(44&gt;=20,('Testes estatísticos'!$D$25+'Testes estatísticos'!$D$49)/2,"")</f>
        <v>-4.8351419999999976</v>
      </c>
      <c r="AT198" s="7">
        <f>IF(45&gt;=20,('Testes estatísticos'!$D$25+'Testes estatísticos'!$D$50)/2,"")</f>
        <v>-4.0060634999999962</v>
      </c>
      <c r="AU198" s="7">
        <f>IF(46&gt;=20,('Testes estatísticos'!$D$25+'Testes estatísticos'!$D$51)/2,"")</f>
        <v>-7.0372594999999976</v>
      </c>
      <c r="AV198" s="7">
        <f>IF(47&gt;=20,('Testes estatísticos'!$D$25+'Testes estatísticos'!$D$52)/2,"")</f>
        <v>-1.9670864999999971</v>
      </c>
      <c r="AW198" s="7">
        <f>IF(48&gt;=20,('Testes estatísticos'!$D$25+'Testes estatísticos'!$D$53)/2,"")</f>
        <v>-6.4031174999999969</v>
      </c>
      <c r="AX198" s="7">
        <f>IF(49&gt;=20,('Testes estatísticos'!$D$25+'Testes estatísticos'!$D$54)/2,"")</f>
        <v>-5.1433269999999958</v>
      </c>
      <c r="AY198" s="7">
        <f>IF(50&gt;=20,('Testes estatísticos'!$D$25+'Testes estatísticos'!$D$55)/2,"")</f>
        <v>-3.5181624999999954</v>
      </c>
      <c r="AZ198" s="7">
        <f>IF(51&gt;=20,('Testes estatísticos'!$D$25+'Testes estatísticos'!$D$56)/2,"")</f>
        <v>-3.4736929999999973</v>
      </c>
      <c r="BA198" s="7">
        <f>IF(52&gt;=20,('Testes estatísticos'!$D$25+'Testes estatísticos'!$D$57)/2,"")</f>
        <v>-6.8819089999999967</v>
      </c>
      <c r="BB198" s="7">
        <f>IF(53&gt;=20,('Testes estatísticos'!$D$25+'Testes estatísticos'!$D$58)/2,"")</f>
        <v>-3.473146499999995</v>
      </c>
      <c r="BC198" s="7">
        <f>IF(54&gt;=20,('Testes estatísticos'!$D$25+'Testes estatísticos'!$D$59)/2,"")</f>
        <v>-4.3927889999999969</v>
      </c>
      <c r="BD198" s="7">
        <f>IF(55&gt;=20,('Testes estatísticos'!$D$25+'Testes estatísticos'!$D$60)/2,"")</f>
        <v>-1.2971179999999976</v>
      </c>
      <c r="BE198" s="7">
        <f>IF(56&gt;=20,('Testes estatísticos'!$D$25+'Testes estatísticos'!$D$61)/2,"")</f>
        <v>-3.9270864999999944</v>
      </c>
      <c r="BF198" s="7">
        <f>IF(57&gt;=20,('Testes estatísticos'!$D$25+'Testes estatísticos'!$D$62)/2,"")</f>
        <v>-7.3272765</v>
      </c>
      <c r="BG198" s="7">
        <f>IF(58&gt;=20,('Testes estatísticos'!$D$25+'Testes estatísticos'!$D$63)/2,"")</f>
        <v>-2.061381499999996</v>
      </c>
      <c r="BH198" s="7">
        <f>IF(59&gt;=20,('Testes estatísticos'!$D$25+'Testes estatísticos'!$D$64)/2,"")</f>
        <v>-7.9049939999999985</v>
      </c>
      <c r="BI198" s="7">
        <f>IF(60&gt;=20,('Testes estatísticos'!$D$25+'Testes estatísticos'!$D$65)/2,"")</f>
        <v>-6.1574029999999951</v>
      </c>
      <c r="BJ198" s="7">
        <f>IF(61&gt;=20,('Testes estatísticos'!$D$25+'Testes estatísticos'!$D$66)/2,"")</f>
        <v>-3.5223479999999974</v>
      </c>
      <c r="BK198" s="7">
        <f>IF(62&gt;=20,('Testes estatísticos'!$D$25+'Testes estatísticos'!$D$67)/2,"")</f>
        <v>-4.0311429999999966</v>
      </c>
      <c r="BL198" s="7">
        <f>IF(63&gt;=20,('Testes estatísticos'!$D$25+'Testes estatísticos'!$D$68)/2,"")</f>
        <v>-3.1318284999999975</v>
      </c>
      <c r="BM198" s="7">
        <f>IF(64&gt;=20,('Testes estatísticos'!$D$25+'Testes estatísticos'!$D$69)/2,"")</f>
        <v>-3.0809864999999981</v>
      </c>
      <c r="BN198" s="7">
        <f>IF(65&gt;=20,('Testes estatísticos'!$D$25+'Testes estatísticos'!$D$70)/2,"")</f>
        <v>-5.2267929999999971</v>
      </c>
      <c r="BO198" s="7">
        <f>IF(66&gt;=20,('Testes estatísticos'!$D$25+'Testes estatísticos'!$D$71)/2,"")</f>
        <v>-4.330940499999997</v>
      </c>
      <c r="BP198" s="7">
        <f>IF(67&gt;=20,('Testes estatísticos'!$D$25+'Testes estatísticos'!$D$72)/2,"")</f>
        <v>-7.2213994999999969</v>
      </c>
      <c r="BQ198" s="7">
        <f>IF(68&gt;=20,('Testes estatísticos'!$D$25+'Testes estatísticos'!$D$73)/2,"")</f>
        <v>-2.5581664999999987</v>
      </c>
      <c r="BR198" s="7">
        <f>IF(69&gt;=20,('Testes estatísticos'!$D$25+'Testes estatísticos'!$D$74)/2,"")</f>
        <v>-1.9259844999999984</v>
      </c>
      <c r="BS198" s="7">
        <f>IF(70&gt;=20,('Testes estatísticos'!$D$25+'Testes estatísticos'!$D$75)/2,"")</f>
        <v>-2.9304489999999994</v>
      </c>
      <c r="BT198" s="7">
        <f>IF(71&gt;=20,('Testes estatísticos'!$D$25+'Testes estatísticos'!$D$76)/2,"")</f>
        <v>-1.3560839999999992</v>
      </c>
      <c r="BU198" s="7">
        <f>IF(72&gt;=20,('Testes estatísticos'!$D$25+'Testes estatísticos'!$D$77)/2,"")</f>
        <v>-6.9557809999999982</v>
      </c>
      <c r="BV198" s="7">
        <f>IF(73&gt;=20,('Testes estatísticos'!$D$25+'Testes estatísticos'!$D$78)/2,"")</f>
        <v>-4.8823064999999986</v>
      </c>
      <c r="BW198" s="7">
        <f>IF(74&gt;=20,('Testes estatísticos'!$D$25+'Testes estatísticos'!$D$79)/2,"")</f>
        <v>-5.5656249999999972</v>
      </c>
      <c r="BX198" s="7">
        <f>IF(75&gt;=20,('Testes estatísticos'!$D$25+'Testes estatísticos'!$D$80)/2,"")</f>
        <v>-5.5874029999999983</v>
      </c>
      <c r="BY198" s="7">
        <f>IF(76&gt;=20,('Testes estatísticos'!$D$25+'Testes estatísticos'!$D$81)/2,"")</f>
        <v>-1.4559449999999963</v>
      </c>
      <c r="BZ198" s="7">
        <f>IF(77&gt;=20,('Testes estatísticos'!$D$25+'Testes estatísticos'!$D$82)/2,"")</f>
        <v>-6.7175344999999957</v>
      </c>
      <c r="CA198" s="7">
        <f>IF(78&gt;=20,('Testes estatísticos'!$D$25+'Testes estatísticos'!$D$83)/2,"")</f>
        <v>-4.9572754999999944</v>
      </c>
      <c r="CB198" s="7">
        <f>IF(79&gt;=20,('Testes estatísticos'!$D$25+'Testes estatísticos'!$D$84)/2,"")</f>
        <v>-4.9055529999999976</v>
      </c>
      <c r="CC198" s="7">
        <f>IF(80&gt;=20,('Testes estatísticos'!$D$25+'Testes estatísticos'!$D$85)/2,"")</f>
        <v>-6.7125694999999972</v>
      </c>
      <c r="CD198" s="7">
        <f>IF(81&gt;=20,('Testes estatísticos'!$D$25+'Testes estatísticos'!$D$86)/2,"")</f>
        <v>-6.7627144999999977</v>
      </c>
      <c r="CE198" s="7">
        <f>IF(82&gt;=20,('Testes estatísticos'!$D$25+'Testes estatísticos'!$D$87)/2,"")</f>
        <v>-4.6849239999999988</v>
      </c>
      <c r="CF198" s="7">
        <f>IF(83&gt;=20,('Testes estatísticos'!$D$25+'Testes estatísticos'!$D$88)/2,"")</f>
        <v>-5.2137309999999992</v>
      </c>
      <c r="CG198" s="7">
        <f>IF(84&gt;=20,('Testes estatísticos'!$D$25+'Testes estatísticos'!$D$89)/2,"")</f>
        <v>-5.5456379999999967</v>
      </c>
      <c r="CH198" s="7">
        <f>IF(85&gt;=20,('Testes estatísticos'!$D$25+'Testes estatísticos'!$D$90)/2,"")</f>
        <v>-3.730090999999998</v>
      </c>
      <c r="CI198" s="7">
        <f>IF(86&gt;=20,('Testes estatísticos'!$D$25+'Testes estatísticos'!$D$91)/2,"")</f>
        <v>-6.4202504999999945</v>
      </c>
      <c r="CJ198" s="7">
        <f>IF(87&gt;=20,('Testes estatísticos'!$D$25+'Testes estatísticos'!$D$92)/2,"")</f>
        <v>-5.1780439999999963</v>
      </c>
      <c r="CK198" s="7">
        <f>IF(88&gt;=20,('Testes estatísticos'!$D$25+'Testes estatísticos'!$D$93)/2,"")</f>
        <v>-4.9339604999999978</v>
      </c>
      <c r="CL198" s="7">
        <f>IF(89&gt;=20,('Testes estatísticos'!$D$25+'Testes estatísticos'!$D$94)/2,"")</f>
        <v>-5.5455524999999994</v>
      </c>
      <c r="CM198" s="7">
        <f>IF(90&gt;=20,('Testes estatísticos'!$D$25+'Testes estatísticos'!$D$95)/2,"")</f>
        <v>-7.8796844999999962</v>
      </c>
      <c r="CN198" s="7">
        <f>IF(91&gt;=20,('Testes estatísticos'!$D$25+'Testes estatísticos'!$D$96)/2,"")</f>
        <v>-5.3411614999999948</v>
      </c>
      <c r="CO198" s="7">
        <f>IF(92&gt;=20,('Testes estatísticos'!$D$25+'Testes estatísticos'!$D$97)/2,"")</f>
        <v>-5.6876649999999955</v>
      </c>
      <c r="CP198" s="7">
        <f>IF(93&gt;=20,('Testes estatísticos'!$D$25+'Testes estatísticos'!$D$98)/2,"")</f>
        <v>-5.8924169999999947</v>
      </c>
      <c r="CQ198" s="7">
        <f>IF(94&gt;=20,('Testes estatísticos'!$D$25+'Testes estatísticos'!$D$99)/2,"")</f>
        <v>-3.7112589999999983</v>
      </c>
      <c r="CR198" s="7">
        <f>IF(95&gt;=20,('Testes estatísticos'!$D$25+'Testes estatísticos'!$D$100)/2,"")</f>
        <v>-5.6170519999999975</v>
      </c>
      <c r="CS198" s="7">
        <f>IF(96&gt;=20,('Testes estatísticos'!$D$25+'Testes estatísticos'!$D$101)/2,"")</f>
        <v>-5.5730649999999997</v>
      </c>
      <c r="CT198" s="7">
        <f>IF(97&gt;=20,('Testes estatísticos'!$D$25+'Testes estatísticos'!$D$102)/2,"")</f>
        <v>-5.3400144999999988</v>
      </c>
      <c r="CU198" s="7">
        <f>IF(98&gt;=20,('Testes estatísticos'!$D$25+'Testes estatísticos'!$D$103)/2,"")</f>
        <v>-5.2826884999999955</v>
      </c>
      <c r="CV198" s="7">
        <f>IF(99&gt;=20,('Testes estatísticos'!$D$25+'Testes estatísticos'!$D$104)/2,"")</f>
        <v>-5.7175144999999965</v>
      </c>
      <c r="CW198" s="7">
        <f>IF(100&gt;=20,('Testes estatísticos'!$D$25+'Testes estatísticos'!$D$105)/2,"")</f>
        <v>-5.8169804999999961</v>
      </c>
      <c r="CX198" s="7">
        <f>IF(101&gt;=20,('Testes estatísticos'!$D$25+'Testes estatísticos'!$D$106)/2,"")</f>
        <v>-5.2940539999999956</v>
      </c>
      <c r="CY198" s="7">
        <f>IF(102&gt;=20,('Testes estatísticos'!$D$25+'Testes estatísticos'!$D$107)/2,"")</f>
        <v>-5.3497189999999968</v>
      </c>
      <c r="CZ198" s="7">
        <f>IF(103&gt;=20,('Testes estatísticos'!$D$25+'Testes estatísticos'!$D$108)/2,"")</f>
        <v>-5.8738854999999965</v>
      </c>
      <c r="DA198" s="7">
        <f>IF(104&gt;=20,('Testes estatísticos'!$D$25+'Testes estatísticos'!$D$109)/2,"")</f>
        <v>-5.6112514999999945</v>
      </c>
      <c r="DB198" s="7">
        <f>IF(105&gt;=20,('Testes estatísticos'!$D$25+'Testes estatísticos'!$D$110)/2,"")</f>
        <v>-5.5769204999999964</v>
      </c>
      <c r="DC198" s="7">
        <f>IF(106&gt;=20,('Testes estatísticos'!$D$25+'Testes estatísticos'!$D$111)/2,"")</f>
        <v>-4.8339994999999973</v>
      </c>
      <c r="DD198" s="7">
        <f>IF(107&gt;=20,('Testes estatísticos'!$D$25+'Testes estatísticos'!$D$112)/2,"")</f>
        <v>-1.3408284999999971</v>
      </c>
      <c r="DE198" s="7">
        <f>IF(108&gt;=20,('Testes estatísticos'!$D$25+'Testes estatísticos'!$D$113)/2,"")</f>
        <v>-4.7634639999999955</v>
      </c>
      <c r="DF198" s="7">
        <f>IF(109&gt;=20,('Testes estatísticos'!$D$25+'Testes estatísticos'!$D$114)/2,"")</f>
        <v>-4.7997209999999946</v>
      </c>
      <c r="DG198" s="7">
        <f>IF(110&gt;=20,('Testes estatísticos'!$D$25+'Testes estatísticos'!$D$115)/2,"")</f>
        <v>-10.346860499999998</v>
      </c>
      <c r="DH198" s="7">
        <f>IF(111&gt;=20,('Testes estatísticos'!$D$25+'Testes estatísticos'!$D$116)/2,"")</f>
        <v>-4.6660299999999957</v>
      </c>
      <c r="DI198" s="7">
        <f>IF(112&gt;=20,('Testes estatísticos'!$D$25+'Testes estatísticos'!$D$117)/2,"")</f>
        <v>0.7624100000000027</v>
      </c>
      <c r="DJ198" s="7">
        <f>IF(113&gt;=20,('Testes estatísticos'!$D$25+'Testes estatísticos'!$D$118)/2,"")</f>
        <v>-4.6941469999999974</v>
      </c>
      <c r="DK198" s="7">
        <f>IF(114&gt;=20,('Testes estatísticos'!$D$25+'Testes estatísticos'!$D$119)/2,"")</f>
        <v>-4.7958969999999965</v>
      </c>
      <c r="DL198" s="7">
        <f>IF(115&gt;=20,('Testes estatísticos'!$D$25+'Testes estatísticos'!$D$120)/2,"")</f>
        <v>-4.7494194999999948</v>
      </c>
      <c r="DM198" s="7">
        <f>IF(116&gt;=20,('Testes estatísticos'!$D$25+'Testes estatísticos'!$D$121)/2,"")</f>
        <v>-4.7408169999999963</v>
      </c>
      <c r="DN198" s="7">
        <f>IF(117&gt;=20,('Testes estatísticos'!$D$25+'Testes estatísticos'!$D$122)/2,"")</f>
        <v>-4.7177489999999977</v>
      </c>
      <c r="DO198" s="7">
        <f>IF(118&gt;=20,('Testes estatísticos'!$D$25+'Testes estatísticos'!$D$123)/2,"")</f>
        <v>-4.6678384999999984</v>
      </c>
      <c r="DP198" s="7">
        <f>IF(119&gt;=20,('Testes estatísticos'!$D$25+'Testes estatísticos'!$D$124)/2,"")</f>
        <v>-4.6890499999999982</v>
      </c>
      <c r="DQ198" s="7">
        <f>IF(120&gt;=20,('Testes estatísticos'!$D$25+'Testes estatísticos'!$D$125)/2,"")</f>
        <v>-1.6374354999999952</v>
      </c>
      <c r="DR198" s="7">
        <f>IF(121&gt;=20,('Testes estatísticos'!$D$25+'Testes estatísticos'!$D$126)/2,"")</f>
        <v>-4.4264519999999976</v>
      </c>
      <c r="DS198" s="7">
        <f>IF(122&gt;=20,('Testes estatísticos'!$D$25+'Testes estatísticos'!$D$127)/2,"")</f>
        <v>-5.4918604999999943</v>
      </c>
      <c r="DT198" s="7">
        <f>IF(123&gt;=20,('Testes estatísticos'!$D$25+'Testes estatísticos'!$D$128)/2,"")</f>
        <v>0.57700900000000033</v>
      </c>
      <c r="DU198" s="7">
        <f>IF(124&gt;=20,('Testes estatísticos'!$D$25+'Testes estatísticos'!$D$129)/2,"")</f>
        <v>-4.3187624999999983</v>
      </c>
      <c r="DV198" s="7">
        <f>IF(125&gt;=20,('Testes estatísticos'!$D$25+'Testes estatísticos'!$D$130)/2,"")</f>
        <v>-3.1604549999999989</v>
      </c>
      <c r="DW198" s="7">
        <f>IF(126&gt;=20,('Testes estatísticos'!$D$25+'Testes estatísticos'!$D$131)/2,"")</f>
        <v>-5.5639309999999966</v>
      </c>
      <c r="DX198" s="7">
        <f>IF(127&gt;=20,('Testes estatísticos'!$D$25+'Testes estatísticos'!$D$132)/2,"")</f>
        <v>-7.6201224999999972</v>
      </c>
      <c r="DY198" s="7">
        <f>IF(128&gt;=20,('Testes estatísticos'!$D$25+'Testes estatísticos'!$D$133)/2,"")</f>
        <v>-7.9612119999999962</v>
      </c>
      <c r="DZ198" s="7">
        <f>IF(129&gt;=20,('Testes estatísticos'!$D$25+'Testes estatísticos'!$D$134)/2,"")</f>
        <v>-11.385001999999997</v>
      </c>
      <c r="EA198" s="7">
        <f>IF(130&gt;=20,('Testes estatísticos'!$D$25+'Testes estatísticos'!$D$135)/2,"")</f>
        <v>-5.6232319999999945</v>
      </c>
      <c r="EB198" s="7">
        <f>IF(131&gt;=20,('Testes estatísticos'!$D$25+'Testes estatísticos'!$D$136)/2,"")</f>
        <v>-5.5353589999999997</v>
      </c>
      <c r="EC198" s="7">
        <f>IF(132&gt;=20,('Testes estatísticos'!$D$25+'Testes estatísticos'!$D$137)/2,"")</f>
        <v>-7.0220954999999989</v>
      </c>
      <c r="ED198" s="7">
        <f>IF(133&gt;=20,('Testes estatísticos'!$D$25+'Testes estatísticos'!$D$138)/2,"")</f>
        <v>-4.8331579999999974</v>
      </c>
      <c r="EE198" s="7">
        <f>IF(134&gt;=20,('Testes estatísticos'!$D$25+'Testes estatísticos'!$D$139)/2,"")</f>
        <v>-7.1303485000000002</v>
      </c>
      <c r="EF198" s="7">
        <f>IF(135&gt;=20,('Testes estatísticos'!$D$25+'Testes estatísticos'!$D$140)/2,"")</f>
        <v>-3.9159159999999957</v>
      </c>
      <c r="EG198" s="7">
        <f>IF(136&gt;=20,('Testes estatísticos'!$D$25+'Testes estatísticos'!$D$141)/2,"")</f>
        <v>-5.6094059999999999</v>
      </c>
      <c r="EH198" s="7">
        <f>IF(137&gt;=20,('Testes estatísticos'!$D$25+'Testes estatísticos'!$D$142)/2,"")</f>
        <v>-3.9046659999999989</v>
      </c>
      <c r="EI198" s="7">
        <f>IF(138&gt;=20,('Testes estatísticos'!$D$25+'Testes estatísticos'!$D$143)/2,"")</f>
        <v>-5.5696814999999944</v>
      </c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</row>
    <row r="199" spans="2:151" x14ac:dyDescent="0.3">
      <c r="B199" s="7" t="str">
        <f>IF(1&gt;=21,('Testes estatísticos'!$D$26+'Testes estatísticos'!$D$6)/2,"")</f>
        <v/>
      </c>
      <c r="C199" s="7" t="str">
        <f>IF(2&gt;=21,('Testes estatísticos'!$D$26+'Testes estatísticos'!$D$7)/2,"")</f>
        <v/>
      </c>
      <c r="D199" s="7" t="str">
        <f>IF(3&gt;=21,('Testes estatísticos'!$D$26+'Testes estatísticos'!$D$8)/2,"")</f>
        <v/>
      </c>
      <c r="E199" s="7" t="str">
        <f>IF(4&gt;=21,('Testes estatísticos'!$D$26+'Testes estatísticos'!$D$9)/2,"")</f>
        <v/>
      </c>
      <c r="F199" s="7" t="str">
        <f>IF(5&gt;=21,('Testes estatísticos'!$D$26+'Testes estatísticos'!$D$10)/2,"")</f>
        <v/>
      </c>
      <c r="G199" s="7" t="str">
        <f>IF(6&gt;=21,('Testes estatísticos'!$D$26+'Testes estatísticos'!$D$11)/2,"")</f>
        <v/>
      </c>
      <c r="H199" s="7" t="str">
        <f>IF(7&gt;=21,('Testes estatísticos'!$D$26+'Testes estatísticos'!$D$12)/2,"")</f>
        <v/>
      </c>
      <c r="I199" s="7" t="str">
        <f>IF(8&gt;=21,('Testes estatísticos'!$D$26+'Testes estatísticos'!$D$13)/2,"")</f>
        <v/>
      </c>
      <c r="J199" s="7" t="str">
        <f>IF(9&gt;=21,('Testes estatísticos'!$D$26+'Testes estatísticos'!$D$14)/2,"")</f>
        <v/>
      </c>
      <c r="K199" s="7" t="str">
        <f>IF(10&gt;=21,('Testes estatísticos'!$D$26+'Testes estatísticos'!$D$15)/2,"")</f>
        <v/>
      </c>
      <c r="L199" s="7" t="str">
        <f>IF(11&gt;=21,('Testes estatísticos'!$D$26+'Testes estatísticos'!$D$16)/2,"")</f>
        <v/>
      </c>
      <c r="M199" s="7" t="str">
        <f>IF(12&gt;=21,('Testes estatísticos'!$D$26+'Testes estatísticos'!$D$17)/2,"")</f>
        <v/>
      </c>
      <c r="N199" s="7" t="str">
        <f>IF(13&gt;=21,('Testes estatísticos'!$D$26+'Testes estatísticos'!$D$18)/2,"")</f>
        <v/>
      </c>
      <c r="O199" s="7" t="str">
        <f>IF(14&gt;=21,('Testes estatísticos'!$D$26+'Testes estatísticos'!$D$19)/2,"")</f>
        <v/>
      </c>
      <c r="P199" s="7" t="str">
        <f>IF(15&gt;=21,('Testes estatísticos'!$D$26+'Testes estatísticos'!$D$20)/2,"")</f>
        <v/>
      </c>
      <c r="Q199" s="7" t="str">
        <f>IF(16&gt;=21,('Testes estatísticos'!$D$26+'Testes estatísticos'!$D$21)/2,"")</f>
        <v/>
      </c>
      <c r="R199" s="7" t="str">
        <f>IF(17&gt;=21,('Testes estatísticos'!$D$26+'Testes estatísticos'!$D$22)/2,"")</f>
        <v/>
      </c>
      <c r="S199" s="7" t="str">
        <f>IF(18&gt;=21,('Testes estatísticos'!$D$26+'Testes estatísticos'!$D$23)/2,"")</f>
        <v/>
      </c>
      <c r="T199" s="7" t="str">
        <f>IF(19&gt;=21,('Testes estatísticos'!$D$26+'Testes estatísticos'!$D$24)/2,"")</f>
        <v/>
      </c>
      <c r="U199" s="7" t="str">
        <f>IF(20&gt;=21,('Testes estatísticos'!$D$26+'Testes estatísticos'!$D$25)/2,"")</f>
        <v/>
      </c>
      <c r="V199" s="7">
        <f>IF(21&gt;=21,('Testes estatísticos'!$D$26+'Testes estatísticos'!$D$26)/2,"")</f>
        <v>-3.6356779999999986</v>
      </c>
      <c r="W199" s="7">
        <f>IF(22&gt;=21,('Testes estatísticos'!$D$26+'Testes estatísticos'!$D$27)/2,"")</f>
        <v>-3.6719074999999997</v>
      </c>
      <c r="X199" s="7">
        <f>IF(23&gt;=21,('Testes estatísticos'!$D$26+'Testes estatísticos'!$D$28)/2,"")</f>
        <v>-3.7947849999999974</v>
      </c>
      <c r="Y199" s="7">
        <f>IF(24&gt;=21,('Testes estatísticos'!$D$26+'Testes estatísticos'!$D$29)/2,"")</f>
        <v>-3.2316044999999995</v>
      </c>
      <c r="Z199" s="7">
        <f>IF(25&gt;=21,('Testes estatísticos'!$D$26+'Testes estatísticos'!$D$30)/2,"")</f>
        <v>-2.9180415000000011</v>
      </c>
      <c r="AA199" s="7">
        <f>IF(26&gt;=21,('Testes estatísticos'!$D$26+'Testes estatísticos'!$D$31)/2,"")</f>
        <v>-2.9145709999999987</v>
      </c>
      <c r="AB199" s="7">
        <f>IF(27&gt;=21,('Testes estatísticos'!$D$26+'Testes estatísticos'!$D$32)/2,"")</f>
        <v>-3.0191799999999986</v>
      </c>
      <c r="AC199" s="7">
        <f>IF(28&gt;=21,('Testes estatísticos'!$D$26+'Testes estatísticos'!$D$33)/2,"")</f>
        <v>-2.9594655000000003</v>
      </c>
      <c r="AD199" s="7">
        <f>IF(29&gt;=21,('Testes estatísticos'!$D$26+'Testes estatísticos'!$D$34)/2,"")</f>
        <v>-2.2302035000000018</v>
      </c>
      <c r="AE199" s="7">
        <f>IF(30&gt;=21,('Testes estatísticos'!$D$26+'Testes estatísticos'!$D$35)/2,"")</f>
        <v>-3.5437495000000006</v>
      </c>
      <c r="AF199" s="7">
        <f>IF(31&gt;=21,('Testes estatísticos'!$D$26+'Testes estatísticos'!$D$36)/2,"")</f>
        <v>-3.886143999999998</v>
      </c>
      <c r="AG199" s="7">
        <f>IF(32&gt;=21,('Testes estatísticos'!$D$26+'Testes estatísticos'!$D$37)/2,"")</f>
        <v>-2.7825234999999999</v>
      </c>
      <c r="AH199" s="7">
        <f>IF(33&gt;=21,('Testes estatísticos'!$D$26+'Testes estatísticos'!$D$38)/2,"")</f>
        <v>-2.9480630000000012</v>
      </c>
      <c r="AI199" s="7">
        <f>IF(34&gt;=21,('Testes estatísticos'!$D$26+'Testes estatísticos'!$D$39)/2,"")</f>
        <v>-0.13151699999999877</v>
      </c>
      <c r="AJ199" s="7">
        <f>IF(35&gt;=21,('Testes estatísticos'!$D$26+'Testes estatísticos'!$D$40)/2,"")</f>
        <v>-2.8730149999999988</v>
      </c>
      <c r="AK199" s="7">
        <f>IF(36&gt;=21,('Testes estatísticos'!$D$26+'Testes estatísticos'!$D$41)/2,"")</f>
        <v>-0.60507050000000007</v>
      </c>
      <c r="AL199" s="7">
        <f>IF(37&gt;=21,('Testes estatísticos'!$D$26+'Testes estatísticos'!$D$42)/2,"")</f>
        <v>-2.8836314999999999</v>
      </c>
      <c r="AM199" s="7">
        <f>IF(38&gt;=21,('Testes estatísticos'!$D$26+'Testes estatísticos'!$D$43)/2,"")</f>
        <v>-2.8707719999999988</v>
      </c>
      <c r="AN199" s="7">
        <f>IF(39&gt;=21,('Testes estatísticos'!$D$26+'Testes estatísticos'!$D$44)/2,"")</f>
        <v>-4.0077660000000002</v>
      </c>
      <c r="AO199" s="7">
        <f>IF(40&gt;=21,('Testes estatísticos'!$D$26+'Testes estatísticos'!$D$45)/2,"")</f>
        <v>-3.2839500000001465E-2</v>
      </c>
      <c r="AP199" s="7">
        <f>IF(41&gt;=21,('Testes estatísticos'!$D$26+'Testes estatísticos'!$D$46)/2,"")</f>
        <v>-2.5387789999999981</v>
      </c>
      <c r="AQ199" s="7">
        <f>IF(42&gt;=21,('Testes estatísticos'!$D$26+'Testes estatísticos'!$D$47)/2,"")</f>
        <v>-1.3964199999999991</v>
      </c>
      <c r="AR199" s="7">
        <f>IF(43&gt;=21,('Testes estatísticos'!$D$26+'Testes estatísticos'!$D$48)/2,"")</f>
        <v>-2.445333999999999</v>
      </c>
      <c r="AS199" s="7">
        <f>IF(44&gt;=21,('Testes estatísticos'!$D$26+'Testes estatísticos'!$D$49)/2,"")</f>
        <v>-2.9764569999999999</v>
      </c>
      <c r="AT199" s="7">
        <f>IF(45&gt;=21,('Testes estatísticos'!$D$26+'Testes estatísticos'!$D$50)/2,"")</f>
        <v>-2.1473784999999985</v>
      </c>
      <c r="AU199" s="7">
        <f>IF(46&gt;=21,('Testes estatísticos'!$D$26+'Testes estatísticos'!$D$51)/2,"")</f>
        <v>-5.1785744999999999</v>
      </c>
      <c r="AV199" s="7">
        <f>IF(47&gt;=21,('Testes estatísticos'!$D$26+'Testes estatísticos'!$D$52)/2,"")</f>
        <v>-0.10840149999999937</v>
      </c>
      <c r="AW199" s="7">
        <f>IF(48&gt;=21,('Testes estatísticos'!$D$26+'Testes estatísticos'!$D$53)/2,"")</f>
        <v>-4.5444324999999992</v>
      </c>
      <c r="AX199" s="7">
        <f>IF(49&gt;=21,('Testes estatísticos'!$D$26+'Testes estatísticos'!$D$54)/2,"")</f>
        <v>-3.2846419999999981</v>
      </c>
      <c r="AY199" s="7">
        <f>IF(50&gt;=21,('Testes estatísticos'!$D$26+'Testes estatísticos'!$D$55)/2,"")</f>
        <v>-1.6594774999999977</v>
      </c>
      <c r="AZ199" s="7">
        <f>IF(51&gt;=21,('Testes estatísticos'!$D$26+'Testes estatísticos'!$D$56)/2,"")</f>
        <v>-1.6150079999999996</v>
      </c>
      <c r="BA199" s="7">
        <f>IF(52&gt;=21,('Testes estatísticos'!$D$26+'Testes estatísticos'!$D$57)/2,"")</f>
        <v>-5.023223999999999</v>
      </c>
      <c r="BB199" s="7">
        <f>IF(53&gt;=21,('Testes estatísticos'!$D$26+'Testes estatísticos'!$D$58)/2,"")</f>
        <v>-1.6144614999999973</v>
      </c>
      <c r="BC199" s="7">
        <f>IF(54&gt;=21,('Testes estatísticos'!$D$26+'Testes estatísticos'!$D$59)/2,"")</f>
        <v>-2.5341039999999992</v>
      </c>
      <c r="BD199" s="7">
        <f>IF(55&gt;=21,('Testes estatísticos'!$D$26+'Testes estatísticos'!$D$60)/2,"")</f>
        <v>0.56156700000000015</v>
      </c>
      <c r="BE199" s="7">
        <f>IF(56&gt;=21,('Testes estatísticos'!$D$26+'Testes estatísticos'!$D$61)/2,"")</f>
        <v>-2.0684014999999967</v>
      </c>
      <c r="BF199" s="7">
        <f>IF(57&gt;=21,('Testes estatísticos'!$D$26+'Testes estatísticos'!$D$62)/2,"")</f>
        <v>-5.4685915000000023</v>
      </c>
      <c r="BG199" s="7">
        <f>IF(58&gt;=21,('Testes estatísticos'!$D$26+'Testes estatísticos'!$D$63)/2,"")</f>
        <v>-0.20269649999999828</v>
      </c>
      <c r="BH199" s="7">
        <f>IF(59&gt;=21,('Testes estatísticos'!$D$26+'Testes estatísticos'!$D$64)/2,"")</f>
        <v>-6.0463090000000008</v>
      </c>
      <c r="BI199" s="7">
        <f>IF(60&gt;=21,('Testes estatísticos'!$D$26+'Testes estatísticos'!$D$65)/2,"")</f>
        <v>-4.2987179999999974</v>
      </c>
      <c r="BJ199" s="7">
        <f>IF(61&gt;=21,('Testes estatísticos'!$D$26+'Testes estatísticos'!$D$66)/2,"")</f>
        <v>-1.6636629999999997</v>
      </c>
      <c r="BK199" s="7">
        <f>IF(62&gt;=21,('Testes estatísticos'!$D$26+'Testes estatísticos'!$D$67)/2,"")</f>
        <v>-2.1724579999999989</v>
      </c>
      <c r="BL199" s="7">
        <f>IF(63&gt;=21,('Testes estatísticos'!$D$26+'Testes estatísticos'!$D$68)/2,"")</f>
        <v>-1.2731434999999998</v>
      </c>
      <c r="BM199" s="7">
        <f>IF(64&gt;=21,('Testes estatísticos'!$D$26+'Testes estatísticos'!$D$69)/2,"")</f>
        <v>-1.2223015000000004</v>
      </c>
      <c r="BN199" s="7">
        <f>IF(65&gt;=21,('Testes estatísticos'!$D$26+'Testes estatísticos'!$D$70)/2,"")</f>
        <v>-3.3681079999999994</v>
      </c>
      <c r="BO199" s="7">
        <f>IF(66&gt;=21,('Testes estatísticos'!$D$26+'Testes estatísticos'!$D$71)/2,"")</f>
        <v>-2.4722554999999993</v>
      </c>
      <c r="BP199" s="7">
        <f>IF(67&gt;=21,('Testes estatísticos'!$D$26+'Testes estatísticos'!$D$72)/2,"")</f>
        <v>-5.3627144999999992</v>
      </c>
      <c r="BQ199" s="7">
        <f>IF(68&gt;=21,('Testes estatísticos'!$D$26+'Testes estatísticos'!$D$73)/2,"")</f>
        <v>-0.69948150000000098</v>
      </c>
      <c r="BR199" s="7">
        <f>IF(69&gt;=21,('Testes estatísticos'!$D$26+'Testes estatísticos'!$D$74)/2,"")</f>
        <v>-6.7299500000000734E-2</v>
      </c>
      <c r="BS199" s="7">
        <f>IF(70&gt;=21,('Testes estatísticos'!$D$26+'Testes estatísticos'!$D$75)/2,"")</f>
        <v>-1.0717640000000017</v>
      </c>
      <c r="BT199" s="7">
        <f>IF(71&gt;=21,('Testes estatísticos'!$D$26+'Testes estatísticos'!$D$76)/2,"")</f>
        <v>0.50260099999999852</v>
      </c>
      <c r="BU199" s="7">
        <f>IF(72&gt;=21,('Testes estatísticos'!$D$26+'Testes estatísticos'!$D$77)/2,"")</f>
        <v>-5.0970960000000005</v>
      </c>
      <c r="BV199" s="7">
        <f>IF(73&gt;=21,('Testes estatísticos'!$D$26+'Testes estatísticos'!$D$78)/2,"")</f>
        <v>-3.0236215000000009</v>
      </c>
      <c r="BW199" s="7">
        <f>IF(74&gt;=21,('Testes estatísticos'!$D$26+'Testes estatísticos'!$D$79)/2,"")</f>
        <v>-3.7069399999999995</v>
      </c>
      <c r="BX199" s="7">
        <f>IF(75&gt;=21,('Testes estatísticos'!$D$26+'Testes estatísticos'!$D$80)/2,"")</f>
        <v>-3.7287180000000006</v>
      </c>
      <c r="BY199" s="7">
        <f>IF(76&gt;=21,('Testes estatísticos'!$D$26+'Testes estatísticos'!$D$81)/2,"")</f>
        <v>0.40274000000000143</v>
      </c>
      <c r="BZ199" s="7">
        <f>IF(77&gt;=21,('Testes estatísticos'!$D$26+'Testes estatísticos'!$D$82)/2,"")</f>
        <v>-4.858849499999998</v>
      </c>
      <c r="CA199" s="7">
        <f>IF(78&gt;=21,('Testes estatísticos'!$D$26+'Testes estatísticos'!$D$83)/2,"")</f>
        <v>-3.0985904999999967</v>
      </c>
      <c r="CB199" s="7">
        <f>IF(79&gt;=21,('Testes estatísticos'!$D$26+'Testes estatísticos'!$D$84)/2,"")</f>
        <v>-3.0468679999999999</v>
      </c>
      <c r="CC199" s="7">
        <f>IF(80&gt;=21,('Testes estatísticos'!$D$26+'Testes estatísticos'!$D$85)/2,"")</f>
        <v>-4.8538844999999995</v>
      </c>
      <c r="CD199" s="7">
        <f>IF(81&gt;=21,('Testes estatísticos'!$D$26+'Testes estatísticos'!$D$86)/2,"")</f>
        <v>-4.9040295</v>
      </c>
      <c r="CE199" s="7">
        <f>IF(82&gt;=21,('Testes estatísticos'!$D$26+'Testes estatísticos'!$D$87)/2,"")</f>
        <v>-2.8262390000000011</v>
      </c>
      <c r="CF199" s="7">
        <f>IF(83&gt;=21,('Testes estatísticos'!$D$26+'Testes estatísticos'!$D$88)/2,"")</f>
        <v>-3.3550460000000015</v>
      </c>
      <c r="CG199" s="7">
        <f>IF(84&gt;=21,('Testes estatísticos'!$D$26+'Testes estatísticos'!$D$89)/2,"")</f>
        <v>-3.686952999999999</v>
      </c>
      <c r="CH199" s="7">
        <f>IF(85&gt;=21,('Testes estatísticos'!$D$26+'Testes estatísticos'!$D$90)/2,"")</f>
        <v>-1.8714060000000003</v>
      </c>
      <c r="CI199" s="7">
        <f>IF(86&gt;=21,('Testes estatísticos'!$D$26+'Testes estatísticos'!$D$91)/2,"")</f>
        <v>-4.5615654999999968</v>
      </c>
      <c r="CJ199" s="7">
        <f>IF(87&gt;=21,('Testes estatísticos'!$D$26+'Testes estatísticos'!$D$92)/2,"")</f>
        <v>-3.3193589999999986</v>
      </c>
      <c r="CK199" s="7">
        <f>IF(88&gt;=21,('Testes estatísticos'!$D$26+'Testes estatísticos'!$D$93)/2,"")</f>
        <v>-3.0752755000000001</v>
      </c>
      <c r="CL199" s="7">
        <f>IF(89&gt;=21,('Testes estatísticos'!$D$26+'Testes estatísticos'!$D$94)/2,"")</f>
        <v>-3.6868675000000017</v>
      </c>
      <c r="CM199" s="7">
        <f>IF(90&gt;=21,('Testes estatísticos'!$D$26+'Testes estatísticos'!$D$95)/2,"")</f>
        <v>-6.0209994999999985</v>
      </c>
      <c r="CN199" s="7">
        <f>IF(91&gt;=21,('Testes estatísticos'!$D$26+'Testes estatísticos'!$D$96)/2,"")</f>
        <v>-3.4824764999999971</v>
      </c>
      <c r="CO199" s="7">
        <f>IF(92&gt;=21,('Testes estatísticos'!$D$26+'Testes estatísticos'!$D$97)/2,"")</f>
        <v>-3.8289799999999978</v>
      </c>
      <c r="CP199" s="7">
        <f>IF(93&gt;=21,('Testes estatísticos'!$D$26+'Testes estatísticos'!$D$98)/2,"")</f>
        <v>-4.033731999999997</v>
      </c>
      <c r="CQ199" s="7">
        <f>IF(94&gt;=21,('Testes estatísticos'!$D$26+'Testes estatísticos'!$D$99)/2,"")</f>
        <v>-1.8525740000000006</v>
      </c>
      <c r="CR199" s="7">
        <f>IF(95&gt;=21,('Testes estatísticos'!$D$26+'Testes estatísticos'!$D$100)/2,"")</f>
        <v>-3.7583669999999998</v>
      </c>
      <c r="CS199" s="7">
        <f>IF(96&gt;=21,('Testes estatísticos'!$D$26+'Testes estatísticos'!$D$101)/2,"")</f>
        <v>-3.714380000000002</v>
      </c>
      <c r="CT199" s="7">
        <f>IF(97&gt;=21,('Testes estatísticos'!$D$26+'Testes estatísticos'!$D$102)/2,"")</f>
        <v>-3.4813295000000011</v>
      </c>
      <c r="CU199" s="7">
        <f>IF(98&gt;=21,('Testes estatísticos'!$D$26+'Testes estatísticos'!$D$103)/2,"")</f>
        <v>-3.4240034999999978</v>
      </c>
      <c r="CV199" s="7">
        <f>IF(99&gt;=21,('Testes estatísticos'!$D$26+'Testes estatísticos'!$D$104)/2,"")</f>
        <v>-3.8588294999999988</v>
      </c>
      <c r="CW199" s="7">
        <f>IF(100&gt;=21,('Testes estatísticos'!$D$26+'Testes estatísticos'!$D$105)/2,"")</f>
        <v>-3.9582954999999984</v>
      </c>
      <c r="CX199" s="7">
        <f>IF(101&gt;=21,('Testes estatísticos'!$D$26+'Testes estatísticos'!$D$106)/2,"")</f>
        <v>-3.4353689999999979</v>
      </c>
      <c r="CY199" s="7">
        <f>IF(102&gt;=21,('Testes estatísticos'!$D$26+'Testes estatísticos'!$D$107)/2,"")</f>
        <v>-3.4910339999999991</v>
      </c>
      <c r="CZ199" s="7">
        <f>IF(103&gt;=21,('Testes estatísticos'!$D$26+'Testes estatísticos'!$D$108)/2,"")</f>
        <v>-4.0152004999999988</v>
      </c>
      <c r="DA199" s="7">
        <f>IF(104&gt;=21,('Testes estatísticos'!$D$26+'Testes estatísticos'!$D$109)/2,"")</f>
        <v>-3.7525664999999968</v>
      </c>
      <c r="DB199" s="7">
        <f>IF(105&gt;=21,('Testes estatísticos'!$D$26+'Testes estatísticos'!$D$110)/2,"")</f>
        <v>-3.7182354999999987</v>
      </c>
      <c r="DC199" s="7">
        <f>IF(106&gt;=21,('Testes estatísticos'!$D$26+'Testes estatísticos'!$D$111)/2,"")</f>
        <v>-2.9753144999999996</v>
      </c>
      <c r="DD199" s="7">
        <f>IF(107&gt;=21,('Testes estatísticos'!$D$26+'Testes estatísticos'!$D$112)/2,"")</f>
        <v>0.51785650000000061</v>
      </c>
      <c r="DE199" s="7">
        <f>IF(108&gt;=21,('Testes estatísticos'!$D$26+'Testes estatísticos'!$D$113)/2,"")</f>
        <v>-2.9047789999999978</v>
      </c>
      <c r="DF199" s="7">
        <f>IF(109&gt;=21,('Testes estatísticos'!$D$26+'Testes estatísticos'!$D$114)/2,"")</f>
        <v>-2.9410359999999969</v>
      </c>
      <c r="DG199" s="7">
        <f>IF(110&gt;=21,('Testes estatísticos'!$D$26+'Testes estatísticos'!$D$115)/2,"")</f>
        <v>-8.4881755000000005</v>
      </c>
      <c r="DH199" s="7">
        <f>IF(111&gt;=21,('Testes estatísticos'!$D$26+'Testes estatísticos'!$D$116)/2,"")</f>
        <v>-2.807344999999998</v>
      </c>
      <c r="DI199" s="7">
        <f>IF(112&gt;=21,('Testes estatísticos'!$D$26+'Testes estatísticos'!$D$117)/2,"")</f>
        <v>2.6210950000000004</v>
      </c>
      <c r="DJ199" s="7">
        <f>IF(113&gt;=21,('Testes estatísticos'!$D$26+'Testes estatísticos'!$D$118)/2,"")</f>
        <v>-2.8354619999999997</v>
      </c>
      <c r="DK199" s="7">
        <f>IF(114&gt;=21,('Testes estatísticos'!$D$26+'Testes estatísticos'!$D$119)/2,"")</f>
        <v>-2.9372119999999988</v>
      </c>
      <c r="DL199" s="7">
        <f>IF(115&gt;=21,('Testes estatísticos'!$D$26+'Testes estatísticos'!$D$120)/2,"")</f>
        <v>-2.8907344999999971</v>
      </c>
      <c r="DM199" s="7">
        <f>IF(116&gt;=21,('Testes estatísticos'!$D$26+'Testes estatísticos'!$D$121)/2,"")</f>
        <v>-2.8821319999999986</v>
      </c>
      <c r="DN199" s="7">
        <f>IF(117&gt;=21,('Testes estatísticos'!$D$26+'Testes estatísticos'!$D$122)/2,"")</f>
        <v>-2.859064</v>
      </c>
      <c r="DO199" s="7">
        <f>IF(118&gt;=21,('Testes estatísticos'!$D$26+'Testes estatísticos'!$D$123)/2,"")</f>
        <v>-2.8091535000000007</v>
      </c>
      <c r="DP199" s="7">
        <f>IF(119&gt;=21,('Testes estatísticos'!$D$26+'Testes estatísticos'!$D$124)/2,"")</f>
        <v>-2.8303650000000005</v>
      </c>
      <c r="DQ199" s="7">
        <f>IF(120&gt;=21,('Testes estatísticos'!$D$26+'Testes estatísticos'!$D$125)/2,"")</f>
        <v>0.22124950000000254</v>
      </c>
      <c r="DR199" s="7">
        <f>IF(121&gt;=21,('Testes estatísticos'!$D$26+'Testes estatísticos'!$D$126)/2,"")</f>
        <v>-2.5677669999999999</v>
      </c>
      <c r="DS199" s="7">
        <f>IF(122&gt;=21,('Testes estatísticos'!$D$26+'Testes estatísticos'!$D$127)/2,"")</f>
        <v>-3.6331754999999966</v>
      </c>
      <c r="DT199" s="7">
        <f>IF(123&gt;=21,('Testes estatísticos'!$D$26+'Testes estatísticos'!$D$128)/2,"")</f>
        <v>2.435693999999998</v>
      </c>
      <c r="DU199" s="7">
        <f>IF(124&gt;=21,('Testes estatísticos'!$D$26+'Testes estatísticos'!$D$129)/2,"")</f>
        <v>-2.4600775000000006</v>
      </c>
      <c r="DV199" s="7">
        <f>IF(125&gt;=21,('Testes estatísticos'!$D$26+'Testes estatísticos'!$D$130)/2,"")</f>
        <v>-1.3017700000000012</v>
      </c>
      <c r="DW199" s="7">
        <f>IF(126&gt;=21,('Testes estatísticos'!$D$26+'Testes estatísticos'!$D$131)/2,"")</f>
        <v>-3.7052459999999989</v>
      </c>
      <c r="DX199" s="7">
        <f>IF(127&gt;=21,('Testes estatísticos'!$D$26+'Testes estatísticos'!$D$132)/2,"")</f>
        <v>-5.7614374999999995</v>
      </c>
      <c r="DY199" s="7">
        <f>IF(128&gt;=21,('Testes estatísticos'!$D$26+'Testes estatísticos'!$D$133)/2,"")</f>
        <v>-6.1025269999999985</v>
      </c>
      <c r="DZ199" s="7">
        <f>IF(129&gt;=21,('Testes estatísticos'!$D$26+'Testes estatísticos'!$D$134)/2,"")</f>
        <v>-9.5263169999999988</v>
      </c>
      <c r="EA199" s="7">
        <f>IF(130&gt;=21,('Testes estatísticos'!$D$26+'Testes estatísticos'!$D$135)/2,"")</f>
        <v>-3.7645469999999968</v>
      </c>
      <c r="EB199" s="7">
        <f>IF(131&gt;=21,('Testes estatísticos'!$D$26+'Testes estatísticos'!$D$136)/2,"")</f>
        <v>-3.676674000000002</v>
      </c>
      <c r="EC199" s="7">
        <f>IF(132&gt;=21,('Testes estatísticos'!$D$26+'Testes estatísticos'!$D$137)/2,"")</f>
        <v>-5.1634105000000012</v>
      </c>
      <c r="ED199" s="7">
        <f>IF(133&gt;=21,('Testes estatísticos'!$D$26+'Testes estatísticos'!$D$138)/2,"")</f>
        <v>-2.9744729999999997</v>
      </c>
      <c r="EE199" s="7">
        <f>IF(134&gt;=21,('Testes estatísticos'!$D$26+'Testes estatísticos'!$D$139)/2,"")</f>
        <v>-5.2716635000000025</v>
      </c>
      <c r="EF199" s="7">
        <f>IF(135&gt;=21,('Testes estatísticos'!$D$26+'Testes estatísticos'!$D$140)/2,"")</f>
        <v>-2.057230999999998</v>
      </c>
      <c r="EG199" s="7">
        <f>IF(136&gt;=21,('Testes estatísticos'!$D$26+'Testes estatísticos'!$D$141)/2,"")</f>
        <v>-3.7507210000000022</v>
      </c>
      <c r="EH199" s="7">
        <f>IF(137&gt;=21,('Testes estatísticos'!$D$26+'Testes estatísticos'!$D$142)/2,"")</f>
        <v>-2.0459810000000012</v>
      </c>
      <c r="EI199" s="7">
        <f>IF(138&gt;=21,('Testes estatísticos'!$D$26+'Testes estatísticos'!$D$143)/2,"")</f>
        <v>-3.7109964999999967</v>
      </c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</row>
    <row r="200" spans="2:151" x14ac:dyDescent="0.3">
      <c r="B200" s="7" t="str">
        <f>IF(1&gt;=22,('Testes estatísticos'!$D$27+'Testes estatísticos'!$D$6)/2,"")</f>
        <v/>
      </c>
      <c r="C200" s="7" t="str">
        <f>IF(2&gt;=22,('Testes estatísticos'!$D$27+'Testes estatísticos'!$D$7)/2,"")</f>
        <v/>
      </c>
      <c r="D200" s="7" t="str">
        <f>IF(3&gt;=22,('Testes estatísticos'!$D$27+'Testes estatísticos'!$D$8)/2,"")</f>
        <v/>
      </c>
      <c r="E200" s="7" t="str">
        <f>IF(4&gt;=22,('Testes estatísticos'!$D$27+'Testes estatísticos'!$D$9)/2,"")</f>
        <v/>
      </c>
      <c r="F200" s="7" t="str">
        <f>IF(5&gt;=22,('Testes estatísticos'!$D$27+'Testes estatísticos'!$D$10)/2,"")</f>
        <v/>
      </c>
      <c r="G200" s="7" t="str">
        <f>IF(6&gt;=22,('Testes estatísticos'!$D$27+'Testes estatísticos'!$D$11)/2,"")</f>
        <v/>
      </c>
      <c r="H200" s="7" t="str">
        <f>IF(7&gt;=22,('Testes estatísticos'!$D$27+'Testes estatísticos'!$D$12)/2,"")</f>
        <v/>
      </c>
      <c r="I200" s="7" t="str">
        <f>IF(8&gt;=22,('Testes estatísticos'!$D$27+'Testes estatísticos'!$D$13)/2,"")</f>
        <v/>
      </c>
      <c r="J200" s="7" t="str">
        <f>IF(9&gt;=22,('Testes estatísticos'!$D$27+'Testes estatísticos'!$D$14)/2,"")</f>
        <v/>
      </c>
      <c r="K200" s="7" t="str">
        <f>IF(10&gt;=22,('Testes estatísticos'!$D$27+'Testes estatísticos'!$D$15)/2,"")</f>
        <v/>
      </c>
      <c r="L200" s="7" t="str">
        <f>IF(11&gt;=22,('Testes estatísticos'!$D$27+'Testes estatísticos'!$D$16)/2,"")</f>
        <v/>
      </c>
      <c r="M200" s="7" t="str">
        <f>IF(12&gt;=22,('Testes estatísticos'!$D$27+'Testes estatísticos'!$D$17)/2,"")</f>
        <v/>
      </c>
      <c r="N200" s="7" t="str">
        <f>IF(13&gt;=22,('Testes estatísticos'!$D$27+'Testes estatísticos'!$D$18)/2,"")</f>
        <v/>
      </c>
      <c r="O200" s="7" t="str">
        <f>IF(14&gt;=22,('Testes estatísticos'!$D$27+'Testes estatísticos'!$D$19)/2,"")</f>
        <v/>
      </c>
      <c r="P200" s="7" t="str">
        <f>IF(15&gt;=22,('Testes estatísticos'!$D$27+'Testes estatísticos'!$D$20)/2,"")</f>
        <v/>
      </c>
      <c r="Q200" s="7" t="str">
        <f>IF(16&gt;=22,('Testes estatísticos'!$D$27+'Testes estatísticos'!$D$21)/2,"")</f>
        <v/>
      </c>
      <c r="R200" s="7" t="str">
        <f>IF(17&gt;=22,('Testes estatísticos'!$D$27+'Testes estatísticos'!$D$22)/2,"")</f>
        <v/>
      </c>
      <c r="S200" s="7" t="str">
        <f>IF(18&gt;=22,('Testes estatísticos'!$D$27+'Testes estatísticos'!$D$23)/2,"")</f>
        <v/>
      </c>
      <c r="T200" s="7" t="str">
        <f>IF(19&gt;=22,('Testes estatísticos'!$D$27+'Testes estatísticos'!$D$24)/2,"")</f>
        <v/>
      </c>
      <c r="U200" s="7" t="str">
        <f>IF(20&gt;=22,('Testes estatísticos'!$D$27+'Testes estatísticos'!$D$25)/2,"")</f>
        <v/>
      </c>
      <c r="V200" s="7" t="str">
        <f>IF(21&gt;=22,('Testes estatísticos'!$D$27+'Testes estatísticos'!$D$26)/2,"")</f>
        <v/>
      </c>
      <c r="W200" s="7">
        <f>IF(22&gt;=22,('Testes estatísticos'!$D$27+'Testes estatísticos'!$D$27)/2,"")</f>
        <v>-3.7081370000000007</v>
      </c>
      <c r="X200" s="7">
        <f>IF(23&gt;=22,('Testes estatísticos'!$D$27+'Testes estatísticos'!$D$28)/2,"")</f>
        <v>-3.8310144999999984</v>
      </c>
      <c r="Y200" s="7">
        <f>IF(24&gt;=22,('Testes estatísticos'!$D$27+'Testes estatísticos'!$D$29)/2,"")</f>
        <v>-3.2678340000000006</v>
      </c>
      <c r="Z200" s="7">
        <f>IF(25&gt;=22,('Testes estatísticos'!$D$27+'Testes estatísticos'!$D$30)/2,"")</f>
        <v>-2.9542710000000021</v>
      </c>
      <c r="AA200" s="7">
        <f>IF(26&gt;=22,('Testes estatísticos'!$D$27+'Testes estatísticos'!$D$31)/2,"")</f>
        <v>-2.9508004999999997</v>
      </c>
      <c r="AB200" s="7">
        <f>IF(27&gt;=22,('Testes estatísticos'!$D$27+'Testes estatísticos'!$D$32)/2,"")</f>
        <v>-3.0554094999999997</v>
      </c>
      <c r="AC200" s="7">
        <f>IF(28&gt;=22,('Testes estatísticos'!$D$27+'Testes estatísticos'!$D$33)/2,"")</f>
        <v>-2.9956950000000013</v>
      </c>
      <c r="AD200" s="7">
        <f>IF(29&gt;=22,('Testes estatísticos'!$D$27+'Testes estatísticos'!$D$34)/2,"")</f>
        <v>-2.2664330000000028</v>
      </c>
      <c r="AE200" s="7">
        <f>IF(30&gt;=22,('Testes estatísticos'!$D$27+'Testes estatísticos'!$D$35)/2,"")</f>
        <v>-3.5799790000000016</v>
      </c>
      <c r="AF200" s="7">
        <f>IF(31&gt;=22,('Testes estatísticos'!$D$27+'Testes estatísticos'!$D$36)/2,"")</f>
        <v>-3.9223734999999991</v>
      </c>
      <c r="AG200" s="7">
        <f>IF(32&gt;=22,('Testes estatísticos'!$D$27+'Testes estatísticos'!$D$37)/2,"")</f>
        <v>-2.818753000000001</v>
      </c>
      <c r="AH200" s="7">
        <f>IF(33&gt;=22,('Testes estatísticos'!$D$27+'Testes estatísticos'!$D$38)/2,"")</f>
        <v>-2.9842925000000022</v>
      </c>
      <c r="AI200" s="7">
        <f>IF(34&gt;=22,('Testes estatísticos'!$D$27+'Testes estatísticos'!$D$39)/2,"")</f>
        <v>-0.1677464999999998</v>
      </c>
      <c r="AJ200" s="7">
        <f>IF(35&gt;=22,('Testes estatísticos'!$D$27+'Testes estatísticos'!$D$40)/2,"")</f>
        <v>-2.9092444999999998</v>
      </c>
      <c r="AK200" s="7">
        <f>IF(36&gt;=22,('Testes estatísticos'!$D$27+'Testes estatísticos'!$D$41)/2,"")</f>
        <v>-0.64130000000000109</v>
      </c>
      <c r="AL200" s="7">
        <f>IF(37&gt;=22,('Testes estatísticos'!$D$27+'Testes estatísticos'!$D$42)/2,"")</f>
        <v>-2.9198610000000009</v>
      </c>
      <c r="AM200" s="7">
        <f>IF(38&gt;=22,('Testes estatísticos'!$D$27+'Testes estatísticos'!$D$43)/2,"")</f>
        <v>-2.9070014999999998</v>
      </c>
      <c r="AN200" s="7">
        <f>IF(39&gt;=22,('Testes estatísticos'!$D$27+'Testes estatísticos'!$D$44)/2,"")</f>
        <v>-4.0439955000000012</v>
      </c>
      <c r="AO200" s="7">
        <f>IF(40&gt;=22,('Testes estatísticos'!$D$27+'Testes estatísticos'!$D$45)/2,"")</f>
        <v>-6.906900000000249E-2</v>
      </c>
      <c r="AP200" s="7">
        <f>IF(41&gt;=22,('Testes estatísticos'!$D$27+'Testes estatísticos'!$D$46)/2,"")</f>
        <v>-2.5750084999999991</v>
      </c>
      <c r="AQ200" s="7">
        <f>IF(42&gt;=22,('Testes estatísticos'!$D$27+'Testes estatísticos'!$D$47)/2,"")</f>
        <v>-1.4326495000000001</v>
      </c>
      <c r="AR200" s="7">
        <f>IF(43&gt;=22,('Testes estatísticos'!$D$27+'Testes estatísticos'!$D$48)/2,"")</f>
        <v>-2.4815635</v>
      </c>
      <c r="AS200" s="7">
        <f>IF(44&gt;=22,('Testes estatísticos'!$D$27+'Testes estatísticos'!$D$49)/2,"")</f>
        <v>-3.0126865000000009</v>
      </c>
      <c r="AT200" s="7">
        <f>IF(45&gt;=22,('Testes estatísticos'!$D$27+'Testes estatísticos'!$D$50)/2,"")</f>
        <v>-2.1836079999999995</v>
      </c>
      <c r="AU200" s="7">
        <f>IF(46&gt;=22,('Testes estatísticos'!$D$27+'Testes estatísticos'!$D$51)/2,"")</f>
        <v>-5.2148040000000009</v>
      </c>
      <c r="AV200" s="7">
        <f>IF(47&gt;=22,('Testes estatísticos'!$D$27+'Testes estatísticos'!$D$52)/2,"")</f>
        <v>-0.1446310000000004</v>
      </c>
      <c r="AW200" s="7">
        <f>IF(48&gt;=22,('Testes estatísticos'!$D$27+'Testes estatísticos'!$D$53)/2,"")</f>
        <v>-4.5806620000000002</v>
      </c>
      <c r="AX200" s="7">
        <f>IF(49&gt;=22,('Testes estatísticos'!$D$27+'Testes estatísticos'!$D$54)/2,"")</f>
        <v>-3.3208714999999991</v>
      </c>
      <c r="AY200" s="7">
        <f>IF(50&gt;=22,('Testes estatísticos'!$D$27+'Testes estatísticos'!$D$55)/2,"")</f>
        <v>-1.6957069999999987</v>
      </c>
      <c r="AZ200" s="7">
        <f>IF(51&gt;=22,('Testes estatísticos'!$D$27+'Testes estatísticos'!$D$56)/2,"")</f>
        <v>-1.6512375000000006</v>
      </c>
      <c r="BA200" s="7">
        <f>IF(52&gt;=22,('Testes estatísticos'!$D$27+'Testes estatísticos'!$D$57)/2,"")</f>
        <v>-5.0594535</v>
      </c>
      <c r="BB200" s="7">
        <f>IF(53&gt;=22,('Testes estatísticos'!$D$27+'Testes estatísticos'!$D$58)/2,"")</f>
        <v>-1.6506909999999984</v>
      </c>
      <c r="BC200" s="7">
        <f>IF(54&gt;=22,('Testes estatísticos'!$D$27+'Testes estatísticos'!$D$59)/2,"")</f>
        <v>-2.5703335000000003</v>
      </c>
      <c r="BD200" s="7">
        <f>IF(55&gt;=22,('Testes estatísticos'!$D$27+'Testes estatísticos'!$D$60)/2,"")</f>
        <v>0.52533749999999912</v>
      </c>
      <c r="BE200" s="7">
        <f>IF(56&gt;=22,('Testes estatísticos'!$D$27+'Testes estatísticos'!$D$61)/2,"")</f>
        <v>-2.1046309999999977</v>
      </c>
      <c r="BF200" s="7">
        <f>IF(57&gt;=22,('Testes estatísticos'!$D$27+'Testes estatísticos'!$D$62)/2,"")</f>
        <v>-5.5048210000000033</v>
      </c>
      <c r="BG200" s="7">
        <f>IF(58&gt;=22,('Testes estatísticos'!$D$27+'Testes estatísticos'!$D$63)/2,"")</f>
        <v>-0.23892599999999931</v>
      </c>
      <c r="BH200" s="7">
        <f>IF(59&gt;=22,('Testes estatísticos'!$D$27+'Testes estatísticos'!$D$64)/2,"")</f>
        <v>-6.0825385000000018</v>
      </c>
      <c r="BI200" s="7">
        <f>IF(60&gt;=22,('Testes estatísticos'!$D$27+'Testes estatísticos'!$D$65)/2,"")</f>
        <v>-4.3349474999999984</v>
      </c>
      <c r="BJ200" s="7">
        <f>IF(61&gt;=22,('Testes estatísticos'!$D$27+'Testes estatísticos'!$D$66)/2,"")</f>
        <v>-1.6998925000000007</v>
      </c>
      <c r="BK200" s="7">
        <f>IF(62&gt;=22,('Testes estatísticos'!$D$27+'Testes estatísticos'!$D$67)/2,"")</f>
        <v>-2.2086874999999999</v>
      </c>
      <c r="BL200" s="7">
        <f>IF(63&gt;=22,('Testes estatísticos'!$D$27+'Testes estatísticos'!$D$68)/2,"")</f>
        <v>-1.3093730000000008</v>
      </c>
      <c r="BM200" s="7">
        <f>IF(64&gt;=22,('Testes estatísticos'!$D$27+'Testes estatísticos'!$D$69)/2,"")</f>
        <v>-1.2585310000000014</v>
      </c>
      <c r="BN200" s="7">
        <f>IF(65&gt;=22,('Testes estatísticos'!$D$27+'Testes estatísticos'!$D$70)/2,"")</f>
        <v>-3.4043375000000005</v>
      </c>
      <c r="BO200" s="7">
        <f>IF(66&gt;=22,('Testes estatísticos'!$D$27+'Testes estatísticos'!$D$71)/2,"")</f>
        <v>-2.5084850000000003</v>
      </c>
      <c r="BP200" s="7">
        <f>IF(67&gt;=22,('Testes estatísticos'!$D$27+'Testes estatísticos'!$D$72)/2,"")</f>
        <v>-5.3989440000000002</v>
      </c>
      <c r="BQ200" s="7">
        <f>IF(68&gt;=22,('Testes estatísticos'!$D$27+'Testes estatísticos'!$D$73)/2,"")</f>
        <v>-0.735711000000002</v>
      </c>
      <c r="BR200" s="7">
        <f>IF(69&gt;=22,('Testes estatísticos'!$D$27+'Testes estatísticos'!$D$74)/2,"")</f>
        <v>-0.10352900000000176</v>
      </c>
      <c r="BS200" s="7">
        <f>IF(70&gt;=22,('Testes estatísticos'!$D$27+'Testes estatísticos'!$D$75)/2,"")</f>
        <v>-1.1079935000000027</v>
      </c>
      <c r="BT200" s="7">
        <f>IF(71&gt;=22,('Testes estatísticos'!$D$27+'Testes estatísticos'!$D$76)/2,"")</f>
        <v>0.4663714999999975</v>
      </c>
      <c r="BU200" s="7">
        <f>IF(72&gt;=22,('Testes estatísticos'!$D$27+'Testes estatísticos'!$D$77)/2,"")</f>
        <v>-5.1333255000000015</v>
      </c>
      <c r="BV200" s="7">
        <f>IF(73&gt;=22,('Testes estatísticos'!$D$27+'Testes estatísticos'!$D$78)/2,"")</f>
        <v>-3.0598510000000019</v>
      </c>
      <c r="BW200" s="7">
        <f>IF(74&gt;=22,('Testes estatísticos'!$D$27+'Testes estatísticos'!$D$79)/2,"")</f>
        <v>-3.7431695000000005</v>
      </c>
      <c r="BX200" s="7">
        <f>IF(75&gt;=22,('Testes estatísticos'!$D$27+'Testes estatísticos'!$D$80)/2,"")</f>
        <v>-3.7649475000000017</v>
      </c>
      <c r="BY200" s="7">
        <f>IF(76&gt;=22,('Testes estatísticos'!$D$27+'Testes estatísticos'!$D$81)/2,"")</f>
        <v>0.36651050000000041</v>
      </c>
      <c r="BZ200" s="7">
        <f>IF(77&gt;=22,('Testes estatísticos'!$D$27+'Testes estatísticos'!$D$82)/2,"")</f>
        <v>-4.8950789999999991</v>
      </c>
      <c r="CA200" s="7">
        <f>IF(78&gt;=22,('Testes estatísticos'!$D$27+'Testes estatísticos'!$D$83)/2,"")</f>
        <v>-3.1348199999999977</v>
      </c>
      <c r="CB200" s="7">
        <f>IF(79&gt;=22,('Testes estatísticos'!$D$27+'Testes estatísticos'!$D$84)/2,"")</f>
        <v>-3.0830975000000009</v>
      </c>
      <c r="CC200" s="7">
        <f>IF(80&gt;=22,('Testes estatísticos'!$D$27+'Testes estatísticos'!$D$85)/2,"")</f>
        <v>-4.8901140000000005</v>
      </c>
      <c r="CD200" s="7">
        <f>IF(81&gt;=22,('Testes estatísticos'!$D$27+'Testes estatísticos'!$D$86)/2,"")</f>
        <v>-4.9402590000000011</v>
      </c>
      <c r="CE200" s="7">
        <f>IF(82&gt;=22,('Testes estatísticos'!$D$27+'Testes estatísticos'!$D$87)/2,"")</f>
        <v>-2.8624685000000021</v>
      </c>
      <c r="CF200" s="7">
        <f>IF(83&gt;=22,('Testes estatísticos'!$D$27+'Testes estatísticos'!$D$88)/2,"")</f>
        <v>-3.3912755000000026</v>
      </c>
      <c r="CG200" s="7">
        <f>IF(84&gt;=22,('Testes estatísticos'!$D$27+'Testes estatísticos'!$D$89)/2,"")</f>
        <v>-3.7231825000000001</v>
      </c>
      <c r="CH200" s="7">
        <f>IF(85&gt;=22,('Testes estatísticos'!$D$27+'Testes estatísticos'!$D$90)/2,"")</f>
        <v>-1.9076355000000014</v>
      </c>
      <c r="CI200" s="7">
        <f>IF(86&gt;=22,('Testes estatísticos'!$D$27+'Testes estatísticos'!$D$91)/2,"")</f>
        <v>-4.5977949999999979</v>
      </c>
      <c r="CJ200" s="7">
        <f>IF(87&gt;=22,('Testes estatísticos'!$D$27+'Testes estatísticos'!$D$92)/2,"")</f>
        <v>-3.3555884999999996</v>
      </c>
      <c r="CK200" s="7">
        <f>IF(88&gt;=22,('Testes estatísticos'!$D$27+'Testes estatísticos'!$D$93)/2,"")</f>
        <v>-3.1115050000000011</v>
      </c>
      <c r="CL200" s="7">
        <f>IF(89&gt;=22,('Testes estatísticos'!$D$27+'Testes estatísticos'!$D$94)/2,"")</f>
        <v>-3.7230970000000028</v>
      </c>
      <c r="CM200" s="7">
        <f>IF(90&gt;=22,('Testes estatísticos'!$D$27+'Testes estatísticos'!$D$95)/2,"")</f>
        <v>-6.0572289999999995</v>
      </c>
      <c r="CN200" s="7">
        <f>IF(91&gt;=22,('Testes estatísticos'!$D$27+'Testes estatísticos'!$D$96)/2,"")</f>
        <v>-3.5187059999999981</v>
      </c>
      <c r="CO200" s="7">
        <f>IF(92&gt;=22,('Testes estatísticos'!$D$27+'Testes estatísticos'!$D$97)/2,"")</f>
        <v>-3.8652094999999989</v>
      </c>
      <c r="CP200" s="7">
        <f>IF(93&gt;=22,('Testes estatísticos'!$D$27+'Testes estatísticos'!$D$98)/2,"")</f>
        <v>-4.069961499999998</v>
      </c>
      <c r="CQ200" s="7">
        <f>IF(94&gt;=22,('Testes estatísticos'!$D$27+'Testes estatísticos'!$D$99)/2,"")</f>
        <v>-1.8888035000000016</v>
      </c>
      <c r="CR200" s="7">
        <f>IF(95&gt;=22,('Testes estatísticos'!$D$27+'Testes estatísticos'!$D$100)/2,"")</f>
        <v>-3.7945965000000008</v>
      </c>
      <c r="CS200" s="7">
        <f>IF(96&gt;=22,('Testes estatísticos'!$D$27+'Testes estatísticos'!$D$101)/2,"")</f>
        <v>-3.750609500000003</v>
      </c>
      <c r="CT200" s="7">
        <f>IF(97&gt;=22,('Testes estatísticos'!$D$27+'Testes estatísticos'!$D$102)/2,"")</f>
        <v>-3.5175590000000021</v>
      </c>
      <c r="CU200" s="7">
        <f>IF(98&gt;=22,('Testes estatísticos'!$D$27+'Testes estatísticos'!$D$103)/2,"")</f>
        <v>-3.4602329999999988</v>
      </c>
      <c r="CV200" s="7">
        <f>IF(99&gt;=22,('Testes estatísticos'!$D$27+'Testes estatísticos'!$D$104)/2,"")</f>
        <v>-3.8950589999999998</v>
      </c>
      <c r="CW200" s="7">
        <f>IF(100&gt;=22,('Testes estatísticos'!$D$27+'Testes estatísticos'!$D$105)/2,"")</f>
        <v>-3.9945249999999994</v>
      </c>
      <c r="CX200" s="7">
        <f>IF(101&gt;=22,('Testes estatísticos'!$D$27+'Testes estatísticos'!$D$106)/2,"")</f>
        <v>-3.4715984999999989</v>
      </c>
      <c r="CY200" s="7">
        <f>IF(102&gt;=22,('Testes estatísticos'!$D$27+'Testes estatísticos'!$D$107)/2,"")</f>
        <v>-3.5272635000000001</v>
      </c>
      <c r="CZ200" s="7">
        <f>IF(103&gt;=22,('Testes estatísticos'!$D$27+'Testes estatísticos'!$D$108)/2,"")</f>
        <v>-4.0514299999999999</v>
      </c>
      <c r="DA200" s="7">
        <f>IF(104&gt;=22,('Testes estatísticos'!$D$27+'Testes estatísticos'!$D$109)/2,"")</f>
        <v>-3.7887959999999978</v>
      </c>
      <c r="DB200" s="7">
        <f>IF(105&gt;=22,('Testes estatísticos'!$D$27+'Testes estatísticos'!$D$110)/2,"")</f>
        <v>-3.7544649999999997</v>
      </c>
      <c r="DC200" s="7">
        <f>IF(106&gt;=22,('Testes estatísticos'!$D$27+'Testes estatísticos'!$D$111)/2,"")</f>
        <v>-3.0115440000000007</v>
      </c>
      <c r="DD200" s="7">
        <f>IF(107&gt;=22,('Testes estatísticos'!$D$27+'Testes estatísticos'!$D$112)/2,"")</f>
        <v>0.48162699999999958</v>
      </c>
      <c r="DE200" s="7">
        <f>IF(108&gt;=22,('Testes estatísticos'!$D$27+'Testes estatísticos'!$D$113)/2,"")</f>
        <v>-2.9410084999999988</v>
      </c>
      <c r="DF200" s="7">
        <f>IF(109&gt;=22,('Testes estatísticos'!$D$27+'Testes estatísticos'!$D$114)/2,"")</f>
        <v>-2.9772654999999979</v>
      </c>
      <c r="DG200" s="7">
        <f>IF(110&gt;=22,('Testes estatísticos'!$D$27+'Testes estatísticos'!$D$115)/2,"")</f>
        <v>-8.5244050000000016</v>
      </c>
      <c r="DH200" s="7">
        <f>IF(111&gt;=22,('Testes estatísticos'!$D$27+'Testes estatísticos'!$D$116)/2,"")</f>
        <v>-2.843574499999999</v>
      </c>
      <c r="DI200" s="7">
        <f>IF(112&gt;=22,('Testes estatísticos'!$D$27+'Testes estatísticos'!$D$117)/2,"")</f>
        <v>2.5848654999999994</v>
      </c>
      <c r="DJ200" s="7">
        <f>IF(113&gt;=22,('Testes estatísticos'!$D$27+'Testes estatísticos'!$D$118)/2,"")</f>
        <v>-2.8716915000000007</v>
      </c>
      <c r="DK200" s="7">
        <f>IF(114&gt;=22,('Testes estatísticos'!$D$27+'Testes estatísticos'!$D$119)/2,"")</f>
        <v>-2.9734414999999998</v>
      </c>
      <c r="DL200" s="7">
        <f>IF(115&gt;=22,('Testes estatísticos'!$D$27+'Testes estatísticos'!$D$120)/2,"")</f>
        <v>-2.9269639999999981</v>
      </c>
      <c r="DM200" s="7">
        <f>IF(116&gt;=22,('Testes estatísticos'!$D$27+'Testes estatísticos'!$D$121)/2,"")</f>
        <v>-2.9183614999999996</v>
      </c>
      <c r="DN200" s="7">
        <f>IF(117&gt;=22,('Testes estatísticos'!$D$27+'Testes estatísticos'!$D$122)/2,"")</f>
        <v>-2.8952935000000011</v>
      </c>
      <c r="DO200" s="7">
        <f>IF(118&gt;=22,('Testes estatísticos'!$D$27+'Testes estatísticos'!$D$123)/2,"")</f>
        <v>-2.8453830000000018</v>
      </c>
      <c r="DP200" s="7">
        <f>IF(119&gt;=22,('Testes estatísticos'!$D$27+'Testes estatísticos'!$D$124)/2,"")</f>
        <v>-2.8665945000000015</v>
      </c>
      <c r="DQ200" s="7">
        <f>IF(120&gt;=22,('Testes estatísticos'!$D$27+'Testes estatísticos'!$D$125)/2,"")</f>
        <v>0.18502000000000152</v>
      </c>
      <c r="DR200" s="7">
        <f>IF(121&gt;=22,('Testes estatísticos'!$D$27+'Testes estatísticos'!$D$126)/2,"")</f>
        <v>-2.6039965000000009</v>
      </c>
      <c r="DS200" s="7">
        <f>IF(122&gt;=22,('Testes estatísticos'!$D$27+'Testes estatísticos'!$D$127)/2,"")</f>
        <v>-3.6694049999999976</v>
      </c>
      <c r="DT200" s="7">
        <f>IF(123&gt;=22,('Testes estatísticos'!$D$27+'Testes estatísticos'!$D$128)/2,"")</f>
        <v>2.399464499999997</v>
      </c>
      <c r="DU200" s="7">
        <f>IF(124&gt;=22,('Testes estatísticos'!$D$27+'Testes estatísticos'!$D$129)/2,"")</f>
        <v>-2.4963070000000016</v>
      </c>
      <c r="DV200" s="7">
        <f>IF(125&gt;=22,('Testes estatísticos'!$D$27+'Testes estatísticos'!$D$130)/2,"")</f>
        <v>-1.3379995000000022</v>
      </c>
      <c r="DW200" s="7">
        <f>IF(126&gt;=22,('Testes estatísticos'!$D$27+'Testes estatísticos'!$D$131)/2,"")</f>
        <v>-3.7414755</v>
      </c>
      <c r="DX200" s="7">
        <f>IF(127&gt;=22,('Testes estatísticos'!$D$27+'Testes estatísticos'!$D$132)/2,"")</f>
        <v>-5.7976670000000006</v>
      </c>
      <c r="DY200" s="7">
        <f>IF(128&gt;=22,('Testes estatísticos'!$D$27+'Testes estatísticos'!$D$133)/2,"")</f>
        <v>-6.1387564999999995</v>
      </c>
      <c r="DZ200" s="7">
        <f>IF(129&gt;=22,('Testes estatísticos'!$D$27+'Testes estatísticos'!$D$134)/2,"")</f>
        <v>-9.5625464999999998</v>
      </c>
      <c r="EA200" s="7">
        <f>IF(130&gt;=22,('Testes estatísticos'!$D$27+'Testes estatísticos'!$D$135)/2,"")</f>
        <v>-3.8007764999999978</v>
      </c>
      <c r="EB200" s="7">
        <f>IF(131&gt;=22,('Testes estatísticos'!$D$27+'Testes estatísticos'!$D$136)/2,"")</f>
        <v>-3.712903500000003</v>
      </c>
      <c r="EC200" s="7">
        <f>IF(132&gt;=22,('Testes estatísticos'!$D$27+'Testes estatísticos'!$D$137)/2,"")</f>
        <v>-5.1996400000000023</v>
      </c>
      <c r="ED200" s="7">
        <f>IF(133&gt;=22,('Testes estatísticos'!$D$27+'Testes estatísticos'!$D$138)/2,"")</f>
        <v>-3.0107025000000007</v>
      </c>
      <c r="EE200" s="7">
        <f>IF(134&gt;=22,('Testes estatísticos'!$D$27+'Testes estatísticos'!$D$139)/2,"")</f>
        <v>-5.3078930000000035</v>
      </c>
      <c r="EF200" s="7">
        <f>IF(135&gt;=22,('Testes estatísticos'!$D$27+'Testes estatísticos'!$D$140)/2,"")</f>
        <v>-2.0934604999999991</v>
      </c>
      <c r="EG200" s="7">
        <f>IF(136&gt;=22,('Testes estatísticos'!$D$27+'Testes estatísticos'!$D$141)/2,"")</f>
        <v>-3.7869505000000032</v>
      </c>
      <c r="EH200" s="7">
        <f>IF(137&gt;=22,('Testes estatísticos'!$D$27+'Testes estatísticos'!$D$142)/2,"")</f>
        <v>-2.0822105000000022</v>
      </c>
      <c r="EI200" s="7">
        <f>IF(138&gt;=22,('Testes estatísticos'!$D$27+'Testes estatísticos'!$D$143)/2,"")</f>
        <v>-3.7472259999999977</v>
      </c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</row>
    <row r="201" spans="2:151" x14ac:dyDescent="0.3">
      <c r="B201" s="7" t="str">
        <f>IF(1&gt;=23,('Testes estatísticos'!$D$28+'Testes estatísticos'!$D$6)/2,"")</f>
        <v/>
      </c>
      <c r="C201" s="7" t="str">
        <f>IF(2&gt;=23,('Testes estatísticos'!$D$28+'Testes estatísticos'!$D$7)/2,"")</f>
        <v/>
      </c>
      <c r="D201" s="7" t="str">
        <f>IF(3&gt;=23,('Testes estatísticos'!$D$28+'Testes estatísticos'!$D$8)/2,"")</f>
        <v/>
      </c>
      <c r="E201" s="7" t="str">
        <f>IF(4&gt;=23,('Testes estatísticos'!$D$28+'Testes estatísticos'!$D$9)/2,"")</f>
        <v/>
      </c>
      <c r="F201" s="7" t="str">
        <f>IF(5&gt;=23,('Testes estatísticos'!$D$28+'Testes estatísticos'!$D$10)/2,"")</f>
        <v/>
      </c>
      <c r="G201" s="7" t="str">
        <f>IF(6&gt;=23,('Testes estatísticos'!$D$28+'Testes estatísticos'!$D$11)/2,"")</f>
        <v/>
      </c>
      <c r="H201" s="7" t="str">
        <f>IF(7&gt;=23,('Testes estatísticos'!$D$28+'Testes estatísticos'!$D$12)/2,"")</f>
        <v/>
      </c>
      <c r="I201" s="7" t="str">
        <f>IF(8&gt;=23,('Testes estatísticos'!$D$28+'Testes estatísticos'!$D$13)/2,"")</f>
        <v/>
      </c>
      <c r="J201" s="7" t="str">
        <f>IF(9&gt;=23,('Testes estatísticos'!$D$28+'Testes estatísticos'!$D$14)/2,"")</f>
        <v/>
      </c>
      <c r="K201" s="7" t="str">
        <f>IF(10&gt;=23,('Testes estatísticos'!$D$28+'Testes estatísticos'!$D$15)/2,"")</f>
        <v/>
      </c>
      <c r="L201" s="7" t="str">
        <f>IF(11&gt;=23,('Testes estatísticos'!$D$28+'Testes estatísticos'!$D$16)/2,"")</f>
        <v/>
      </c>
      <c r="M201" s="7" t="str">
        <f>IF(12&gt;=23,('Testes estatísticos'!$D$28+'Testes estatísticos'!$D$17)/2,"")</f>
        <v/>
      </c>
      <c r="N201" s="7" t="str">
        <f>IF(13&gt;=23,('Testes estatísticos'!$D$28+'Testes estatísticos'!$D$18)/2,"")</f>
        <v/>
      </c>
      <c r="O201" s="7" t="str">
        <f>IF(14&gt;=23,('Testes estatísticos'!$D$28+'Testes estatísticos'!$D$19)/2,"")</f>
        <v/>
      </c>
      <c r="P201" s="7" t="str">
        <f>IF(15&gt;=23,('Testes estatísticos'!$D$28+'Testes estatísticos'!$D$20)/2,"")</f>
        <v/>
      </c>
      <c r="Q201" s="7" t="str">
        <f>IF(16&gt;=23,('Testes estatísticos'!$D$28+'Testes estatísticos'!$D$21)/2,"")</f>
        <v/>
      </c>
      <c r="R201" s="7" t="str">
        <f>IF(17&gt;=23,('Testes estatísticos'!$D$28+'Testes estatísticos'!$D$22)/2,"")</f>
        <v/>
      </c>
      <c r="S201" s="7" t="str">
        <f>IF(18&gt;=23,('Testes estatísticos'!$D$28+'Testes estatísticos'!$D$23)/2,"")</f>
        <v/>
      </c>
      <c r="T201" s="7" t="str">
        <f>IF(19&gt;=23,('Testes estatísticos'!$D$28+'Testes estatísticos'!$D$24)/2,"")</f>
        <v/>
      </c>
      <c r="U201" s="7" t="str">
        <f>IF(20&gt;=23,('Testes estatísticos'!$D$28+'Testes estatísticos'!$D$25)/2,"")</f>
        <v/>
      </c>
      <c r="V201" s="7" t="str">
        <f>IF(21&gt;=23,('Testes estatísticos'!$D$28+'Testes estatísticos'!$D$26)/2,"")</f>
        <v/>
      </c>
      <c r="W201" s="7" t="str">
        <f>IF(22&gt;=23,('Testes estatísticos'!$D$28+'Testes estatísticos'!$D$27)/2,"")</f>
        <v/>
      </c>
      <c r="X201" s="7">
        <f>IF(23&gt;=23,('Testes estatísticos'!$D$28+'Testes estatísticos'!$D$28)/2,"")</f>
        <v>-3.9538919999999962</v>
      </c>
      <c r="Y201" s="7">
        <f>IF(24&gt;=23,('Testes estatísticos'!$D$28+'Testes estatísticos'!$D$29)/2,"")</f>
        <v>-3.3907114999999983</v>
      </c>
      <c r="Z201" s="7">
        <f>IF(25&gt;=23,('Testes estatísticos'!$D$28+'Testes estatísticos'!$D$30)/2,"")</f>
        <v>-3.0771484999999998</v>
      </c>
      <c r="AA201" s="7">
        <f>IF(26&gt;=23,('Testes estatísticos'!$D$28+'Testes estatísticos'!$D$31)/2,"")</f>
        <v>-3.0736779999999975</v>
      </c>
      <c r="AB201" s="7">
        <f>IF(27&gt;=23,('Testes estatísticos'!$D$28+'Testes estatísticos'!$D$32)/2,"")</f>
        <v>-3.1782869999999974</v>
      </c>
      <c r="AC201" s="7">
        <f>IF(28&gt;=23,('Testes estatísticos'!$D$28+'Testes estatísticos'!$D$33)/2,"")</f>
        <v>-3.1185724999999991</v>
      </c>
      <c r="AD201" s="7">
        <f>IF(29&gt;=23,('Testes estatísticos'!$D$28+'Testes estatísticos'!$D$34)/2,"")</f>
        <v>-2.3893105000000006</v>
      </c>
      <c r="AE201" s="7">
        <f>IF(30&gt;=23,('Testes estatísticos'!$D$28+'Testes estatísticos'!$D$35)/2,"")</f>
        <v>-3.7028564999999993</v>
      </c>
      <c r="AF201" s="7">
        <f>IF(31&gt;=23,('Testes estatísticos'!$D$28+'Testes estatísticos'!$D$36)/2,"")</f>
        <v>-4.0452509999999968</v>
      </c>
      <c r="AG201" s="7">
        <f>IF(32&gt;=23,('Testes estatísticos'!$D$28+'Testes estatísticos'!$D$37)/2,"")</f>
        <v>-2.9416304999999987</v>
      </c>
      <c r="AH201" s="7">
        <f>IF(33&gt;=23,('Testes estatísticos'!$D$28+'Testes estatísticos'!$D$38)/2,"")</f>
        <v>-3.10717</v>
      </c>
      <c r="AI201" s="7">
        <f>IF(34&gt;=23,('Testes estatísticos'!$D$28+'Testes estatísticos'!$D$39)/2,"")</f>
        <v>-0.29062399999999755</v>
      </c>
      <c r="AJ201" s="7">
        <f>IF(35&gt;=23,('Testes estatísticos'!$D$28+'Testes estatísticos'!$D$40)/2,"")</f>
        <v>-3.0321219999999975</v>
      </c>
      <c r="AK201" s="7">
        <f>IF(36&gt;=23,('Testes estatísticos'!$D$28+'Testes estatísticos'!$D$41)/2,"")</f>
        <v>-0.76417749999999884</v>
      </c>
      <c r="AL201" s="7">
        <f>IF(37&gt;=23,('Testes estatísticos'!$D$28+'Testes estatísticos'!$D$42)/2,"")</f>
        <v>-3.0427384999999987</v>
      </c>
      <c r="AM201" s="7">
        <f>IF(38&gt;=23,('Testes estatísticos'!$D$28+'Testes estatísticos'!$D$43)/2,"")</f>
        <v>-3.0298789999999975</v>
      </c>
      <c r="AN201" s="7">
        <f>IF(39&gt;=23,('Testes estatísticos'!$D$28+'Testes estatísticos'!$D$44)/2,"")</f>
        <v>-4.1668729999999989</v>
      </c>
      <c r="AO201" s="7">
        <f>IF(40&gt;=23,('Testes estatísticos'!$D$28+'Testes estatísticos'!$D$45)/2,"")</f>
        <v>-0.19194650000000024</v>
      </c>
      <c r="AP201" s="7">
        <f>IF(41&gt;=23,('Testes estatísticos'!$D$28+'Testes estatísticos'!$D$46)/2,"")</f>
        <v>-2.6978859999999969</v>
      </c>
      <c r="AQ201" s="7">
        <f>IF(42&gt;=23,('Testes estatísticos'!$D$28+'Testes estatísticos'!$D$47)/2,"")</f>
        <v>-1.5555269999999979</v>
      </c>
      <c r="AR201" s="7">
        <f>IF(43&gt;=23,('Testes estatísticos'!$D$28+'Testes estatísticos'!$D$48)/2,"")</f>
        <v>-2.6044409999999978</v>
      </c>
      <c r="AS201" s="7">
        <f>IF(44&gt;=23,('Testes estatísticos'!$D$28+'Testes estatísticos'!$D$49)/2,"")</f>
        <v>-3.1355639999999987</v>
      </c>
      <c r="AT201" s="7">
        <f>IF(45&gt;=23,('Testes estatísticos'!$D$28+'Testes estatísticos'!$D$50)/2,"")</f>
        <v>-2.3064854999999973</v>
      </c>
      <c r="AU201" s="7">
        <f>IF(46&gt;=23,('Testes estatísticos'!$D$28+'Testes estatísticos'!$D$51)/2,"")</f>
        <v>-5.3376814999999986</v>
      </c>
      <c r="AV201" s="7">
        <f>IF(47&gt;=23,('Testes estatísticos'!$D$28+'Testes estatísticos'!$D$52)/2,"")</f>
        <v>-0.26750849999999815</v>
      </c>
      <c r="AW201" s="7">
        <f>IF(48&gt;=23,('Testes estatísticos'!$D$28+'Testes estatísticos'!$D$53)/2,"")</f>
        <v>-4.703539499999998</v>
      </c>
      <c r="AX201" s="7">
        <f>IF(49&gt;=23,('Testes estatísticos'!$D$28+'Testes estatísticos'!$D$54)/2,"")</f>
        <v>-3.4437489999999968</v>
      </c>
      <c r="AY201" s="7">
        <f>IF(50&gt;=23,('Testes estatísticos'!$D$28+'Testes estatísticos'!$D$55)/2,"")</f>
        <v>-1.8185844999999965</v>
      </c>
      <c r="AZ201" s="7">
        <f>IF(51&gt;=23,('Testes estatísticos'!$D$28+'Testes estatísticos'!$D$56)/2,"")</f>
        <v>-1.7741149999999983</v>
      </c>
      <c r="BA201" s="7">
        <f>IF(52&gt;=23,('Testes estatísticos'!$D$28+'Testes estatísticos'!$D$57)/2,"")</f>
        <v>-5.1823309999999978</v>
      </c>
      <c r="BB201" s="7">
        <f>IF(53&gt;=23,('Testes estatísticos'!$D$28+'Testes estatísticos'!$D$58)/2,"")</f>
        <v>-1.7735684999999961</v>
      </c>
      <c r="BC201" s="7">
        <f>IF(54&gt;=23,('Testes estatísticos'!$D$28+'Testes estatísticos'!$D$59)/2,"")</f>
        <v>-2.693210999999998</v>
      </c>
      <c r="BD201" s="7">
        <f>IF(55&gt;=23,('Testes estatísticos'!$D$28+'Testes estatísticos'!$D$60)/2,"")</f>
        <v>0.40246000000000137</v>
      </c>
      <c r="BE201" s="7">
        <f>IF(56&gt;=23,('Testes estatísticos'!$D$28+'Testes estatísticos'!$D$61)/2,"")</f>
        <v>-2.2275084999999955</v>
      </c>
      <c r="BF201" s="7">
        <f>IF(57&gt;=23,('Testes estatísticos'!$D$28+'Testes estatísticos'!$D$62)/2,"")</f>
        <v>-5.627698500000001</v>
      </c>
      <c r="BG201" s="7">
        <f>IF(58&gt;=23,('Testes estatísticos'!$D$28+'Testes estatísticos'!$D$63)/2,"")</f>
        <v>-0.36180349999999706</v>
      </c>
      <c r="BH201" s="7">
        <f>IF(59&gt;=23,('Testes estatísticos'!$D$28+'Testes estatísticos'!$D$64)/2,"")</f>
        <v>-6.2054159999999996</v>
      </c>
      <c r="BI201" s="7">
        <f>IF(60&gt;=23,('Testes estatísticos'!$D$28+'Testes estatísticos'!$D$65)/2,"")</f>
        <v>-4.4578249999999962</v>
      </c>
      <c r="BJ201" s="7">
        <f>IF(61&gt;=23,('Testes estatísticos'!$D$28+'Testes estatísticos'!$D$66)/2,"")</f>
        <v>-1.8227699999999984</v>
      </c>
      <c r="BK201" s="7">
        <f>IF(62&gt;=23,('Testes estatísticos'!$D$28+'Testes estatísticos'!$D$67)/2,"")</f>
        <v>-2.3315649999999977</v>
      </c>
      <c r="BL201" s="7">
        <f>IF(63&gt;=23,('Testes estatísticos'!$D$28+'Testes estatísticos'!$D$68)/2,"")</f>
        <v>-1.4322504999999985</v>
      </c>
      <c r="BM201" s="7">
        <f>IF(64&gt;=23,('Testes estatísticos'!$D$28+'Testes estatísticos'!$D$69)/2,"")</f>
        <v>-1.3814084999999992</v>
      </c>
      <c r="BN201" s="7">
        <f>IF(65&gt;=23,('Testes estatísticos'!$D$28+'Testes estatísticos'!$D$70)/2,"")</f>
        <v>-3.5272149999999982</v>
      </c>
      <c r="BO201" s="7">
        <f>IF(66&gt;=23,('Testes estatísticos'!$D$28+'Testes estatísticos'!$D$71)/2,"")</f>
        <v>-2.6313624999999981</v>
      </c>
      <c r="BP201" s="7">
        <f>IF(67&gt;=23,('Testes estatísticos'!$D$28+'Testes estatísticos'!$D$72)/2,"")</f>
        <v>-5.5218214999999979</v>
      </c>
      <c r="BQ201" s="7">
        <f>IF(68&gt;=23,('Testes estatísticos'!$D$28+'Testes estatísticos'!$D$73)/2,"")</f>
        <v>-0.85858849999999975</v>
      </c>
      <c r="BR201" s="7">
        <f>IF(69&gt;=23,('Testes estatísticos'!$D$28+'Testes estatísticos'!$D$74)/2,"")</f>
        <v>-0.22640649999999951</v>
      </c>
      <c r="BS201" s="7">
        <f>IF(70&gt;=23,('Testes estatísticos'!$D$28+'Testes estatísticos'!$D$75)/2,"")</f>
        <v>-1.2308710000000005</v>
      </c>
      <c r="BT201" s="7">
        <f>IF(71&gt;=23,('Testes estatísticos'!$D$28+'Testes estatísticos'!$D$76)/2,"")</f>
        <v>0.34349399999999974</v>
      </c>
      <c r="BU201" s="7">
        <f>IF(72&gt;=23,('Testes estatísticos'!$D$28+'Testes estatísticos'!$D$77)/2,"")</f>
        <v>-5.2562029999999993</v>
      </c>
      <c r="BV201" s="7">
        <f>IF(73&gt;=23,('Testes estatísticos'!$D$28+'Testes estatísticos'!$D$78)/2,"")</f>
        <v>-3.1827284999999996</v>
      </c>
      <c r="BW201" s="7">
        <f>IF(74&gt;=23,('Testes estatísticos'!$D$28+'Testes estatísticos'!$D$79)/2,"")</f>
        <v>-3.8660469999999982</v>
      </c>
      <c r="BX201" s="7">
        <f>IF(75&gt;=23,('Testes estatísticos'!$D$28+'Testes estatísticos'!$D$80)/2,"")</f>
        <v>-3.8878249999999994</v>
      </c>
      <c r="BY201" s="7">
        <f>IF(76&gt;=23,('Testes estatísticos'!$D$28+'Testes estatísticos'!$D$81)/2,"")</f>
        <v>0.24363300000000265</v>
      </c>
      <c r="BZ201" s="7">
        <f>IF(77&gt;=23,('Testes estatísticos'!$D$28+'Testes estatísticos'!$D$82)/2,"")</f>
        <v>-5.0179564999999968</v>
      </c>
      <c r="CA201" s="7">
        <f>IF(78&gt;=23,('Testes estatísticos'!$D$28+'Testes estatísticos'!$D$83)/2,"")</f>
        <v>-3.2576974999999955</v>
      </c>
      <c r="CB201" s="7">
        <f>IF(79&gt;=23,('Testes estatísticos'!$D$28+'Testes estatísticos'!$D$84)/2,"")</f>
        <v>-3.2059749999999987</v>
      </c>
      <c r="CC201" s="7">
        <f>IF(80&gt;=23,('Testes estatísticos'!$D$28+'Testes estatísticos'!$D$85)/2,"")</f>
        <v>-5.0129914999999983</v>
      </c>
      <c r="CD201" s="7">
        <f>IF(81&gt;=23,('Testes estatísticos'!$D$28+'Testes estatísticos'!$D$86)/2,"")</f>
        <v>-5.0631364999999988</v>
      </c>
      <c r="CE201" s="7">
        <f>IF(82&gt;=23,('Testes estatísticos'!$D$28+'Testes estatísticos'!$D$87)/2,"")</f>
        <v>-2.9853459999999998</v>
      </c>
      <c r="CF201" s="7">
        <f>IF(83&gt;=23,('Testes estatísticos'!$D$28+'Testes estatísticos'!$D$88)/2,"")</f>
        <v>-3.5141530000000003</v>
      </c>
      <c r="CG201" s="7">
        <f>IF(84&gt;=23,('Testes estatísticos'!$D$28+'Testes estatísticos'!$D$89)/2,"")</f>
        <v>-3.8460599999999978</v>
      </c>
      <c r="CH201" s="7">
        <f>IF(85&gt;=23,('Testes estatísticos'!$D$28+'Testes estatísticos'!$D$90)/2,"")</f>
        <v>-2.0305129999999991</v>
      </c>
      <c r="CI201" s="7">
        <f>IF(86&gt;=23,('Testes estatísticos'!$D$28+'Testes estatísticos'!$D$91)/2,"")</f>
        <v>-4.7206724999999956</v>
      </c>
      <c r="CJ201" s="7">
        <f>IF(87&gt;=23,('Testes estatísticos'!$D$28+'Testes estatísticos'!$D$92)/2,"")</f>
        <v>-3.4784659999999974</v>
      </c>
      <c r="CK201" s="7">
        <f>IF(88&gt;=23,('Testes estatísticos'!$D$28+'Testes estatísticos'!$D$93)/2,"")</f>
        <v>-3.2343824999999988</v>
      </c>
      <c r="CL201" s="7">
        <f>IF(89&gt;=23,('Testes estatísticos'!$D$28+'Testes estatísticos'!$D$94)/2,"")</f>
        <v>-3.8459745000000005</v>
      </c>
      <c r="CM201" s="7">
        <f>IF(90&gt;=23,('Testes estatísticos'!$D$28+'Testes estatísticos'!$D$95)/2,"")</f>
        <v>-6.1801064999999973</v>
      </c>
      <c r="CN201" s="7">
        <f>IF(91&gt;=23,('Testes estatísticos'!$D$28+'Testes estatísticos'!$D$96)/2,"")</f>
        <v>-3.6415834999999959</v>
      </c>
      <c r="CO201" s="7">
        <f>IF(92&gt;=23,('Testes estatísticos'!$D$28+'Testes estatísticos'!$D$97)/2,"")</f>
        <v>-3.9880869999999966</v>
      </c>
      <c r="CP201" s="7">
        <f>IF(93&gt;=23,('Testes estatísticos'!$D$28+'Testes estatísticos'!$D$98)/2,"")</f>
        <v>-4.1928389999999958</v>
      </c>
      <c r="CQ201" s="7">
        <f>IF(94&gt;=23,('Testes estatísticos'!$D$28+'Testes estatísticos'!$D$99)/2,"")</f>
        <v>-2.0116809999999994</v>
      </c>
      <c r="CR201" s="7">
        <f>IF(95&gt;=23,('Testes estatísticos'!$D$28+'Testes estatísticos'!$D$100)/2,"")</f>
        <v>-3.9174739999999986</v>
      </c>
      <c r="CS201" s="7">
        <f>IF(96&gt;=23,('Testes estatísticos'!$D$28+'Testes estatísticos'!$D$101)/2,"")</f>
        <v>-3.8734870000000008</v>
      </c>
      <c r="CT201" s="7">
        <f>IF(97&gt;=23,('Testes estatísticos'!$D$28+'Testes estatísticos'!$D$102)/2,"")</f>
        <v>-3.6404364999999999</v>
      </c>
      <c r="CU201" s="7">
        <f>IF(98&gt;=23,('Testes estatísticos'!$D$28+'Testes estatísticos'!$D$103)/2,"")</f>
        <v>-3.5831104999999965</v>
      </c>
      <c r="CV201" s="7">
        <f>IF(99&gt;=23,('Testes estatísticos'!$D$28+'Testes estatísticos'!$D$104)/2,"")</f>
        <v>-4.0179364999999976</v>
      </c>
      <c r="CW201" s="7">
        <f>IF(100&gt;=23,('Testes estatísticos'!$D$28+'Testes estatísticos'!$D$105)/2,"")</f>
        <v>-4.1174024999999972</v>
      </c>
      <c r="CX201" s="7">
        <f>IF(101&gt;=23,('Testes estatísticos'!$D$28+'Testes estatísticos'!$D$106)/2,"")</f>
        <v>-3.5944759999999967</v>
      </c>
      <c r="CY201" s="7">
        <f>IF(102&gt;=23,('Testes estatísticos'!$D$28+'Testes estatísticos'!$D$107)/2,"")</f>
        <v>-3.6501409999999979</v>
      </c>
      <c r="CZ201" s="7">
        <f>IF(103&gt;=23,('Testes estatísticos'!$D$28+'Testes estatísticos'!$D$108)/2,"")</f>
        <v>-4.1743074999999976</v>
      </c>
      <c r="DA201" s="7">
        <f>IF(104&gt;=23,('Testes estatísticos'!$D$28+'Testes estatísticos'!$D$109)/2,"")</f>
        <v>-3.9116734999999956</v>
      </c>
      <c r="DB201" s="7">
        <f>IF(105&gt;=23,('Testes estatísticos'!$D$28+'Testes estatísticos'!$D$110)/2,"")</f>
        <v>-3.8773424999999975</v>
      </c>
      <c r="DC201" s="7">
        <f>IF(106&gt;=23,('Testes estatísticos'!$D$28+'Testes estatísticos'!$D$111)/2,"")</f>
        <v>-3.1344214999999984</v>
      </c>
      <c r="DD201" s="7">
        <f>IF(107&gt;=23,('Testes estatísticos'!$D$28+'Testes estatísticos'!$D$112)/2,"")</f>
        <v>0.35874950000000183</v>
      </c>
      <c r="DE201" s="7">
        <f>IF(108&gt;=23,('Testes estatísticos'!$D$28+'Testes estatísticos'!$D$113)/2,"")</f>
        <v>-3.0638859999999966</v>
      </c>
      <c r="DF201" s="7">
        <f>IF(109&gt;=23,('Testes estatísticos'!$D$28+'Testes estatísticos'!$D$114)/2,"")</f>
        <v>-3.1001429999999957</v>
      </c>
      <c r="DG201" s="7">
        <f>IF(110&gt;=23,('Testes estatísticos'!$D$28+'Testes estatísticos'!$D$115)/2,"")</f>
        <v>-8.6472824999999993</v>
      </c>
      <c r="DH201" s="7">
        <f>IF(111&gt;=23,('Testes estatísticos'!$D$28+'Testes estatísticos'!$D$116)/2,"")</f>
        <v>-2.9664519999999968</v>
      </c>
      <c r="DI201" s="7">
        <f>IF(112&gt;=23,('Testes estatísticos'!$D$28+'Testes estatísticos'!$D$117)/2,"")</f>
        <v>2.4619880000000016</v>
      </c>
      <c r="DJ201" s="7">
        <f>IF(113&gt;=23,('Testes estatísticos'!$D$28+'Testes estatísticos'!$D$118)/2,"")</f>
        <v>-2.9945689999999985</v>
      </c>
      <c r="DK201" s="7">
        <f>IF(114&gt;=23,('Testes estatísticos'!$D$28+'Testes estatísticos'!$D$119)/2,"")</f>
        <v>-3.0963189999999976</v>
      </c>
      <c r="DL201" s="7">
        <f>IF(115&gt;=23,('Testes estatísticos'!$D$28+'Testes estatísticos'!$D$120)/2,"")</f>
        <v>-3.0498414999999959</v>
      </c>
      <c r="DM201" s="7">
        <f>IF(116&gt;=23,('Testes estatísticos'!$D$28+'Testes estatísticos'!$D$121)/2,"")</f>
        <v>-3.0412389999999974</v>
      </c>
      <c r="DN201" s="7">
        <f>IF(117&gt;=23,('Testes estatísticos'!$D$28+'Testes estatísticos'!$D$122)/2,"")</f>
        <v>-3.0181709999999988</v>
      </c>
      <c r="DO201" s="7">
        <f>IF(118&gt;=23,('Testes estatísticos'!$D$28+'Testes estatísticos'!$D$123)/2,"")</f>
        <v>-2.9682604999999995</v>
      </c>
      <c r="DP201" s="7">
        <f>IF(119&gt;=23,('Testes estatísticos'!$D$28+'Testes estatísticos'!$D$124)/2,"")</f>
        <v>-2.9894719999999992</v>
      </c>
      <c r="DQ201" s="7">
        <f>IF(120&gt;=23,('Testes estatísticos'!$D$28+'Testes estatísticos'!$D$125)/2,"")</f>
        <v>6.2142500000003764E-2</v>
      </c>
      <c r="DR201" s="7">
        <f>IF(121&gt;=23,('Testes estatísticos'!$D$28+'Testes estatísticos'!$D$126)/2,"")</f>
        <v>-2.7268739999999987</v>
      </c>
      <c r="DS201" s="7">
        <f>IF(122&gt;=23,('Testes estatísticos'!$D$28+'Testes estatísticos'!$D$127)/2,"")</f>
        <v>-3.7922824999999953</v>
      </c>
      <c r="DT201" s="7">
        <f>IF(123&gt;=23,('Testes estatísticos'!$D$28+'Testes estatísticos'!$D$128)/2,"")</f>
        <v>2.2765869999999993</v>
      </c>
      <c r="DU201" s="7">
        <f>IF(124&gt;=23,('Testes estatísticos'!$D$28+'Testes estatísticos'!$D$129)/2,"")</f>
        <v>-2.6191844999999994</v>
      </c>
      <c r="DV201" s="7">
        <f>IF(125&gt;=23,('Testes estatísticos'!$D$28+'Testes estatísticos'!$D$130)/2,"")</f>
        <v>-1.460877</v>
      </c>
      <c r="DW201" s="7">
        <f>IF(126&gt;=23,('Testes estatísticos'!$D$28+'Testes estatísticos'!$D$131)/2,"")</f>
        <v>-3.8643529999999977</v>
      </c>
      <c r="DX201" s="7">
        <f>IF(127&gt;=23,('Testes estatísticos'!$D$28+'Testes estatísticos'!$D$132)/2,"")</f>
        <v>-5.9205444999999983</v>
      </c>
      <c r="DY201" s="7">
        <f>IF(128&gt;=23,('Testes estatísticos'!$D$28+'Testes estatísticos'!$D$133)/2,"")</f>
        <v>-6.2616339999999973</v>
      </c>
      <c r="DZ201" s="7">
        <f>IF(129&gt;=23,('Testes estatísticos'!$D$28+'Testes estatísticos'!$D$134)/2,"")</f>
        <v>-9.6854239999999976</v>
      </c>
      <c r="EA201" s="7">
        <f>IF(130&gt;=23,('Testes estatísticos'!$D$28+'Testes estatísticos'!$D$135)/2,"")</f>
        <v>-3.9236539999999955</v>
      </c>
      <c r="EB201" s="7">
        <f>IF(131&gt;=23,('Testes estatísticos'!$D$28+'Testes estatísticos'!$D$136)/2,"")</f>
        <v>-3.8357810000000008</v>
      </c>
      <c r="EC201" s="7">
        <f>IF(132&gt;=23,('Testes estatísticos'!$D$28+'Testes estatísticos'!$D$137)/2,"")</f>
        <v>-5.3225175</v>
      </c>
      <c r="ED201" s="7">
        <f>IF(133&gt;=23,('Testes estatísticos'!$D$28+'Testes estatísticos'!$D$138)/2,"")</f>
        <v>-3.1335799999999985</v>
      </c>
      <c r="EE201" s="7">
        <f>IF(134&gt;=23,('Testes estatísticos'!$D$28+'Testes estatísticos'!$D$139)/2,"")</f>
        <v>-5.4307705000000013</v>
      </c>
      <c r="EF201" s="7">
        <f>IF(135&gt;=23,('Testes estatísticos'!$D$28+'Testes estatísticos'!$D$140)/2,"")</f>
        <v>-2.2163379999999968</v>
      </c>
      <c r="EG201" s="7">
        <f>IF(136&gt;=23,('Testes estatísticos'!$D$28+'Testes estatísticos'!$D$141)/2,"")</f>
        <v>-3.909828000000001</v>
      </c>
      <c r="EH201" s="7">
        <f>IF(137&gt;=23,('Testes estatísticos'!$D$28+'Testes estatísticos'!$D$142)/2,"")</f>
        <v>-2.2050879999999999</v>
      </c>
      <c r="EI201" s="7">
        <f>IF(138&gt;=23,('Testes estatísticos'!$D$28+'Testes estatísticos'!$D$143)/2,"")</f>
        <v>-3.8701034999999955</v>
      </c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</row>
    <row r="202" spans="2:151" x14ac:dyDescent="0.3">
      <c r="B202" s="7" t="str">
        <f>IF(1&gt;=24,('Testes estatísticos'!$D$29+'Testes estatísticos'!$D$6)/2,"")</f>
        <v/>
      </c>
      <c r="C202" s="7" t="str">
        <f>IF(2&gt;=24,('Testes estatísticos'!$D$29+'Testes estatísticos'!$D$7)/2,"")</f>
        <v/>
      </c>
      <c r="D202" s="7" t="str">
        <f>IF(3&gt;=24,('Testes estatísticos'!$D$29+'Testes estatísticos'!$D$8)/2,"")</f>
        <v/>
      </c>
      <c r="E202" s="7" t="str">
        <f>IF(4&gt;=24,('Testes estatísticos'!$D$29+'Testes estatísticos'!$D$9)/2,"")</f>
        <v/>
      </c>
      <c r="F202" s="7" t="str">
        <f>IF(5&gt;=24,('Testes estatísticos'!$D$29+'Testes estatísticos'!$D$10)/2,"")</f>
        <v/>
      </c>
      <c r="G202" s="7" t="str">
        <f>IF(6&gt;=24,('Testes estatísticos'!$D$29+'Testes estatísticos'!$D$11)/2,"")</f>
        <v/>
      </c>
      <c r="H202" s="7" t="str">
        <f>IF(7&gt;=24,('Testes estatísticos'!$D$29+'Testes estatísticos'!$D$12)/2,"")</f>
        <v/>
      </c>
      <c r="I202" s="7" t="str">
        <f>IF(8&gt;=24,('Testes estatísticos'!$D$29+'Testes estatísticos'!$D$13)/2,"")</f>
        <v/>
      </c>
      <c r="J202" s="7" t="str">
        <f>IF(9&gt;=24,('Testes estatísticos'!$D$29+'Testes estatísticos'!$D$14)/2,"")</f>
        <v/>
      </c>
      <c r="K202" s="7" t="str">
        <f>IF(10&gt;=24,('Testes estatísticos'!$D$29+'Testes estatísticos'!$D$15)/2,"")</f>
        <v/>
      </c>
      <c r="L202" s="7" t="str">
        <f>IF(11&gt;=24,('Testes estatísticos'!$D$29+'Testes estatísticos'!$D$16)/2,"")</f>
        <v/>
      </c>
      <c r="M202" s="7" t="str">
        <f>IF(12&gt;=24,('Testes estatísticos'!$D$29+'Testes estatísticos'!$D$17)/2,"")</f>
        <v/>
      </c>
      <c r="N202" s="7" t="str">
        <f>IF(13&gt;=24,('Testes estatísticos'!$D$29+'Testes estatísticos'!$D$18)/2,"")</f>
        <v/>
      </c>
      <c r="O202" s="7" t="str">
        <f>IF(14&gt;=24,('Testes estatísticos'!$D$29+'Testes estatísticos'!$D$19)/2,"")</f>
        <v/>
      </c>
      <c r="P202" s="7" t="str">
        <f>IF(15&gt;=24,('Testes estatísticos'!$D$29+'Testes estatísticos'!$D$20)/2,"")</f>
        <v/>
      </c>
      <c r="Q202" s="7" t="str">
        <f>IF(16&gt;=24,('Testes estatísticos'!$D$29+'Testes estatísticos'!$D$21)/2,"")</f>
        <v/>
      </c>
      <c r="R202" s="7" t="str">
        <f>IF(17&gt;=24,('Testes estatísticos'!$D$29+'Testes estatísticos'!$D$22)/2,"")</f>
        <v/>
      </c>
      <c r="S202" s="7" t="str">
        <f>IF(18&gt;=24,('Testes estatísticos'!$D$29+'Testes estatísticos'!$D$23)/2,"")</f>
        <v/>
      </c>
      <c r="T202" s="7" t="str">
        <f>IF(19&gt;=24,('Testes estatísticos'!$D$29+'Testes estatísticos'!$D$24)/2,"")</f>
        <v/>
      </c>
      <c r="U202" s="7" t="str">
        <f>IF(20&gt;=24,('Testes estatísticos'!$D$29+'Testes estatísticos'!$D$25)/2,"")</f>
        <v/>
      </c>
      <c r="V202" s="7" t="str">
        <f>IF(21&gt;=24,('Testes estatísticos'!$D$29+'Testes estatísticos'!$D$26)/2,"")</f>
        <v/>
      </c>
      <c r="W202" s="7" t="str">
        <f>IF(22&gt;=24,('Testes estatísticos'!$D$29+'Testes estatísticos'!$D$27)/2,"")</f>
        <v/>
      </c>
      <c r="X202" s="7" t="str">
        <f>IF(23&gt;=24,('Testes estatísticos'!$D$29+'Testes estatísticos'!$D$28)/2,"")</f>
        <v/>
      </c>
      <c r="Y202" s="7">
        <f>IF(24&gt;=24,('Testes estatísticos'!$D$29+'Testes estatísticos'!$D$29)/2,"")</f>
        <v>-2.8275310000000005</v>
      </c>
      <c r="Z202" s="7">
        <f>IF(25&gt;=24,('Testes estatísticos'!$D$29+'Testes estatísticos'!$D$30)/2,"")</f>
        <v>-2.513968000000002</v>
      </c>
      <c r="AA202" s="7">
        <f>IF(26&gt;=24,('Testes estatísticos'!$D$29+'Testes estatísticos'!$D$31)/2,"")</f>
        <v>-2.5104974999999996</v>
      </c>
      <c r="AB202" s="7">
        <f>IF(27&gt;=24,('Testes estatísticos'!$D$29+'Testes estatísticos'!$D$32)/2,"")</f>
        <v>-2.6151064999999996</v>
      </c>
      <c r="AC202" s="7">
        <f>IF(28&gt;=24,('Testes estatísticos'!$D$29+'Testes estatísticos'!$D$33)/2,"")</f>
        <v>-2.5553920000000012</v>
      </c>
      <c r="AD202" s="7">
        <f>IF(29&gt;=24,('Testes estatísticos'!$D$29+'Testes estatísticos'!$D$34)/2,"")</f>
        <v>-1.8261300000000027</v>
      </c>
      <c r="AE202" s="7">
        <f>IF(30&gt;=24,('Testes estatísticos'!$D$29+'Testes estatísticos'!$D$35)/2,"")</f>
        <v>-3.1396760000000015</v>
      </c>
      <c r="AF202" s="7">
        <f>IF(31&gt;=24,('Testes estatísticos'!$D$29+'Testes estatísticos'!$D$36)/2,"")</f>
        <v>-3.482070499999999</v>
      </c>
      <c r="AG202" s="7">
        <f>IF(32&gt;=24,('Testes estatísticos'!$D$29+'Testes estatísticos'!$D$37)/2,"")</f>
        <v>-2.3784500000000008</v>
      </c>
      <c r="AH202" s="7">
        <f>IF(33&gt;=24,('Testes estatísticos'!$D$29+'Testes estatísticos'!$D$38)/2,"")</f>
        <v>-2.5439895000000021</v>
      </c>
      <c r="AI202" s="7">
        <f>IF(34&gt;=24,('Testes estatísticos'!$D$29+'Testes estatísticos'!$D$39)/2,"")</f>
        <v>0.27255650000000031</v>
      </c>
      <c r="AJ202" s="7">
        <f>IF(35&gt;=24,('Testes estatísticos'!$D$29+'Testes estatísticos'!$D$40)/2,"")</f>
        <v>-2.4689414999999997</v>
      </c>
      <c r="AK202" s="7">
        <f>IF(36&gt;=24,('Testes estatísticos'!$D$29+'Testes estatísticos'!$D$41)/2,"")</f>
        <v>-0.20099700000000098</v>
      </c>
      <c r="AL202" s="7">
        <f>IF(37&gt;=24,('Testes estatísticos'!$D$29+'Testes estatísticos'!$D$42)/2,"")</f>
        <v>-2.4795580000000008</v>
      </c>
      <c r="AM202" s="7">
        <f>IF(38&gt;=24,('Testes estatísticos'!$D$29+'Testes estatísticos'!$D$43)/2,"")</f>
        <v>-2.4666984999999997</v>
      </c>
      <c r="AN202" s="7">
        <f>IF(39&gt;=24,('Testes estatísticos'!$D$29+'Testes estatísticos'!$D$44)/2,"")</f>
        <v>-3.6036925000000011</v>
      </c>
      <c r="AO202" s="7">
        <f>IF(40&gt;=24,('Testes estatísticos'!$D$29+'Testes estatísticos'!$D$45)/2,"")</f>
        <v>0.37123399999999762</v>
      </c>
      <c r="AP202" s="7">
        <f>IF(41&gt;=24,('Testes estatísticos'!$D$29+'Testes estatísticos'!$D$46)/2,"")</f>
        <v>-2.134705499999999</v>
      </c>
      <c r="AQ202" s="7">
        <f>IF(42&gt;=24,('Testes estatísticos'!$D$29+'Testes estatísticos'!$D$47)/2,"")</f>
        <v>-0.99234650000000002</v>
      </c>
      <c r="AR202" s="7">
        <f>IF(43&gt;=24,('Testes estatísticos'!$D$29+'Testes estatísticos'!$D$48)/2,"")</f>
        <v>-2.0412604999999999</v>
      </c>
      <c r="AS202" s="7">
        <f>IF(44&gt;=24,('Testes estatísticos'!$D$29+'Testes estatísticos'!$D$49)/2,"")</f>
        <v>-2.5723835000000008</v>
      </c>
      <c r="AT202" s="7">
        <f>IF(45&gt;=24,('Testes estatísticos'!$D$29+'Testes estatísticos'!$D$50)/2,"")</f>
        <v>-1.7433049999999994</v>
      </c>
      <c r="AU202" s="7">
        <f>IF(46&gt;=24,('Testes estatísticos'!$D$29+'Testes estatísticos'!$D$51)/2,"")</f>
        <v>-4.7745010000000008</v>
      </c>
      <c r="AV202" s="7">
        <f>IF(47&gt;=24,('Testes estatísticos'!$D$29+'Testes estatísticos'!$D$52)/2,"")</f>
        <v>0.29567199999999971</v>
      </c>
      <c r="AW202" s="7">
        <f>IF(48&gt;=24,('Testes estatísticos'!$D$29+'Testes estatísticos'!$D$53)/2,"")</f>
        <v>-4.1403590000000001</v>
      </c>
      <c r="AX202" s="7">
        <f>IF(49&gt;=24,('Testes estatísticos'!$D$29+'Testes estatísticos'!$D$54)/2,"")</f>
        <v>-2.880568499999999</v>
      </c>
      <c r="AY202" s="7">
        <f>IF(50&gt;=24,('Testes estatísticos'!$D$29+'Testes estatísticos'!$D$55)/2,"")</f>
        <v>-1.2554039999999986</v>
      </c>
      <c r="AZ202" s="7">
        <f>IF(51&gt;=24,('Testes estatísticos'!$D$29+'Testes estatísticos'!$D$56)/2,"")</f>
        <v>-1.2109345000000005</v>
      </c>
      <c r="BA202" s="7">
        <f>IF(52&gt;=24,('Testes estatísticos'!$D$29+'Testes estatísticos'!$D$57)/2,"")</f>
        <v>-4.6191504999999999</v>
      </c>
      <c r="BB202" s="7">
        <f>IF(53&gt;=24,('Testes estatísticos'!$D$29+'Testes estatísticos'!$D$58)/2,"")</f>
        <v>-1.2103879999999982</v>
      </c>
      <c r="BC202" s="7">
        <f>IF(54&gt;=24,('Testes estatísticos'!$D$29+'Testes estatísticos'!$D$59)/2,"")</f>
        <v>-2.1300305000000002</v>
      </c>
      <c r="BD202" s="7">
        <f>IF(55&gt;=24,('Testes estatísticos'!$D$29+'Testes estatísticos'!$D$60)/2,"")</f>
        <v>0.96564049999999924</v>
      </c>
      <c r="BE202" s="7">
        <f>IF(56&gt;=24,('Testes estatísticos'!$D$29+'Testes estatísticos'!$D$61)/2,"")</f>
        <v>-1.6643279999999976</v>
      </c>
      <c r="BF202" s="7">
        <f>IF(57&gt;=24,('Testes estatísticos'!$D$29+'Testes estatísticos'!$D$62)/2,"")</f>
        <v>-5.0645180000000032</v>
      </c>
      <c r="BG202" s="7">
        <f>IF(58&gt;=24,('Testes estatísticos'!$D$29+'Testes estatísticos'!$D$63)/2,"")</f>
        <v>0.20137700000000081</v>
      </c>
      <c r="BH202" s="7">
        <f>IF(59&gt;=24,('Testes estatísticos'!$D$29+'Testes estatísticos'!$D$64)/2,"")</f>
        <v>-5.6422355000000017</v>
      </c>
      <c r="BI202" s="7">
        <f>IF(60&gt;=24,('Testes estatísticos'!$D$29+'Testes estatísticos'!$D$65)/2,"")</f>
        <v>-3.8946444999999983</v>
      </c>
      <c r="BJ202" s="7">
        <f>IF(61&gt;=24,('Testes estatísticos'!$D$29+'Testes estatísticos'!$D$66)/2,"")</f>
        <v>-1.2595895000000006</v>
      </c>
      <c r="BK202" s="7">
        <f>IF(62&gt;=24,('Testes estatísticos'!$D$29+'Testes estatísticos'!$D$67)/2,"")</f>
        <v>-1.7683844999999998</v>
      </c>
      <c r="BL202" s="7">
        <f>IF(63&gt;=24,('Testes estatísticos'!$D$29+'Testes estatísticos'!$D$68)/2,"")</f>
        <v>-0.86907000000000068</v>
      </c>
      <c r="BM202" s="7">
        <f>IF(64&gt;=24,('Testes estatísticos'!$D$29+'Testes estatísticos'!$D$69)/2,"")</f>
        <v>-0.81822800000000129</v>
      </c>
      <c r="BN202" s="7">
        <f>IF(65&gt;=24,('Testes estatísticos'!$D$29+'Testes estatísticos'!$D$70)/2,"")</f>
        <v>-2.9640345000000003</v>
      </c>
      <c r="BO202" s="7">
        <f>IF(66&gt;=24,('Testes estatísticos'!$D$29+'Testes estatísticos'!$D$71)/2,"")</f>
        <v>-2.0681820000000002</v>
      </c>
      <c r="BP202" s="7">
        <f>IF(67&gt;=24,('Testes estatísticos'!$D$29+'Testes estatísticos'!$D$72)/2,"")</f>
        <v>-4.9586410000000001</v>
      </c>
      <c r="BQ202" s="7">
        <f>IF(68&gt;=24,('Testes estatísticos'!$D$29+'Testes estatísticos'!$D$73)/2,"")</f>
        <v>-0.29540800000000189</v>
      </c>
      <c r="BR202" s="7">
        <f>IF(69&gt;=24,('Testes estatísticos'!$D$29+'Testes estatísticos'!$D$74)/2,"")</f>
        <v>0.33677399999999835</v>
      </c>
      <c r="BS202" s="7">
        <f>IF(70&gt;=24,('Testes estatísticos'!$D$29+'Testes estatísticos'!$D$75)/2,"")</f>
        <v>-0.66769050000000263</v>
      </c>
      <c r="BT202" s="7">
        <f>IF(71&gt;=24,('Testes estatísticos'!$D$29+'Testes estatísticos'!$D$76)/2,"")</f>
        <v>0.90667449999999761</v>
      </c>
      <c r="BU202" s="7">
        <f>IF(72&gt;=24,('Testes estatísticos'!$D$29+'Testes estatísticos'!$D$77)/2,"")</f>
        <v>-4.6930225000000014</v>
      </c>
      <c r="BV202" s="7">
        <f>IF(73&gt;=24,('Testes estatísticos'!$D$29+'Testes estatísticos'!$D$78)/2,"")</f>
        <v>-2.6195480000000018</v>
      </c>
      <c r="BW202" s="7">
        <f>IF(74&gt;=24,('Testes estatísticos'!$D$29+'Testes estatísticos'!$D$79)/2,"")</f>
        <v>-3.3028665000000004</v>
      </c>
      <c r="BX202" s="7">
        <f>IF(75&gt;=24,('Testes estatísticos'!$D$29+'Testes estatísticos'!$D$80)/2,"")</f>
        <v>-3.3246445000000016</v>
      </c>
      <c r="BY202" s="7">
        <f>IF(76&gt;=24,('Testes estatísticos'!$D$29+'Testes estatísticos'!$D$81)/2,"")</f>
        <v>0.80681350000000052</v>
      </c>
      <c r="BZ202" s="7">
        <f>IF(77&gt;=24,('Testes estatísticos'!$D$29+'Testes estatísticos'!$D$82)/2,"")</f>
        <v>-4.454775999999999</v>
      </c>
      <c r="CA202" s="7">
        <f>IF(78&gt;=24,('Testes estatísticos'!$D$29+'Testes estatísticos'!$D$83)/2,"")</f>
        <v>-2.6945169999999976</v>
      </c>
      <c r="CB202" s="7">
        <f>IF(79&gt;=24,('Testes estatísticos'!$D$29+'Testes estatísticos'!$D$84)/2,"")</f>
        <v>-2.6427945000000008</v>
      </c>
      <c r="CC202" s="7">
        <f>IF(80&gt;=24,('Testes estatísticos'!$D$29+'Testes estatísticos'!$D$85)/2,"")</f>
        <v>-4.4498110000000004</v>
      </c>
      <c r="CD202" s="7">
        <f>IF(81&gt;=24,('Testes estatísticos'!$D$29+'Testes estatísticos'!$D$86)/2,"")</f>
        <v>-4.499956000000001</v>
      </c>
      <c r="CE202" s="7">
        <f>IF(82&gt;=24,('Testes estatísticos'!$D$29+'Testes estatísticos'!$D$87)/2,"")</f>
        <v>-2.422165500000002</v>
      </c>
      <c r="CF202" s="7">
        <f>IF(83&gt;=24,('Testes estatísticos'!$D$29+'Testes estatísticos'!$D$88)/2,"")</f>
        <v>-2.9509725000000024</v>
      </c>
      <c r="CG202" s="7">
        <f>IF(84&gt;=24,('Testes estatísticos'!$D$29+'Testes estatísticos'!$D$89)/2,"")</f>
        <v>-3.2828795</v>
      </c>
      <c r="CH202" s="7">
        <f>IF(85&gt;=24,('Testes estatísticos'!$D$29+'Testes estatísticos'!$D$90)/2,"")</f>
        <v>-1.4673325000000013</v>
      </c>
      <c r="CI202" s="7">
        <f>IF(86&gt;=24,('Testes estatísticos'!$D$29+'Testes estatísticos'!$D$91)/2,"")</f>
        <v>-4.1574919999999977</v>
      </c>
      <c r="CJ202" s="7">
        <f>IF(87&gt;=24,('Testes estatísticos'!$D$29+'Testes estatísticos'!$D$92)/2,"")</f>
        <v>-2.9152854999999995</v>
      </c>
      <c r="CK202" s="7">
        <f>IF(88&gt;=24,('Testes estatísticos'!$D$29+'Testes estatísticos'!$D$93)/2,"")</f>
        <v>-2.671202000000001</v>
      </c>
      <c r="CL202" s="7">
        <f>IF(89&gt;=24,('Testes estatísticos'!$D$29+'Testes estatísticos'!$D$94)/2,"")</f>
        <v>-3.2827940000000027</v>
      </c>
      <c r="CM202" s="7">
        <f>IF(90&gt;=24,('Testes estatísticos'!$D$29+'Testes estatísticos'!$D$95)/2,"")</f>
        <v>-5.6169259999999994</v>
      </c>
      <c r="CN202" s="7">
        <f>IF(91&gt;=24,('Testes estatísticos'!$D$29+'Testes estatísticos'!$D$96)/2,"")</f>
        <v>-3.078402999999998</v>
      </c>
      <c r="CO202" s="7">
        <f>IF(92&gt;=24,('Testes estatísticos'!$D$29+'Testes estatísticos'!$D$97)/2,"")</f>
        <v>-3.4249064999999987</v>
      </c>
      <c r="CP202" s="7">
        <f>IF(93&gt;=24,('Testes estatísticos'!$D$29+'Testes estatísticos'!$D$98)/2,"")</f>
        <v>-3.6296584999999979</v>
      </c>
      <c r="CQ202" s="7">
        <f>IF(94&gt;=24,('Testes estatísticos'!$D$29+'Testes estatísticos'!$D$99)/2,"")</f>
        <v>-1.4485005000000015</v>
      </c>
      <c r="CR202" s="7">
        <f>IF(95&gt;=24,('Testes estatísticos'!$D$29+'Testes estatísticos'!$D$100)/2,"")</f>
        <v>-3.3542935000000007</v>
      </c>
      <c r="CS202" s="7">
        <f>IF(96&gt;=24,('Testes estatísticos'!$D$29+'Testes estatísticos'!$D$101)/2,"")</f>
        <v>-3.3103065000000029</v>
      </c>
      <c r="CT202" s="7">
        <f>IF(97&gt;=24,('Testes estatísticos'!$D$29+'Testes estatísticos'!$D$102)/2,"")</f>
        <v>-3.077256000000002</v>
      </c>
      <c r="CU202" s="7">
        <f>IF(98&gt;=24,('Testes estatísticos'!$D$29+'Testes estatísticos'!$D$103)/2,"")</f>
        <v>-3.0199299999999987</v>
      </c>
      <c r="CV202" s="7">
        <f>IF(99&gt;=24,('Testes estatísticos'!$D$29+'Testes estatísticos'!$D$104)/2,"")</f>
        <v>-3.4547559999999997</v>
      </c>
      <c r="CW202" s="7">
        <f>IF(100&gt;=24,('Testes estatísticos'!$D$29+'Testes estatísticos'!$D$105)/2,"")</f>
        <v>-3.5542219999999993</v>
      </c>
      <c r="CX202" s="7">
        <f>IF(101&gt;=24,('Testes estatísticos'!$D$29+'Testes estatísticos'!$D$106)/2,"")</f>
        <v>-3.0312954999999988</v>
      </c>
      <c r="CY202" s="7">
        <f>IF(102&gt;=24,('Testes estatísticos'!$D$29+'Testes estatísticos'!$D$107)/2,"")</f>
        <v>-3.0869605</v>
      </c>
      <c r="CZ202" s="7">
        <f>IF(103&gt;=24,('Testes estatísticos'!$D$29+'Testes estatísticos'!$D$108)/2,"")</f>
        <v>-3.6111269999999998</v>
      </c>
      <c r="DA202" s="7">
        <f>IF(104&gt;=24,('Testes estatísticos'!$D$29+'Testes estatísticos'!$D$109)/2,"")</f>
        <v>-3.3484929999999977</v>
      </c>
      <c r="DB202" s="7">
        <f>IF(105&gt;=24,('Testes estatísticos'!$D$29+'Testes estatísticos'!$D$110)/2,"")</f>
        <v>-3.3141619999999996</v>
      </c>
      <c r="DC202" s="7">
        <f>IF(106&gt;=24,('Testes estatísticos'!$D$29+'Testes estatísticos'!$D$111)/2,"")</f>
        <v>-2.5712410000000006</v>
      </c>
      <c r="DD202" s="7">
        <f>IF(107&gt;=24,('Testes estatísticos'!$D$29+'Testes estatísticos'!$D$112)/2,"")</f>
        <v>0.92192999999999969</v>
      </c>
      <c r="DE202" s="7">
        <f>IF(108&gt;=24,('Testes estatísticos'!$D$29+'Testes estatísticos'!$D$113)/2,"")</f>
        <v>-2.5007054999999987</v>
      </c>
      <c r="DF202" s="7">
        <f>IF(109&gt;=24,('Testes estatísticos'!$D$29+'Testes estatísticos'!$D$114)/2,"")</f>
        <v>-2.5369624999999978</v>
      </c>
      <c r="DG202" s="7">
        <f>IF(110&gt;=24,('Testes estatísticos'!$D$29+'Testes estatísticos'!$D$115)/2,"")</f>
        <v>-8.0841020000000015</v>
      </c>
      <c r="DH202" s="7">
        <f>IF(111&gt;=24,('Testes estatísticos'!$D$29+'Testes estatísticos'!$D$116)/2,"")</f>
        <v>-2.4032714999999989</v>
      </c>
      <c r="DI202" s="7">
        <f>IF(112&gt;=24,('Testes estatísticos'!$D$29+'Testes estatísticos'!$D$117)/2,"")</f>
        <v>3.0251684999999995</v>
      </c>
      <c r="DJ202" s="7">
        <f>IF(113&gt;=24,('Testes estatísticos'!$D$29+'Testes estatísticos'!$D$118)/2,"")</f>
        <v>-2.4313885000000006</v>
      </c>
      <c r="DK202" s="7">
        <f>IF(114&gt;=24,('Testes estatísticos'!$D$29+'Testes estatísticos'!$D$119)/2,"")</f>
        <v>-2.5331384999999997</v>
      </c>
      <c r="DL202" s="7">
        <f>IF(115&gt;=24,('Testes estatísticos'!$D$29+'Testes estatísticos'!$D$120)/2,"")</f>
        <v>-2.486660999999998</v>
      </c>
      <c r="DM202" s="7">
        <f>IF(116&gt;=24,('Testes estatísticos'!$D$29+'Testes estatísticos'!$D$121)/2,"")</f>
        <v>-2.4780584999999995</v>
      </c>
      <c r="DN202" s="7">
        <f>IF(117&gt;=24,('Testes estatísticos'!$D$29+'Testes estatísticos'!$D$122)/2,"")</f>
        <v>-2.454990500000001</v>
      </c>
      <c r="DO202" s="7">
        <f>IF(118&gt;=24,('Testes estatísticos'!$D$29+'Testes estatísticos'!$D$123)/2,"")</f>
        <v>-2.4050800000000017</v>
      </c>
      <c r="DP202" s="7">
        <f>IF(119&gt;=24,('Testes estatísticos'!$D$29+'Testes estatísticos'!$D$124)/2,"")</f>
        <v>-2.4262915000000014</v>
      </c>
      <c r="DQ202" s="7">
        <f>IF(120&gt;=24,('Testes estatísticos'!$D$29+'Testes estatísticos'!$D$125)/2,"")</f>
        <v>0.62532300000000163</v>
      </c>
      <c r="DR202" s="7">
        <f>IF(121&gt;=24,('Testes estatísticos'!$D$29+'Testes estatísticos'!$D$126)/2,"")</f>
        <v>-2.1636935000000008</v>
      </c>
      <c r="DS202" s="7">
        <f>IF(122&gt;=24,('Testes estatísticos'!$D$29+'Testes estatísticos'!$D$127)/2,"")</f>
        <v>-3.2291019999999975</v>
      </c>
      <c r="DT202" s="7">
        <f>IF(123&gt;=24,('Testes estatísticos'!$D$29+'Testes estatísticos'!$D$128)/2,"")</f>
        <v>2.8397674999999971</v>
      </c>
      <c r="DU202" s="7">
        <f>IF(124&gt;=24,('Testes estatísticos'!$D$29+'Testes estatísticos'!$D$129)/2,"")</f>
        <v>-2.0560040000000015</v>
      </c>
      <c r="DV202" s="7">
        <f>IF(125&gt;=24,('Testes estatísticos'!$D$29+'Testes estatísticos'!$D$130)/2,"")</f>
        <v>-0.89769650000000212</v>
      </c>
      <c r="DW202" s="7">
        <f>IF(126&gt;=24,('Testes estatísticos'!$D$29+'Testes estatísticos'!$D$131)/2,"")</f>
        <v>-3.3011724999999998</v>
      </c>
      <c r="DX202" s="7">
        <f>IF(127&gt;=24,('Testes estatísticos'!$D$29+'Testes estatísticos'!$D$132)/2,"")</f>
        <v>-5.3573640000000005</v>
      </c>
      <c r="DY202" s="7">
        <f>IF(128&gt;=24,('Testes estatísticos'!$D$29+'Testes estatísticos'!$D$133)/2,"")</f>
        <v>-5.6984534999999994</v>
      </c>
      <c r="DZ202" s="7">
        <f>IF(129&gt;=24,('Testes estatísticos'!$D$29+'Testes estatísticos'!$D$134)/2,"")</f>
        <v>-9.1222434999999997</v>
      </c>
      <c r="EA202" s="7">
        <f>IF(130&gt;=24,('Testes estatísticos'!$D$29+'Testes estatísticos'!$D$135)/2,"")</f>
        <v>-3.3604734999999977</v>
      </c>
      <c r="EB202" s="7">
        <f>IF(131&gt;=24,('Testes estatísticos'!$D$29+'Testes estatísticos'!$D$136)/2,"")</f>
        <v>-3.2726005000000029</v>
      </c>
      <c r="EC202" s="7">
        <f>IF(132&gt;=24,('Testes estatísticos'!$D$29+'Testes estatísticos'!$D$137)/2,"")</f>
        <v>-4.7593370000000021</v>
      </c>
      <c r="ED202" s="7">
        <f>IF(133&gt;=24,('Testes estatísticos'!$D$29+'Testes estatísticos'!$D$138)/2,"")</f>
        <v>-2.5703995000000006</v>
      </c>
      <c r="EE202" s="7">
        <f>IF(134&gt;=24,('Testes estatísticos'!$D$29+'Testes estatísticos'!$D$139)/2,"")</f>
        <v>-4.8675900000000034</v>
      </c>
      <c r="EF202" s="7">
        <f>IF(135&gt;=24,('Testes estatísticos'!$D$29+'Testes estatísticos'!$D$140)/2,"")</f>
        <v>-1.6531574999999989</v>
      </c>
      <c r="EG202" s="7">
        <f>IF(136&gt;=24,('Testes estatísticos'!$D$29+'Testes estatísticos'!$D$141)/2,"")</f>
        <v>-3.3466475000000031</v>
      </c>
      <c r="EH202" s="7">
        <f>IF(137&gt;=24,('Testes estatísticos'!$D$29+'Testes estatísticos'!$D$142)/2,"")</f>
        <v>-1.6419075000000021</v>
      </c>
      <c r="EI202" s="7">
        <f>IF(138&gt;=24,('Testes estatísticos'!$D$29+'Testes estatísticos'!$D$143)/2,"")</f>
        <v>-3.3069229999999976</v>
      </c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</row>
    <row r="203" spans="2:151" x14ac:dyDescent="0.3">
      <c r="B203" s="7" t="str">
        <f>IF(1&gt;=25,('Testes estatísticos'!$D$30+'Testes estatísticos'!$D$6)/2,"")</f>
        <v/>
      </c>
      <c r="C203" s="7" t="str">
        <f>IF(2&gt;=25,('Testes estatísticos'!$D$30+'Testes estatísticos'!$D$7)/2,"")</f>
        <v/>
      </c>
      <c r="D203" s="7" t="str">
        <f>IF(3&gt;=25,('Testes estatísticos'!$D$30+'Testes estatísticos'!$D$8)/2,"")</f>
        <v/>
      </c>
      <c r="E203" s="7" t="str">
        <f>IF(4&gt;=25,('Testes estatísticos'!$D$30+'Testes estatísticos'!$D$9)/2,"")</f>
        <v/>
      </c>
      <c r="F203" s="7" t="str">
        <f>IF(5&gt;=25,('Testes estatísticos'!$D$30+'Testes estatísticos'!$D$10)/2,"")</f>
        <v/>
      </c>
      <c r="G203" s="7" t="str">
        <f>IF(6&gt;=25,('Testes estatísticos'!$D$30+'Testes estatísticos'!$D$11)/2,"")</f>
        <v/>
      </c>
      <c r="H203" s="7" t="str">
        <f>IF(7&gt;=25,('Testes estatísticos'!$D$30+'Testes estatísticos'!$D$12)/2,"")</f>
        <v/>
      </c>
      <c r="I203" s="7" t="str">
        <f>IF(8&gt;=25,('Testes estatísticos'!$D$30+'Testes estatísticos'!$D$13)/2,"")</f>
        <v/>
      </c>
      <c r="J203" s="7" t="str">
        <f>IF(9&gt;=25,('Testes estatísticos'!$D$30+'Testes estatísticos'!$D$14)/2,"")</f>
        <v/>
      </c>
      <c r="K203" s="7" t="str">
        <f>IF(10&gt;=25,('Testes estatísticos'!$D$30+'Testes estatísticos'!$D$15)/2,"")</f>
        <v/>
      </c>
      <c r="L203" s="7" t="str">
        <f>IF(11&gt;=25,('Testes estatísticos'!$D$30+'Testes estatísticos'!$D$16)/2,"")</f>
        <v/>
      </c>
      <c r="M203" s="7" t="str">
        <f>IF(12&gt;=25,('Testes estatísticos'!$D$30+'Testes estatísticos'!$D$17)/2,"")</f>
        <v/>
      </c>
      <c r="N203" s="7" t="str">
        <f>IF(13&gt;=25,('Testes estatísticos'!$D$30+'Testes estatísticos'!$D$18)/2,"")</f>
        <v/>
      </c>
      <c r="O203" s="7" t="str">
        <f>IF(14&gt;=25,('Testes estatísticos'!$D$30+'Testes estatísticos'!$D$19)/2,"")</f>
        <v/>
      </c>
      <c r="P203" s="7" t="str">
        <f>IF(15&gt;=25,('Testes estatísticos'!$D$30+'Testes estatísticos'!$D$20)/2,"")</f>
        <v/>
      </c>
      <c r="Q203" s="7" t="str">
        <f>IF(16&gt;=25,('Testes estatísticos'!$D$30+'Testes estatísticos'!$D$21)/2,"")</f>
        <v/>
      </c>
      <c r="R203" s="7" t="str">
        <f>IF(17&gt;=25,('Testes estatísticos'!$D$30+'Testes estatísticos'!$D$22)/2,"")</f>
        <v/>
      </c>
      <c r="S203" s="7" t="str">
        <f>IF(18&gt;=25,('Testes estatísticos'!$D$30+'Testes estatísticos'!$D$23)/2,"")</f>
        <v/>
      </c>
      <c r="T203" s="7" t="str">
        <f>IF(19&gt;=25,('Testes estatísticos'!$D$30+'Testes estatísticos'!$D$24)/2,"")</f>
        <v/>
      </c>
      <c r="U203" s="7" t="str">
        <f>IF(20&gt;=25,('Testes estatísticos'!$D$30+'Testes estatísticos'!$D$25)/2,"")</f>
        <v/>
      </c>
      <c r="V203" s="7" t="str">
        <f>IF(21&gt;=25,('Testes estatísticos'!$D$30+'Testes estatísticos'!$D$26)/2,"")</f>
        <v/>
      </c>
      <c r="W203" s="7" t="str">
        <f>IF(22&gt;=25,('Testes estatísticos'!$D$30+'Testes estatísticos'!$D$27)/2,"")</f>
        <v/>
      </c>
      <c r="X203" s="7" t="str">
        <f>IF(23&gt;=25,('Testes estatísticos'!$D$30+'Testes estatísticos'!$D$28)/2,"")</f>
        <v/>
      </c>
      <c r="Y203" s="7" t="str">
        <f>IF(24&gt;=25,('Testes estatísticos'!$D$30+'Testes estatísticos'!$D$29)/2,"")</f>
        <v/>
      </c>
      <c r="Z203" s="7">
        <f>IF(25&gt;=25,('Testes estatísticos'!$D$30+'Testes estatísticos'!$D$30)/2,"")</f>
        <v>-2.2004050000000035</v>
      </c>
      <c r="AA203" s="7">
        <f>IF(26&gt;=25,('Testes estatísticos'!$D$30+'Testes estatísticos'!$D$31)/2,"")</f>
        <v>-2.1969345000000011</v>
      </c>
      <c r="AB203" s="7">
        <f>IF(27&gt;=25,('Testes estatísticos'!$D$30+'Testes estatísticos'!$D$32)/2,"")</f>
        <v>-2.3015435000000011</v>
      </c>
      <c r="AC203" s="7">
        <f>IF(28&gt;=25,('Testes estatísticos'!$D$30+'Testes estatísticos'!$D$33)/2,"")</f>
        <v>-2.2418290000000027</v>
      </c>
      <c r="AD203" s="7">
        <f>IF(29&gt;=25,('Testes estatísticos'!$D$30+'Testes estatísticos'!$D$34)/2,"")</f>
        <v>-1.5125670000000042</v>
      </c>
      <c r="AE203" s="7">
        <f>IF(30&gt;=25,('Testes estatísticos'!$D$30+'Testes estatísticos'!$D$35)/2,"")</f>
        <v>-2.826113000000003</v>
      </c>
      <c r="AF203" s="7">
        <f>IF(31&gt;=25,('Testes estatísticos'!$D$30+'Testes estatísticos'!$D$36)/2,"")</f>
        <v>-3.1685075000000005</v>
      </c>
      <c r="AG203" s="7">
        <f>IF(32&gt;=25,('Testes estatísticos'!$D$30+'Testes estatísticos'!$D$37)/2,"")</f>
        <v>-2.0648870000000024</v>
      </c>
      <c r="AH203" s="7">
        <f>IF(33&gt;=25,('Testes estatísticos'!$D$30+'Testes estatísticos'!$D$38)/2,"")</f>
        <v>-2.2304265000000036</v>
      </c>
      <c r="AI203" s="7">
        <f>IF(34&gt;=25,('Testes estatísticos'!$D$30+'Testes estatísticos'!$D$39)/2,"")</f>
        <v>0.58611949999999879</v>
      </c>
      <c r="AJ203" s="7">
        <f>IF(35&gt;=25,('Testes estatísticos'!$D$30+'Testes estatísticos'!$D$40)/2,"")</f>
        <v>-2.1553785000000012</v>
      </c>
      <c r="AK203" s="7">
        <f>IF(36&gt;=25,('Testes estatísticos'!$D$30+'Testes estatísticos'!$D$41)/2,"")</f>
        <v>0.1125659999999975</v>
      </c>
      <c r="AL203" s="7">
        <f>IF(37&gt;=25,('Testes estatísticos'!$D$30+'Testes estatísticos'!$D$42)/2,"")</f>
        <v>-2.1659950000000023</v>
      </c>
      <c r="AM203" s="7">
        <f>IF(38&gt;=25,('Testes estatísticos'!$D$30+'Testes estatísticos'!$D$43)/2,"")</f>
        <v>-2.1531355000000012</v>
      </c>
      <c r="AN203" s="7">
        <f>IF(39&gt;=25,('Testes estatísticos'!$D$30+'Testes estatísticos'!$D$44)/2,"")</f>
        <v>-3.2901295000000026</v>
      </c>
      <c r="AO203" s="7">
        <f>IF(40&gt;=25,('Testes estatísticos'!$D$30+'Testes estatísticos'!$D$45)/2,"")</f>
        <v>0.6847969999999961</v>
      </c>
      <c r="AP203" s="7">
        <f>IF(41&gt;=25,('Testes estatísticos'!$D$30+'Testes estatísticos'!$D$46)/2,"")</f>
        <v>-1.8211425000000006</v>
      </c>
      <c r="AQ203" s="7">
        <f>IF(42&gt;=25,('Testes estatísticos'!$D$30+'Testes estatísticos'!$D$47)/2,"")</f>
        <v>-0.67878350000000154</v>
      </c>
      <c r="AR203" s="7">
        <f>IF(43&gt;=25,('Testes estatísticos'!$D$30+'Testes estatísticos'!$D$48)/2,"")</f>
        <v>-1.7276975000000014</v>
      </c>
      <c r="AS203" s="7">
        <f>IF(44&gt;=25,('Testes estatísticos'!$D$30+'Testes estatísticos'!$D$49)/2,"")</f>
        <v>-2.2588205000000023</v>
      </c>
      <c r="AT203" s="7">
        <f>IF(45&gt;=25,('Testes estatísticos'!$D$30+'Testes estatísticos'!$D$50)/2,"")</f>
        <v>-1.429742000000001</v>
      </c>
      <c r="AU203" s="7">
        <f>IF(46&gt;=25,('Testes estatísticos'!$D$30+'Testes estatísticos'!$D$51)/2,"")</f>
        <v>-4.4609380000000023</v>
      </c>
      <c r="AV203" s="7">
        <f>IF(47&gt;=25,('Testes estatísticos'!$D$30+'Testes estatísticos'!$D$52)/2,"")</f>
        <v>0.60923499999999819</v>
      </c>
      <c r="AW203" s="7">
        <f>IF(48&gt;=25,('Testes estatísticos'!$D$30+'Testes estatísticos'!$D$53)/2,"")</f>
        <v>-3.8267960000000016</v>
      </c>
      <c r="AX203" s="7">
        <f>IF(49&gt;=25,('Testes estatísticos'!$D$30+'Testes estatísticos'!$D$54)/2,"")</f>
        <v>-2.5670055000000005</v>
      </c>
      <c r="AY203" s="7">
        <f>IF(50&gt;=25,('Testes estatísticos'!$D$30+'Testes estatísticos'!$D$55)/2,"")</f>
        <v>-0.94184100000000015</v>
      </c>
      <c r="AZ203" s="7">
        <f>IF(51&gt;=25,('Testes estatísticos'!$D$30+'Testes estatísticos'!$D$56)/2,"")</f>
        <v>-0.89737150000000199</v>
      </c>
      <c r="BA203" s="7">
        <f>IF(52&gt;=25,('Testes estatísticos'!$D$30+'Testes estatísticos'!$D$57)/2,"")</f>
        <v>-4.3055875000000015</v>
      </c>
      <c r="BB203" s="7">
        <f>IF(53&gt;=25,('Testes estatísticos'!$D$30+'Testes estatísticos'!$D$58)/2,"")</f>
        <v>-0.89682499999999976</v>
      </c>
      <c r="BC203" s="7">
        <f>IF(54&gt;=25,('Testes estatísticos'!$D$30+'Testes estatísticos'!$D$59)/2,"")</f>
        <v>-1.8164675000000017</v>
      </c>
      <c r="BD203" s="7">
        <f>IF(55&gt;=25,('Testes estatísticos'!$D$30+'Testes estatísticos'!$D$60)/2,"")</f>
        <v>1.2792034999999977</v>
      </c>
      <c r="BE203" s="7">
        <f>IF(56&gt;=25,('Testes estatísticos'!$D$30+'Testes estatísticos'!$D$61)/2,"")</f>
        <v>-1.3507649999999991</v>
      </c>
      <c r="BF203" s="7">
        <f>IF(57&gt;=25,('Testes estatísticos'!$D$30+'Testes estatísticos'!$D$62)/2,"")</f>
        <v>-4.7509550000000047</v>
      </c>
      <c r="BG203" s="7">
        <f>IF(58&gt;=25,('Testes estatísticos'!$D$30+'Testes estatísticos'!$D$63)/2,"")</f>
        <v>0.51493999999999929</v>
      </c>
      <c r="BH203" s="7">
        <f>IF(59&gt;=25,('Testes estatísticos'!$D$30+'Testes estatísticos'!$D$64)/2,"")</f>
        <v>-5.3286725000000033</v>
      </c>
      <c r="BI203" s="7">
        <f>IF(60&gt;=25,('Testes estatísticos'!$D$30+'Testes estatísticos'!$D$65)/2,"")</f>
        <v>-3.5810814999999998</v>
      </c>
      <c r="BJ203" s="7">
        <f>IF(61&gt;=25,('Testes estatísticos'!$D$30+'Testes estatísticos'!$D$66)/2,"")</f>
        <v>-0.9460265000000021</v>
      </c>
      <c r="BK203" s="7">
        <f>IF(62&gt;=25,('Testes estatísticos'!$D$30+'Testes estatísticos'!$D$67)/2,"")</f>
        <v>-1.4548215000000013</v>
      </c>
      <c r="BL203" s="7">
        <f>IF(63&gt;=25,('Testes estatísticos'!$D$30+'Testes estatísticos'!$D$68)/2,"")</f>
        <v>-0.55550700000000219</v>
      </c>
      <c r="BM203" s="7">
        <f>IF(64&gt;=25,('Testes estatísticos'!$D$30+'Testes estatísticos'!$D$69)/2,"")</f>
        <v>-0.50466500000000281</v>
      </c>
      <c r="BN203" s="7">
        <f>IF(65&gt;=25,('Testes estatísticos'!$D$30+'Testes estatísticos'!$D$70)/2,"")</f>
        <v>-2.6504715000000019</v>
      </c>
      <c r="BO203" s="7">
        <f>IF(66&gt;=25,('Testes estatísticos'!$D$30+'Testes estatísticos'!$D$71)/2,"")</f>
        <v>-1.7546190000000017</v>
      </c>
      <c r="BP203" s="7">
        <f>IF(67&gt;=25,('Testes estatísticos'!$D$30+'Testes estatísticos'!$D$72)/2,"")</f>
        <v>-4.6450780000000016</v>
      </c>
      <c r="BQ203" s="7">
        <f>IF(68&gt;=25,('Testes estatísticos'!$D$30+'Testes estatísticos'!$D$73)/2,"")</f>
        <v>1.8154999999996591E-2</v>
      </c>
      <c r="BR203" s="7">
        <f>IF(69&gt;=25,('Testes estatísticos'!$D$30+'Testes estatísticos'!$D$74)/2,"")</f>
        <v>0.65033699999999683</v>
      </c>
      <c r="BS203" s="7">
        <f>IF(70&gt;=25,('Testes estatísticos'!$D$30+'Testes estatísticos'!$D$75)/2,"")</f>
        <v>-0.35412750000000415</v>
      </c>
      <c r="BT203" s="7">
        <f>IF(71&gt;=25,('Testes estatísticos'!$D$30+'Testes estatísticos'!$D$76)/2,"")</f>
        <v>1.2202374999999961</v>
      </c>
      <c r="BU203" s="7">
        <f>IF(72&gt;=25,('Testes estatísticos'!$D$30+'Testes estatísticos'!$D$77)/2,"")</f>
        <v>-4.3794595000000029</v>
      </c>
      <c r="BV203" s="7">
        <f>IF(73&gt;=25,('Testes estatísticos'!$D$30+'Testes estatísticos'!$D$78)/2,"")</f>
        <v>-2.3059850000000033</v>
      </c>
      <c r="BW203" s="7">
        <f>IF(74&gt;=25,('Testes estatísticos'!$D$30+'Testes estatísticos'!$D$79)/2,"")</f>
        <v>-2.9893035000000019</v>
      </c>
      <c r="BX203" s="7">
        <f>IF(75&gt;=25,('Testes estatísticos'!$D$30+'Testes estatísticos'!$D$80)/2,"")</f>
        <v>-3.0110815000000031</v>
      </c>
      <c r="BY203" s="7">
        <f>IF(76&gt;=25,('Testes estatísticos'!$D$30+'Testes estatísticos'!$D$81)/2,"")</f>
        <v>1.120376499999999</v>
      </c>
      <c r="BZ203" s="7">
        <f>IF(77&gt;=25,('Testes estatísticos'!$D$30+'Testes estatísticos'!$D$82)/2,"")</f>
        <v>-4.1412130000000005</v>
      </c>
      <c r="CA203" s="7">
        <f>IF(78&gt;=25,('Testes estatísticos'!$D$30+'Testes estatísticos'!$D$83)/2,"")</f>
        <v>-2.3809539999999991</v>
      </c>
      <c r="CB203" s="7">
        <f>IF(79&gt;=25,('Testes estatísticos'!$D$30+'Testes estatísticos'!$D$84)/2,"")</f>
        <v>-2.3292315000000023</v>
      </c>
      <c r="CC203" s="7">
        <f>IF(80&gt;=25,('Testes estatísticos'!$D$30+'Testes estatísticos'!$D$85)/2,"")</f>
        <v>-4.1362480000000019</v>
      </c>
      <c r="CD203" s="7">
        <f>IF(81&gt;=25,('Testes estatísticos'!$D$30+'Testes estatísticos'!$D$86)/2,"")</f>
        <v>-4.1863930000000025</v>
      </c>
      <c r="CE203" s="7">
        <f>IF(82&gt;=25,('Testes estatísticos'!$D$30+'Testes estatísticos'!$D$87)/2,"")</f>
        <v>-2.1086025000000035</v>
      </c>
      <c r="CF203" s="7">
        <f>IF(83&gt;=25,('Testes estatísticos'!$D$30+'Testes estatísticos'!$D$88)/2,"")</f>
        <v>-2.637409500000004</v>
      </c>
      <c r="CG203" s="7">
        <f>IF(84&gt;=25,('Testes estatísticos'!$D$30+'Testes estatísticos'!$D$89)/2,"")</f>
        <v>-2.9693165000000015</v>
      </c>
      <c r="CH203" s="7">
        <f>IF(85&gt;=25,('Testes estatísticos'!$D$30+'Testes estatísticos'!$D$90)/2,"")</f>
        <v>-1.1537695000000028</v>
      </c>
      <c r="CI203" s="7">
        <f>IF(86&gt;=25,('Testes estatísticos'!$D$30+'Testes estatísticos'!$D$91)/2,"")</f>
        <v>-3.8439289999999993</v>
      </c>
      <c r="CJ203" s="7">
        <f>IF(87&gt;=25,('Testes estatísticos'!$D$30+'Testes estatísticos'!$D$92)/2,"")</f>
        <v>-2.601722500000001</v>
      </c>
      <c r="CK203" s="7">
        <f>IF(88&gt;=25,('Testes estatísticos'!$D$30+'Testes estatísticos'!$D$93)/2,"")</f>
        <v>-2.3576390000000025</v>
      </c>
      <c r="CL203" s="7">
        <f>IF(89&gt;=25,('Testes estatísticos'!$D$30+'Testes estatísticos'!$D$94)/2,"")</f>
        <v>-2.9692310000000042</v>
      </c>
      <c r="CM203" s="7">
        <f>IF(90&gt;=25,('Testes estatísticos'!$D$30+'Testes estatísticos'!$D$95)/2,"")</f>
        <v>-5.3033630000000009</v>
      </c>
      <c r="CN203" s="7">
        <f>IF(91&gt;=25,('Testes estatísticos'!$D$30+'Testes estatísticos'!$D$96)/2,"")</f>
        <v>-2.7648399999999995</v>
      </c>
      <c r="CO203" s="7">
        <f>IF(92&gt;=25,('Testes estatísticos'!$D$30+'Testes estatísticos'!$D$97)/2,"")</f>
        <v>-3.1113435000000003</v>
      </c>
      <c r="CP203" s="7">
        <f>IF(93&gt;=25,('Testes estatísticos'!$D$30+'Testes estatísticos'!$D$98)/2,"")</f>
        <v>-3.3160954999999994</v>
      </c>
      <c r="CQ203" s="7">
        <f>IF(94&gt;=25,('Testes estatísticos'!$D$30+'Testes estatísticos'!$D$99)/2,"")</f>
        <v>-1.134937500000003</v>
      </c>
      <c r="CR203" s="7">
        <f>IF(95&gt;=25,('Testes estatísticos'!$D$30+'Testes estatísticos'!$D$100)/2,"")</f>
        <v>-3.0407305000000022</v>
      </c>
      <c r="CS203" s="7">
        <f>IF(96&gt;=25,('Testes estatísticos'!$D$30+'Testes estatísticos'!$D$101)/2,"")</f>
        <v>-2.9967435000000044</v>
      </c>
      <c r="CT203" s="7">
        <f>IF(97&gt;=25,('Testes estatísticos'!$D$30+'Testes estatísticos'!$D$102)/2,"")</f>
        <v>-2.7636930000000035</v>
      </c>
      <c r="CU203" s="7">
        <f>IF(98&gt;=25,('Testes estatísticos'!$D$30+'Testes estatísticos'!$D$103)/2,"")</f>
        <v>-2.7063670000000002</v>
      </c>
      <c r="CV203" s="7">
        <f>IF(99&gt;=25,('Testes estatísticos'!$D$30+'Testes estatísticos'!$D$104)/2,"")</f>
        <v>-3.1411930000000012</v>
      </c>
      <c r="CW203" s="7">
        <f>IF(100&gt;=25,('Testes estatísticos'!$D$30+'Testes estatísticos'!$D$105)/2,"")</f>
        <v>-3.2406590000000008</v>
      </c>
      <c r="CX203" s="7">
        <f>IF(101&gt;=25,('Testes estatísticos'!$D$30+'Testes estatísticos'!$D$106)/2,"")</f>
        <v>-2.7177325000000003</v>
      </c>
      <c r="CY203" s="7">
        <f>IF(102&gt;=25,('Testes estatísticos'!$D$30+'Testes estatísticos'!$D$107)/2,"")</f>
        <v>-2.7733975000000015</v>
      </c>
      <c r="CZ203" s="7">
        <f>IF(103&gt;=25,('Testes estatísticos'!$D$30+'Testes estatísticos'!$D$108)/2,"")</f>
        <v>-3.2975640000000013</v>
      </c>
      <c r="DA203" s="7">
        <f>IF(104&gt;=25,('Testes estatísticos'!$D$30+'Testes estatísticos'!$D$109)/2,"")</f>
        <v>-3.0349299999999992</v>
      </c>
      <c r="DB203" s="7">
        <f>IF(105&gt;=25,('Testes estatísticos'!$D$30+'Testes estatísticos'!$D$110)/2,"")</f>
        <v>-3.0005990000000011</v>
      </c>
      <c r="DC203" s="7">
        <f>IF(106&gt;=25,('Testes estatísticos'!$D$30+'Testes estatísticos'!$D$111)/2,"")</f>
        <v>-2.2576780000000021</v>
      </c>
      <c r="DD203" s="7">
        <f>IF(107&gt;=25,('Testes estatísticos'!$D$30+'Testes estatísticos'!$D$112)/2,"")</f>
        <v>1.2354929999999982</v>
      </c>
      <c r="DE203" s="7">
        <f>IF(108&gt;=25,('Testes estatísticos'!$D$30+'Testes estatísticos'!$D$113)/2,"")</f>
        <v>-2.1871425000000002</v>
      </c>
      <c r="DF203" s="7">
        <f>IF(109&gt;=25,('Testes estatísticos'!$D$30+'Testes estatísticos'!$D$114)/2,"")</f>
        <v>-2.2233994999999993</v>
      </c>
      <c r="DG203" s="7">
        <f>IF(110&gt;=25,('Testes estatísticos'!$D$30+'Testes estatísticos'!$D$115)/2,"")</f>
        <v>-7.770539000000003</v>
      </c>
      <c r="DH203" s="7">
        <f>IF(111&gt;=25,('Testes estatísticos'!$D$30+'Testes estatísticos'!$D$116)/2,"")</f>
        <v>-2.0897085000000004</v>
      </c>
      <c r="DI203" s="7">
        <f>IF(112&gt;=25,('Testes estatísticos'!$D$30+'Testes estatísticos'!$D$117)/2,"")</f>
        <v>3.338731499999998</v>
      </c>
      <c r="DJ203" s="7">
        <f>IF(113&gt;=25,('Testes estatísticos'!$D$30+'Testes estatísticos'!$D$118)/2,"")</f>
        <v>-2.1178255000000021</v>
      </c>
      <c r="DK203" s="7">
        <f>IF(114&gt;=25,('Testes estatísticos'!$D$30+'Testes estatísticos'!$D$119)/2,"")</f>
        <v>-2.2195755000000013</v>
      </c>
      <c r="DL203" s="7">
        <f>IF(115&gt;=25,('Testes estatísticos'!$D$30+'Testes estatísticos'!$D$120)/2,"")</f>
        <v>-2.1730979999999995</v>
      </c>
      <c r="DM203" s="7">
        <f>IF(116&gt;=25,('Testes estatísticos'!$D$30+'Testes estatísticos'!$D$121)/2,"")</f>
        <v>-2.164495500000001</v>
      </c>
      <c r="DN203" s="7">
        <f>IF(117&gt;=25,('Testes estatísticos'!$D$30+'Testes estatísticos'!$D$122)/2,"")</f>
        <v>-2.1414275000000025</v>
      </c>
      <c r="DO203" s="7">
        <f>IF(118&gt;=25,('Testes estatísticos'!$D$30+'Testes estatísticos'!$D$123)/2,"")</f>
        <v>-2.0915170000000032</v>
      </c>
      <c r="DP203" s="7">
        <f>IF(119&gt;=25,('Testes estatísticos'!$D$30+'Testes estatísticos'!$D$124)/2,"")</f>
        <v>-2.1127285000000029</v>
      </c>
      <c r="DQ203" s="7">
        <f>IF(120&gt;=25,('Testes estatísticos'!$D$30+'Testes estatísticos'!$D$125)/2,"")</f>
        <v>0.93888600000000011</v>
      </c>
      <c r="DR203" s="7">
        <f>IF(121&gt;=25,('Testes estatísticos'!$D$30+'Testes estatísticos'!$D$126)/2,"")</f>
        <v>-1.8501305000000023</v>
      </c>
      <c r="DS203" s="7">
        <f>IF(122&gt;=25,('Testes estatísticos'!$D$30+'Testes estatísticos'!$D$127)/2,"")</f>
        <v>-2.915538999999999</v>
      </c>
      <c r="DT203" s="7">
        <f>IF(123&gt;=25,('Testes estatísticos'!$D$30+'Testes estatísticos'!$D$128)/2,"")</f>
        <v>3.1533304999999956</v>
      </c>
      <c r="DU203" s="7">
        <f>IF(124&gt;=25,('Testes estatísticos'!$D$30+'Testes estatísticos'!$D$129)/2,"")</f>
        <v>-1.742441000000003</v>
      </c>
      <c r="DV203" s="7">
        <f>IF(125&gt;=25,('Testes estatísticos'!$D$30+'Testes estatísticos'!$D$130)/2,"")</f>
        <v>-0.58413350000000364</v>
      </c>
      <c r="DW203" s="7">
        <f>IF(126&gt;=25,('Testes estatísticos'!$D$30+'Testes estatísticos'!$D$131)/2,"")</f>
        <v>-2.9876095000000014</v>
      </c>
      <c r="DX203" s="7">
        <f>IF(127&gt;=25,('Testes estatísticos'!$D$30+'Testes estatísticos'!$D$132)/2,"")</f>
        <v>-5.043801000000002</v>
      </c>
      <c r="DY203" s="7">
        <f>IF(128&gt;=25,('Testes estatísticos'!$D$30+'Testes estatísticos'!$D$133)/2,"")</f>
        <v>-5.3848905000000009</v>
      </c>
      <c r="DZ203" s="7">
        <f>IF(129&gt;=25,('Testes estatísticos'!$D$30+'Testes estatísticos'!$D$134)/2,"")</f>
        <v>-8.8086805000000012</v>
      </c>
      <c r="EA203" s="7">
        <f>IF(130&gt;=25,('Testes estatísticos'!$D$30+'Testes estatísticos'!$D$135)/2,"")</f>
        <v>-3.0469104999999992</v>
      </c>
      <c r="EB203" s="7">
        <f>IF(131&gt;=25,('Testes estatísticos'!$D$30+'Testes estatísticos'!$D$136)/2,"")</f>
        <v>-2.9590375000000044</v>
      </c>
      <c r="EC203" s="7">
        <f>IF(132&gt;=25,('Testes estatísticos'!$D$30+'Testes estatísticos'!$D$137)/2,"")</f>
        <v>-4.4457740000000037</v>
      </c>
      <c r="ED203" s="7">
        <f>IF(133&gt;=25,('Testes estatísticos'!$D$30+'Testes estatísticos'!$D$138)/2,"")</f>
        <v>-2.2568365000000021</v>
      </c>
      <c r="EE203" s="7">
        <f>IF(134&gt;=25,('Testes estatísticos'!$D$30+'Testes estatísticos'!$D$139)/2,"")</f>
        <v>-4.5540270000000049</v>
      </c>
      <c r="EF203" s="7">
        <f>IF(135&gt;=25,('Testes estatísticos'!$D$30+'Testes estatísticos'!$D$140)/2,"")</f>
        <v>-1.3395945000000005</v>
      </c>
      <c r="EG203" s="7">
        <f>IF(136&gt;=25,('Testes estatísticos'!$D$30+'Testes estatísticos'!$D$141)/2,"")</f>
        <v>-3.0330845000000046</v>
      </c>
      <c r="EH203" s="7">
        <f>IF(137&gt;=25,('Testes estatísticos'!$D$30+'Testes estatísticos'!$D$142)/2,"")</f>
        <v>-1.3283445000000036</v>
      </c>
      <c r="EI203" s="7">
        <f>IF(138&gt;=25,('Testes estatísticos'!$D$30+'Testes estatísticos'!$D$143)/2,"")</f>
        <v>-2.9933599999999991</v>
      </c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</row>
    <row r="204" spans="2:151" x14ac:dyDescent="0.3">
      <c r="B204" s="7" t="str">
        <f>IF(1&gt;=26,('Testes estatísticos'!$D$31+'Testes estatísticos'!$D$6)/2,"")</f>
        <v/>
      </c>
      <c r="C204" s="7" t="str">
        <f>IF(2&gt;=26,('Testes estatísticos'!$D$31+'Testes estatísticos'!$D$7)/2,"")</f>
        <v/>
      </c>
      <c r="D204" s="7" t="str">
        <f>IF(3&gt;=26,('Testes estatísticos'!$D$31+'Testes estatísticos'!$D$8)/2,"")</f>
        <v/>
      </c>
      <c r="E204" s="7" t="str">
        <f>IF(4&gt;=26,('Testes estatísticos'!$D$31+'Testes estatísticos'!$D$9)/2,"")</f>
        <v/>
      </c>
      <c r="F204" s="7" t="str">
        <f>IF(5&gt;=26,('Testes estatísticos'!$D$31+'Testes estatísticos'!$D$10)/2,"")</f>
        <v/>
      </c>
      <c r="G204" s="7" t="str">
        <f>IF(6&gt;=26,('Testes estatísticos'!$D$31+'Testes estatísticos'!$D$11)/2,"")</f>
        <v/>
      </c>
      <c r="H204" s="7" t="str">
        <f>IF(7&gt;=26,('Testes estatísticos'!$D$31+'Testes estatísticos'!$D$12)/2,"")</f>
        <v/>
      </c>
      <c r="I204" s="7" t="str">
        <f>IF(8&gt;=26,('Testes estatísticos'!$D$31+'Testes estatísticos'!$D$13)/2,"")</f>
        <v/>
      </c>
      <c r="J204" s="7" t="str">
        <f>IF(9&gt;=26,('Testes estatísticos'!$D$31+'Testes estatísticos'!$D$14)/2,"")</f>
        <v/>
      </c>
      <c r="K204" s="7" t="str">
        <f>IF(10&gt;=26,('Testes estatísticos'!$D$31+'Testes estatísticos'!$D$15)/2,"")</f>
        <v/>
      </c>
      <c r="L204" s="7" t="str">
        <f>IF(11&gt;=26,('Testes estatísticos'!$D$31+'Testes estatísticos'!$D$16)/2,"")</f>
        <v/>
      </c>
      <c r="M204" s="7" t="str">
        <f>IF(12&gt;=26,('Testes estatísticos'!$D$31+'Testes estatísticos'!$D$17)/2,"")</f>
        <v/>
      </c>
      <c r="N204" s="7" t="str">
        <f>IF(13&gt;=26,('Testes estatísticos'!$D$31+'Testes estatísticos'!$D$18)/2,"")</f>
        <v/>
      </c>
      <c r="O204" s="7" t="str">
        <f>IF(14&gt;=26,('Testes estatísticos'!$D$31+'Testes estatísticos'!$D$19)/2,"")</f>
        <v/>
      </c>
      <c r="P204" s="7" t="str">
        <f>IF(15&gt;=26,('Testes estatísticos'!$D$31+'Testes estatísticos'!$D$20)/2,"")</f>
        <v/>
      </c>
      <c r="Q204" s="7" t="str">
        <f>IF(16&gt;=26,('Testes estatísticos'!$D$31+'Testes estatísticos'!$D$21)/2,"")</f>
        <v/>
      </c>
      <c r="R204" s="7" t="str">
        <f>IF(17&gt;=26,('Testes estatísticos'!$D$31+'Testes estatísticos'!$D$22)/2,"")</f>
        <v/>
      </c>
      <c r="S204" s="7" t="str">
        <f>IF(18&gt;=26,('Testes estatísticos'!$D$31+'Testes estatísticos'!$D$23)/2,"")</f>
        <v/>
      </c>
      <c r="T204" s="7" t="str">
        <f>IF(19&gt;=26,('Testes estatísticos'!$D$31+'Testes estatísticos'!$D$24)/2,"")</f>
        <v/>
      </c>
      <c r="U204" s="7" t="str">
        <f>IF(20&gt;=26,('Testes estatísticos'!$D$31+'Testes estatísticos'!$D$25)/2,"")</f>
        <v/>
      </c>
      <c r="V204" s="7" t="str">
        <f>IF(21&gt;=26,('Testes estatísticos'!$D$31+'Testes estatísticos'!$D$26)/2,"")</f>
        <v/>
      </c>
      <c r="W204" s="7" t="str">
        <f>IF(22&gt;=26,('Testes estatísticos'!$D$31+'Testes estatísticos'!$D$27)/2,"")</f>
        <v/>
      </c>
      <c r="X204" s="7" t="str">
        <f>IF(23&gt;=26,('Testes estatísticos'!$D$31+'Testes estatísticos'!$D$28)/2,"")</f>
        <v/>
      </c>
      <c r="Y204" s="7" t="str">
        <f>IF(24&gt;=26,('Testes estatísticos'!$D$31+'Testes estatísticos'!$D$29)/2,"")</f>
        <v/>
      </c>
      <c r="Z204" s="7" t="str">
        <f>IF(25&gt;=26,('Testes estatísticos'!$D$31+'Testes estatísticos'!$D$30)/2,"")</f>
        <v/>
      </c>
      <c r="AA204" s="7">
        <f>IF(26&gt;=26,('Testes estatísticos'!$D$31+'Testes estatísticos'!$D$31)/2,"")</f>
        <v>-2.1934639999999987</v>
      </c>
      <c r="AB204" s="7">
        <f>IF(27&gt;=26,('Testes estatísticos'!$D$31+'Testes estatísticos'!$D$32)/2,"")</f>
        <v>-2.2980729999999987</v>
      </c>
      <c r="AC204" s="7">
        <f>IF(28&gt;=26,('Testes estatísticos'!$D$31+'Testes estatísticos'!$D$33)/2,"")</f>
        <v>-2.2383585000000004</v>
      </c>
      <c r="AD204" s="7">
        <f>IF(29&gt;=26,('Testes estatísticos'!$D$31+'Testes estatísticos'!$D$34)/2,"")</f>
        <v>-1.5090965000000018</v>
      </c>
      <c r="AE204" s="7">
        <f>IF(30&gt;=26,('Testes estatísticos'!$D$31+'Testes estatísticos'!$D$35)/2,"")</f>
        <v>-2.8226425000000006</v>
      </c>
      <c r="AF204" s="7">
        <f>IF(31&gt;=26,('Testes estatísticos'!$D$31+'Testes estatísticos'!$D$36)/2,"")</f>
        <v>-3.1650369999999981</v>
      </c>
      <c r="AG204" s="7">
        <f>IF(32&gt;=26,('Testes estatísticos'!$D$31+'Testes estatísticos'!$D$37)/2,"")</f>
        <v>-2.0614165</v>
      </c>
      <c r="AH204" s="7">
        <f>IF(33&gt;=26,('Testes estatísticos'!$D$31+'Testes estatísticos'!$D$38)/2,"")</f>
        <v>-2.2269560000000013</v>
      </c>
      <c r="AI204" s="7">
        <f>IF(34&gt;=26,('Testes estatísticos'!$D$31+'Testes estatísticos'!$D$39)/2,"")</f>
        <v>0.58959000000000117</v>
      </c>
      <c r="AJ204" s="7">
        <f>IF(35&gt;=26,('Testes estatísticos'!$D$31+'Testes estatísticos'!$D$40)/2,"")</f>
        <v>-2.1519079999999988</v>
      </c>
      <c r="AK204" s="7">
        <f>IF(36&gt;=26,('Testes estatísticos'!$D$31+'Testes estatísticos'!$D$41)/2,"")</f>
        <v>0.11603649999999988</v>
      </c>
      <c r="AL204" s="7">
        <f>IF(37&gt;=26,('Testes estatísticos'!$D$31+'Testes estatísticos'!$D$42)/2,"")</f>
        <v>-2.1625245</v>
      </c>
      <c r="AM204" s="7">
        <f>IF(38&gt;=26,('Testes estatísticos'!$D$31+'Testes estatísticos'!$D$43)/2,"")</f>
        <v>-2.1496649999999988</v>
      </c>
      <c r="AN204" s="7">
        <f>IF(39&gt;=26,('Testes estatísticos'!$D$31+'Testes estatísticos'!$D$44)/2,"")</f>
        <v>-3.2866590000000002</v>
      </c>
      <c r="AO204" s="7">
        <f>IF(40&gt;=26,('Testes estatísticos'!$D$31+'Testes estatísticos'!$D$45)/2,"")</f>
        <v>0.68826749999999848</v>
      </c>
      <c r="AP204" s="7">
        <f>IF(41&gt;=26,('Testes estatísticos'!$D$31+'Testes estatísticos'!$D$46)/2,"")</f>
        <v>-1.8176719999999982</v>
      </c>
      <c r="AQ204" s="7">
        <f>IF(42&gt;=26,('Testes estatísticos'!$D$31+'Testes estatísticos'!$D$47)/2,"")</f>
        <v>-0.67531299999999916</v>
      </c>
      <c r="AR204" s="7">
        <f>IF(43&gt;=26,('Testes estatísticos'!$D$31+'Testes estatísticos'!$D$48)/2,"")</f>
        <v>-1.7242269999999991</v>
      </c>
      <c r="AS204" s="7">
        <f>IF(44&gt;=26,('Testes estatísticos'!$D$31+'Testes estatísticos'!$D$49)/2,"")</f>
        <v>-2.25535</v>
      </c>
      <c r="AT204" s="7">
        <f>IF(45&gt;=26,('Testes estatísticos'!$D$31+'Testes estatísticos'!$D$50)/2,"")</f>
        <v>-1.4262714999999986</v>
      </c>
      <c r="AU204" s="7">
        <f>IF(46&gt;=26,('Testes estatísticos'!$D$31+'Testes estatísticos'!$D$51)/2,"")</f>
        <v>-4.4574674999999999</v>
      </c>
      <c r="AV204" s="7">
        <f>IF(47&gt;=26,('Testes estatísticos'!$D$31+'Testes estatísticos'!$D$52)/2,"")</f>
        <v>0.61270550000000057</v>
      </c>
      <c r="AW204" s="7">
        <f>IF(48&gt;=26,('Testes estatísticos'!$D$31+'Testes estatísticos'!$D$53)/2,"")</f>
        <v>-3.8233254999999993</v>
      </c>
      <c r="AX204" s="7">
        <f>IF(49&gt;=26,('Testes estatísticos'!$D$31+'Testes estatísticos'!$D$54)/2,"")</f>
        <v>-2.5635349999999981</v>
      </c>
      <c r="AY204" s="7">
        <f>IF(50&gt;=26,('Testes estatísticos'!$D$31+'Testes estatísticos'!$D$55)/2,"")</f>
        <v>-0.93837049999999778</v>
      </c>
      <c r="AZ204" s="7">
        <f>IF(51&gt;=26,('Testes estatísticos'!$D$31+'Testes estatísticos'!$D$56)/2,"")</f>
        <v>-0.89390099999999961</v>
      </c>
      <c r="BA204" s="7">
        <f>IF(52&gt;=26,('Testes estatísticos'!$D$31+'Testes estatísticos'!$D$57)/2,"")</f>
        <v>-4.3021169999999991</v>
      </c>
      <c r="BB204" s="7">
        <f>IF(53&gt;=26,('Testes estatísticos'!$D$31+'Testes estatísticos'!$D$58)/2,"")</f>
        <v>-0.89335449999999739</v>
      </c>
      <c r="BC204" s="7">
        <f>IF(54&gt;=26,('Testes estatísticos'!$D$31+'Testes estatísticos'!$D$59)/2,"")</f>
        <v>-1.8129969999999993</v>
      </c>
      <c r="BD204" s="7">
        <f>IF(55&gt;=26,('Testes estatísticos'!$D$31+'Testes estatísticos'!$D$60)/2,"")</f>
        <v>1.2826740000000001</v>
      </c>
      <c r="BE204" s="7">
        <f>IF(56&gt;=26,('Testes estatísticos'!$D$31+'Testes estatísticos'!$D$61)/2,"")</f>
        <v>-1.3472944999999967</v>
      </c>
      <c r="BF204" s="7">
        <f>IF(57&gt;=26,('Testes estatísticos'!$D$31+'Testes estatísticos'!$D$62)/2,"")</f>
        <v>-4.7474845000000023</v>
      </c>
      <c r="BG204" s="7">
        <f>IF(58&gt;=26,('Testes estatísticos'!$D$31+'Testes estatísticos'!$D$63)/2,"")</f>
        <v>0.51841050000000166</v>
      </c>
      <c r="BH204" s="7">
        <f>IF(59&gt;=26,('Testes estatísticos'!$D$31+'Testes estatísticos'!$D$64)/2,"")</f>
        <v>-5.3252020000000009</v>
      </c>
      <c r="BI204" s="7">
        <f>IF(60&gt;=26,('Testes estatísticos'!$D$31+'Testes estatísticos'!$D$65)/2,"")</f>
        <v>-3.5776109999999974</v>
      </c>
      <c r="BJ204" s="7">
        <f>IF(61&gt;=26,('Testes estatísticos'!$D$31+'Testes estatísticos'!$D$66)/2,"")</f>
        <v>-0.94255599999999973</v>
      </c>
      <c r="BK204" s="7">
        <f>IF(62&gt;=26,('Testes estatísticos'!$D$31+'Testes estatísticos'!$D$67)/2,"")</f>
        <v>-1.4513509999999989</v>
      </c>
      <c r="BL204" s="7">
        <f>IF(63&gt;=26,('Testes estatísticos'!$D$31+'Testes estatísticos'!$D$68)/2,"")</f>
        <v>-0.55203649999999982</v>
      </c>
      <c r="BM204" s="7">
        <f>IF(64&gt;=26,('Testes estatísticos'!$D$31+'Testes estatísticos'!$D$69)/2,"")</f>
        <v>-0.50119450000000043</v>
      </c>
      <c r="BN204" s="7">
        <f>IF(65&gt;=26,('Testes estatísticos'!$D$31+'Testes estatísticos'!$D$70)/2,"")</f>
        <v>-2.6470009999999995</v>
      </c>
      <c r="BO204" s="7">
        <f>IF(66&gt;=26,('Testes estatísticos'!$D$31+'Testes estatísticos'!$D$71)/2,"")</f>
        <v>-1.7511484999999993</v>
      </c>
      <c r="BP204" s="7">
        <f>IF(67&gt;=26,('Testes estatísticos'!$D$31+'Testes estatísticos'!$D$72)/2,"")</f>
        <v>-4.6416074999999992</v>
      </c>
      <c r="BQ204" s="7">
        <f>IF(68&gt;=26,('Testes estatísticos'!$D$31+'Testes estatísticos'!$D$73)/2,"")</f>
        <v>2.1625499999998965E-2</v>
      </c>
      <c r="BR204" s="7">
        <f>IF(69&gt;=26,('Testes estatísticos'!$D$31+'Testes estatísticos'!$D$74)/2,"")</f>
        <v>0.65380749999999921</v>
      </c>
      <c r="BS204" s="7">
        <f>IF(70&gt;=26,('Testes estatísticos'!$D$31+'Testes estatísticos'!$D$75)/2,"")</f>
        <v>-0.35065700000000177</v>
      </c>
      <c r="BT204" s="7">
        <f>IF(71&gt;=26,('Testes estatísticos'!$D$31+'Testes estatísticos'!$D$76)/2,"")</f>
        <v>1.2237079999999985</v>
      </c>
      <c r="BU204" s="7">
        <f>IF(72&gt;=26,('Testes estatísticos'!$D$31+'Testes estatísticos'!$D$77)/2,"")</f>
        <v>-4.3759890000000006</v>
      </c>
      <c r="BV204" s="7">
        <f>IF(73&gt;=26,('Testes estatísticos'!$D$31+'Testes estatísticos'!$D$78)/2,"")</f>
        <v>-2.3025145000000009</v>
      </c>
      <c r="BW204" s="7">
        <f>IF(74&gt;=26,('Testes estatísticos'!$D$31+'Testes estatísticos'!$D$79)/2,"")</f>
        <v>-2.9858329999999995</v>
      </c>
      <c r="BX204" s="7">
        <f>IF(75&gt;=26,('Testes estatísticos'!$D$31+'Testes estatísticos'!$D$80)/2,"")</f>
        <v>-3.0076110000000007</v>
      </c>
      <c r="BY204" s="7">
        <f>IF(76&gt;=26,('Testes estatísticos'!$D$31+'Testes estatísticos'!$D$81)/2,"")</f>
        <v>1.1238470000000014</v>
      </c>
      <c r="BZ204" s="7">
        <f>IF(77&gt;=26,('Testes estatísticos'!$D$31+'Testes estatísticos'!$D$82)/2,"")</f>
        <v>-4.1377424999999981</v>
      </c>
      <c r="CA204" s="7">
        <f>IF(78&gt;=26,('Testes estatísticos'!$D$31+'Testes estatísticos'!$D$83)/2,"")</f>
        <v>-2.3774834999999968</v>
      </c>
      <c r="CB204" s="7">
        <f>IF(79&gt;=26,('Testes estatísticos'!$D$31+'Testes estatísticos'!$D$84)/2,"")</f>
        <v>-2.325761</v>
      </c>
      <c r="CC204" s="7">
        <f>IF(80&gt;=26,('Testes estatísticos'!$D$31+'Testes estatísticos'!$D$85)/2,"")</f>
        <v>-4.1327774999999995</v>
      </c>
      <c r="CD204" s="7">
        <f>IF(81&gt;=26,('Testes estatísticos'!$D$31+'Testes estatísticos'!$D$86)/2,"")</f>
        <v>-4.1829225000000001</v>
      </c>
      <c r="CE204" s="7">
        <f>IF(82&gt;=26,('Testes estatísticos'!$D$31+'Testes estatísticos'!$D$87)/2,"")</f>
        <v>-2.1051320000000011</v>
      </c>
      <c r="CF204" s="7">
        <f>IF(83&gt;=26,('Testes estatísticos'!$D$31+'Testes estatísticos'!$D$88)/2,"")</f>
        <v>-2.6339390000000016</v>
      </c>
      <c r="CG204" s="7">
        <f>IF(84&gt;=26,('Testes estatísticos'!$D$31+'Testes estatísticos'!$D$89)/2,"")</f>
        <v>-2.9658459999999991</v>
      </c>
      <c r="CH204" s="7">
        <f>IF(85&gt;=26,('Testes estatísticos'!$D$31+'Testes estatísticos'!$D$90)/2,"")</f>
        <v>-1.1502990000000004</v>
      </c>
      <c r="CI204" s="7">
        <f>IF(86&gt;=26,('Testes estatísticos'!$D$31+'Testes estatísticos'!$D$91)/2,"")</f>
        <v>-3.8404584999999969</v>
      </c>
      <c r="CJ204" s="7">
        <f>IF(87&gt;=26,('Testes estatísticos'!$D$31+'Testes estatísticos'!$D$92)/2,"")</f>
        <v>-2.5982519999999987</v>
      </c>
      <c r="CK204" s="7">
        <f>IF(88&gt;=26,('Testes estatísticos'!$D$31+'Testes estatísticos'!$D$93)/2,"")</f>
        <v>-2.3541685000000001</v>
      </c>
      <c r="CL204" s="7">
        <f>IF(89&gt;=26,('Testes estatísticos'!$D$31+'Testes estatísticos'!$D$94)/2,"")</f>
        <v>-2.9657605000000018</v>
      </c>
      <c r="CM204" s="7">
        <f>IF(90&gt;=26,('Testes estatísticos'!$D$31+'Testes estatísticos'!$D$95)/2,"")</f>
        <v>-5.2998924999999986</v>
      </c>
      <c r="CN204" s="7">
        <f>IF(91&gt;=26,('Testes estatísticos'!$D$31+'Testes estatísticos'!$D$96)/2,"")</f>
        <v>-2.7613694999999971</v>
      </c>
      <c r="CO204" s="7">
        <f>IF(92&gt;=26,('Testes estatísticos'!$D$31+'Testes estatísticos'!$D$97)/2,"")</f>
        <v>-3.1078729999999979</v>
      </c>
      <c r="CP204" s="7">
        <f>IF(93&gt;=26,('Testes estatísticos'!$D$31+'Testes estatísticos'!$D$98)/2,"")</f>
        <v>-3.312624999999997</v>
      </c>
      <c r="CQ204" s="7">
        <f>IF(94&gt;=26,('Testes estatísticos'!$D$31+'Testes estatísticos'!$D$99)/2,"")</f>
        <v>-1.1314670000000007</v>
      </c>
      <c r="CR204" s="7">
        <f>IF(95&gt;=26,('Testes estatísticos'!$D$31+'Testes estatísticos'!$D$100)/2,"")</f>
        <v>-3.0372599999999998</v>
      </c>
      <c r="CS204" s="7">
        <f>IF(96&gt;=26,('Testes estatísticos'!$D$31+'Testes estatísticos'!$D$101)/2,"")</f>
        <v>-2.9932730000000021</v>
      </c>
      <c r="CT204" s="7">
        <f>IF(97&gt;=26,('Testes estatísticos'!$D$31+'Testes estatísticos'!$D$102)/2,"")</f>
        <v>-2.7602225000000011</v>
      </c>
      <c r="CU204" s="7">
        <f>IF(98&gt;=26,('Testes estatísticos'!$D$31+'Testes estatísticos'!$D$103)/2,"")</f>
        <v>-2.7028964999999978</v>
      </c>
      <c r="CV204" s="7">
        <f>IF(99&gt;=26,('Testes estatísticos'!$D$31+'Testes estatísticos'!$D$104)/2,"")</f>
        <v>-3.1377224999999989</v>
      </c>
      <c r="CW204" s="7">
        <f>IF(100&gt;=26,('Testes estatísticos'!$D$31+'Testes estatísticos'!$D$105)/2,"")</f>
        <v>-3.2371884999999985</v>
      </c>
      <c r="CX204" s="7">
        <f>IF(101&gt;=26,('Testes estatísticos'!$D$31+'Testes estatísticos'!$D$106)/2,"")</f>
        <v>-2.714261999999998</v>
      </c>
      <c r="CY204" s="7">
        <f>IF(102&gt;=26,('Testes estatísticos'!$D$31+'Testes estatísticos'!$D$107)/2,"")</f>
        <v>-2.7699269999999991</v>
      </c>
      <c r="CZ204" s="7">
        <f>IF(103&gt;=26,('Testes estatísticos'!$D$31+'Testes estatísticos'!$D$108)/2,"")</f>
        <v>-3.2940934999999989</v>
      </c>
      <c r="DA204" s="7">
        <f>IF(104&gt;=26,('Testes estatísticos'!$D$31+'Testes estatísticos'!$D$109)/2,"")</f>
        <v>-3.0314594999999969</v>
      </c>
      <c r="DB204" s="7">
        <f>IF(105&gt;=26,('Testes estatísticos'!$D$31+'Testes estatísticos'!$D$110)/2,"")</f>
        <v>-2.9971284999999988</v>
      </c>
      <c r="DC204" s="7">
        <f>IF(106&gt;=26,('Testes estatísticos'!$D$31+'Testes estatísticos'!$D$111)/2,"")</f>
        <v>-2.2542074999999997</v>
      </c>
      <c r="DD204" s="7">
        <f>IF(107&gt;=26,('Testes estatísticos'!$D$31+'Testes estatísticos'!$D$112)/2,"")</f>
        <v>1.2389635000000006</v>
      </c>
      <c r="DE204" s="7">
        <f>IF(108&gt;=26,('Testes estatísticos'!$D$31+'Testes estatísticos'!$D$113)/2,"")</f>
        <v>-2.1836719999999978</v>
      </c>
      <c r="DF204" s="7">
        <f>IF(109&gt;=26,('Testes estatísticos'!$D$31+'Testes estatísticos'!$D$114)/2,"")</f>
        <v>-2.2199289999999969</v>
      </c>
      <c r="DG204" s="7">
        <f>IF(110&gt;=26,('Testes estatísticos'!$D$31+'Testes estatísticos'!$D$115)/2,"")</f>
        <v>-7.7670685000000006</v>
      </c>
      <c r="DH204" s="7">
        <f>IF(111&gt;=26,('Testes estatísticos'!$D$31+'Testes estatísticos'!$D$116)/2,"")</f>
        <v>-2.086237999999998</v>
      </c>
      <c r="DI204" s="7">
        <f>IF(112&gt;=26,('Testes estatísticos'!$D$31+'Testes estatísticos'!$D$117)/2,"")</f>
        <v>3.3422020000000003</v>
      </c>
      <c r="DJ204" s="7">
        <f>IF(113&gt;=26,('Testes estatísticos'!$D$31+'Testes estatísticos'!$D$118)/2,"")</f>
        <v>-2.1143549999999998</v>
      </c>
      <c r="DK204" s="7">
        <f>IF(114&gt;=26,('Testes estatísticos'!$D$31+'Testes estatísticos'!$D$119)/2,"")</f>
        <v>-2.2161049999999989</v>
      </c>
      <c r="DL204" s="7">
        <f>IF(115&gt;=26,('Testes estatísticos'!$D$31+'Testes estatísticos'!$D$120)/2,"")</f>
        <v>-2.1696274999999972</v>
      </c>
      <c r="DM204" s="7">
        <f>IF(116&gt;=26,('Testes estatísticos'!$D$31+'Testes estatísticos'!$D$121)/2,"")</f>
        <v>-2.1610249999999986</v>
      </c>
      <c r="DN204" s="7">
        <f>IF(117&gt;=26,('Testes estatísticos'!$D$31+'Testes estatísticos'!$D$122)/2,"")</f>
        <v>-2.1379570000000001</v>
      </c>
      <c r="DO204" s="7">
        <f>IF(118&gt;=26,('Testes estatísticos'!$D$31+'Testes estatísticos'!$D$123)/2,"")</f>
        <v>-2.0880465000000008</v>
      </c>
      <c r="DP204" s="7">
        <f>IF(119&gt;=26,('Testes estatísticos'!$D$31+'Testes estatísticos'!$D$124)/2,"")</f>
        <v>-2.1092580000000005</v>
      </c>
      <c r="DQ204" s="7">
        <f>IF(120&gt;=26,('Testes estatísticos'!$D$31+'Testes estatísticos'!$D$125)/2,"")</f>
        <v>0.94235650000000248</v>
      </c>
      <c r="DR204" s="7">
        <f>IF(121&gt;=26,('Testes estatísticos'!$D$31+'Testes estatísticos'!$D$126)/2,"")</f>
        <v>-1.84666</v>
      </c>
      <c r="DS204" s="7">
        <f>IF(122&gt;=26,('Testes estatísticos'!$D$31+'Testes estatísticos'!$D$127)/2,"")</f>
        <v>-2.9120684999999966</v>
      </c>
      <c r="DT204" s="7">
        <f>IF(123&gt;=26,('Testes estatísticos'!$D$31+'Testes estatísticos'!$D$128)/2,"")</f>
        <v>3.156800999999998</v>
      </c>
      <c r="DU204" s="7">
        <f>IF(124&gt;=26,('Testes estatísticos'!$D$31+'Testes estatísticos'!$D$129)/2,"")</f>
        <v>-1.7389705000000006</v>
      </c>
      <c r="DV204" s="7">
        <f>IF(125&gt;=26,('Testes estatísticos'!$D$31+'Testes estatísticos'!$D$130)/2,"")</f>
        <v>-0.58066300000000126</v>
      </c>
      <c r="DW204" s="7">
        <f>IF(126&gt;=26,('Testes estatísticos'!$D$31+'Testes estatísticos'!$D$131)/2,"")</f>
        <v>-2.984138999999999</v>
      </c>
      <c r="DX204" s="7">
        <f>IF(127&gt;=26,('Testes estatísticos'!$D$31+'Testes estatísticos'!$D$132)/2,"")</f>
        <v>-5.0403304999999996</v>
      </c>
      <c r="DY204" s="7">
        <f>IF(128&gt;=26,('Testes estatísticos'!$D$31+'Testes estatísticos'!$D$133)/2,"")</f>
        <v>-5.3814199999999985</v>
      </c>
      <c r="DZ204" s="7">
        <f>IF(129&gt;=26,('Testes estatísticos'!$D$31+'Testes estatísticos'!$D$134)/2,"")</f>
        <v>-8.8052099999999989</v>
      </c>
      <c r="EA204" s="7">
        <f>IF(130&gt;=26,('Testes estatísticos'!$D$31+'Testes estatísticos'!$D$135)/2,"")</f>
        <v>-3.0434399999999968</v>
      </c>
      <c r="EB204" s="7">
        <f>IF(131&gt;=26,('Testes estatísticos'!$D$31+'Testes estatísticos'!$D$136)/2,"")</f>
        <v>-2.9555670000000021</v>
      </c>
      <c r="EC204" s="7">
        <f>IF(132&gt;=26,('Testes estatísticos'!$D$31+'Testes estatísticos'!$D$137)/2,"")</f>
        <v>-4.4423035000000013</v>
      </c>
      <c r="ED204" s="7">
        <f>IF(133&gt;=26,('Testes estatísticos'!$D$31+'Testes estatísticos'!$D$138)/2,"")</f>
        <v>-2.2533659999999998</v>
      </c>
      <c r="EE204" s="7">
        <f>IF(134&gt;=26,('Testes estatísticos'!$D$31+'Testes estatísticos'!$D$139)/2,"")</f>
        <v>-4.5505565000000026</v>
      </c>
      <c r="EF204" s="7">
        <f>IF(135&gt;=26,('Testes estatísticos'!$D$31+'Testes estatísticos'!$D$140)/2,"")</f>
        <v>-1.3361239999999981</v>
      </c>
      <c r="EG204" s="7">
        <f>IF(136&gt;=26,('Testes estatísticos'!$D$31+'Testes estatísticos'!$D$141)/2,"")</f>
        <v>-3.0296140000000022</v>
      </c>
      <c r="EH204" s="7">
        <f>IF(137&gt;=26,('Testes estatísticos'!$D$31+'Testes estatísticos'!$D$142)/2,"")</f>
        <v>-1.3248740000000012</v>
      </c>
      <c r="EI204" s="7">
        <f>IF(138&gt;=26,('Testes estatísticos'!$D$31+'Testes estatísticos'!$D$143)/2,"")</f>
        <v>-2.9898894999999968</v>
      </c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</row>
    <row r="205" spans="2:151" x14ac:dyDescent="0.3">
      <c r="B205" s="7" t="str">
        <f>IF(1&gt;=27,('Testes estatísticos'!$D$32+'Testes estatísticos'!$D$6)/2,"")</f>
        <v/>
      </c>
      <c r="C205" s="7" t="str">
        <f>IF(2&gt;=27,('Testes estatísticos'!$D$32+'Testes estatísticos'!$D$7)/2,"")</f>
        <v/>
      </c>
      <c r="D205" s="7" t="str">
        <f>IF(3&gt;=27,('Testes estatísticos'!$D$32+'Testes estatísticos'!$D$8)/2,"")</f>
        <v/>
      </c>
      <c r="E205" s="7" t="str">
        <f>IF(4&gt;=27,('Testes estatísticos'!$D$32+'Testes estatísticos'!$D$9)/2,"")</f>
        <v/>
      </c>
      <c r="F205" s="7" t="str">
        <f>IF(5&gt;=27,('Testes estatísticos'!$D$32+'Testes estatísticos'!$D$10)/2,"")</f>
        <v/>
      </c>
      <c r="G205" s="7" t="str">
        <f>IF(6&gt;=27,('Testes estatísticos'!$D$32+'Testes estatísticos'!$D$11)/2,"")</f>
        <v/>
      </c>
      <c r="H205" s="7" t="str">
        <f>IF(7&gt;=27,('Testes estatísticos'!$D$32+'Testes estatísticos'!$D$12)/2,"")</f>
        <v/>
      </c>
      <c r="I205" s="7" t="str">
        <f>IF(8&gt;=27,('Testes estatísticos'!$D$32+'Testes estatísticos'!$D$13)/2,"")</f>
        <v/>
      </c>
      <c r="J205" s="7" t="str">
        <f>IF(9&gt;=27,('Testes estatísticos'!$D$32+'Testes estatísticos'!$D$14)/2,"")</f>
        <v/>
      </c>
      <c r="K205" s="7" t="str">
        <f>IF(10&gt;=27,('Testes estatísticos'!$D$32+'Testes estatísticos'!$D$15)/2,"")</f>
        <v/>
      </c>
      <c r="L205" s="7" t="str">
        <f>IF(11&gt;=27,('Testes estatísticos'!$D$32+'Testes estatísticos'!$D$16)/2,"")</f>
        <v/>
      </c>
      <c r="M205" s="7" t="str">
        <f>IF(12&gt;=27,('Testes estatísticos'!$D$32+'Testes estatísticos'!$D$17)/2,"")</f>
        <v/>
      </c>
      <c r="N205" s="7" t="str">
        <f>IF(13&gt;=27,('Testes estatísticos'!$D$32+'Testes estatísticos'!$D$18)/2,"")</f>
        <v/>
      </c>
      <c r="O205" s="7" t="str">
        <f>IF(14&gt;=27,('Testes estatísticos'!$D$32+'Testes estatísticos'!$D$19)/2,"")</f>
        <v/>
      </c>
      <c r="P205" s="7" t="str">
        <f>IF(15&gt;=27,('Testes estatísticos'!$D$32+'Testes estatísticos'!$D$20)/2,"")</f>
        <v/>
      </c>
      <c r="Q205" s="7" t="str">
        <f>IF(16&gt;=27,('Testes estatísticos'!$D$32+'Testes estatísticos'!$D$21)/2,"")</f>
        <v/>
      </c>
      <c r="R205" s="7" t="str">
        <f>IF(17&gt;=27,('Testes estatísticos'!$D$32+'Testes estatísticos'!$D$22)/2,"")</f>
        <v/>
      </c>
      <c r="S205" s="7" t="str">
        <f>IF(18&gt;=27,('Testes estatísticos'!$D$32+'Testes estatísticos'!$D$23)/2,"")</f>
        <v/>
      </c>
      <c r="T205" s="7" t="str">
        <f>IF(19&gt;=27,('Testes estatísticos'!$D$32+'Testes estatísticos'!$D$24)/2,"")</f>
        <v/>
      </c>
      <c r="U205" s="7" t="str">
        <f>IF(20&gt;=27,('Testes estatísticos'!$D$32+'Testes estatísticos'!$D$25)/2,"")</f>
        <v/>
      </c>
      <c r="V205" s="7" t="str">
        <f>IF(21&gt;=27,('Testes estatísticos'!$D$32+'Testes estatísticos'!$D$26)/2,"")</f>
        <v/>
      </c>
      <c r="W205" s="7" t="str">
        <f>IF(22&gt;=27,('Testes estatísticos'!$D$32+'Testes estatísticos'!$D$27)/2,"")</f>
        <v/>
      </c>
      <c r="X205" s="7" t="str">
        <f>IF(23&gt;=27,('Testes estatísticos'!$D$32+'Testes estatísticos'!$D$28)/2,"")</f>
        <v/>
      </c>
      <c r="Y205" s="7" t="str">
        <f>IF(24&gt;=27,('Testes estatísticos'!$D$32+'Testes estatísticos'!$D$29)/2,"")</f>
        <v/>
      </c>
      <c r="Z205" s="7" t="str">
        <f>IF(25&gt;=27,('Testes estatísticos'!$D$32+'Testes estatísticos'!$D$30)/2,"")</f>
        <v/>
      </c>
      <c r="AA205" s="7" t="str">
        <f>IF(26&gt;=27,('Testes estatísticos'!$D$32+'Testes estatísticos'!$D$31)/2,"")</f>
        <v/>
      </c>
      <c r="AB205" s="7">
        <f>IF(27&gt;=27,('Testes estatísticos'!$D$32+'Testes estatísticos'!$D$32)/2,"")</f>
        <v>-2.4026819999999987</v>
      </c>
      <c r="AC205" s="7">
        <f>IF(28&gt;=27,('Testes estatísticos'!$D$32+'Testes estatísticos'!$D$33)/2,"")</f>
        <v>-2.3429675000000003</v>
      </c>
      <c r="AD205" s="7">
        <f>IF(29&gt;=27,('Testes estatísticos'!$D$32+'Testes estatísticos'!$D$34)/2,"")</f>
        <v>-1.6137055000000018</v>
      </c>
      <c r="AE205" s="7">
        <f>IF(30&gt;=27,('Testes estatísticos'!$D$32+'Testes estatísticos'!$D$35)/2,"")</f>
        <v>-2.9272515000000006</v>
      </c>
      <c r="AF205" s="7">
        <f>IF(31&gt;=27,('Testes estatísticos'!$D$32+'Testes estatísticos'!$D$36)/2,"")</f>
        <v>-3.2696459999999981</v>
      </c>
      <c r="AG205" s="7">
        <f>IF(32&gt;=27,('Testes estatísticos'!$D$32+'Testes estatísticos'!$D$37)/2,"")</f>
        <v>-2.1660254999999999</v>
      </c>
      <c r="AH205" s="7">
        <f>IF(33&gt;=27,('Testes estatísticos'!$D$32+'Testes estatísticos'!$D$38)/2,"")</f>
        <v>-2.3315650000000012</v>
      </c>
      <c r="AI205" s="7">
        <f>IF(34&gt;=27,('Testes estatísticos'!$D$32+'Testes estatísticos'!$D$39)/2,"")</f>
        <v>0.48498100000000122</v>
      </c>
      <c r="AJ205" s="7">
        <f>IF(35&gt;=27,('Testes estatísticos'!$D$32+'Testes estatísticos'!$D$40)/2,"")</f>
        <v>-2.2565169999999988</v>
      </c>
      <c r="AK205" s="7">
        <f>IF(36&gt;=27,('Testes estatísticos'!$D$32+'Testes estatísticos'!$D$41)/2,"")</f>
        <v>1.1427499999999924E-2</v>
      </c>
      <c r="AL205" s="7">
        <f>IF(37&gt;=27,('Testes estatísticos'!$D$32+'Testes estatísticos'!$D$42)/2,"")</f>
        <v>-2.2671334999999999</v>
      </c>
      <c r="AM205" s="7">
        <f>IF(38&gt;=27,('Testes estatísticos'!$D$32+'Testes estatísticos'!$D$43)/2,"")</f>
        <v>-2.2542739999999988</v>
      </c>
      <c r="AN205" s="7">
        <f>IF(39&gt;=27,('Testes estatísticos'!$D$32+'Testes estatísticos'!$D$44)/2,"")</f>
        <v>-3.3912680000000002</v>
      </c>
      <c r="AO205" s="7">
        <f>IF(40&gt;=27,('Testes estatísticos'!$D$32+'Testes estatísticos'!$D$45)/2,"")</f>
        <v>0.58365849999999853</v>
      </c>
      <c r="AP205" s="7">
        <f>IF(41&gt;=27,('Testes estatísticos'!$D$32+'Testes estatísticos'!$D$46)/2,"")</f>
        <v>-1.9222809999999981</v>
      </c>
      <c r="AQ205" s="7">
        <f>IF(42&gt;=27,('Testes estatísticos'!$D$32+'Testes estatísticos'!$D$47)/2,"")</f>
        <v>-0.77992199999999912</v>
      </c>
      <c r="AR205" s="7">
        <f>IF(43&gt;=27,('Testes estatísticos'!$D$32+'Testes estatísticos'!$D$48)/2,"")</f>
        <v>-1.828835999999999</v>
      </c>
      <c r="AS205" s="7">
        <f>IF(44&gt;=27,('Testes estatísticos'!$D$32+'Testes estatísticos'!$D$49)/2,"")</f>
        <v>-2.3599589999999999</v>
      </c>
      <c r="AT205" s="7">
        <f>IF(45&gt;=27,('Testes estatísticos'!$D$32+'Testes estatísticos'!$D$50)/2,"")</f>
        <v>-1.5308804999999985</v>
      </c>
      <c r="AU205" s="7">
        <f>IF(46&gt;=27,('Testes estatísticos'!$D$32+'Testes estatísticos'!$D$51)/2,"")</f>
        <v>-4.5620764999999999</v>
      </c>
      <c r="AV205" s="7">
        <f>IF(47&gt;=27,('Testes estatísticos'!$D$32+'Testes estatísticos'!$D$52)/2,"")</f>
        <v>0.50809650000000062</v>
      </c>
      <c r="AW205" s="7">
        <f>IF(48&gt;=27,('Testes estatísticos'!$D$32+'Testes estatísticos'!$D$53)/2,"")</f>
        <v>-3.9279344999999992</v>
      </c>
      <c r="AX205" s="7">
        <f>IF(49&gt;=27,('Testes estatísticos'!$D$32+'Testes estatísticos'!$D$54)/2,"")</f>
        <v>-2.6681439999999981</v>
      </c>
      <c r="AY205" s="7">
        <f>IF(50&gt;=27,('Testes estatísticos'!$D$32+'Testes estatísticos'!$D$55)/2,"")</f>
        <v>-1.0429794999999977</v>
      </c>
      <c r="AZ205" s="7">
        <f>IF(51&gt;=27,('Testes estatísticos'!$D$32+'Testes estatísticos'!$D$56)/2,"")</f>
        <v>-0.99850999999999956</v>
      </c>
      <c r="BA205" s="7">
        <f>IF(52&gt;=27,('Testes estatísticos'!$D$32+'Testes estatísticos'!$D$57)/2,"")</f>
        <v>-4.406725999999999</v>
      </c>
      <c r="BB205" s="7">
        <f>IF(53&gt;=27,('Testes estatísticos'!$D$32+'Testes estatísticos'!$D$58)/2,"")</f>
        <v>-0.99796349999999734</v>
      </c>
      <c r="BC205" s="7">
        <f>IF(54&gt;=27,('Testes estatísticos'!$D$32+'Testes estatísticos'!$D$59)/2,"")</f>
        <v>-1.9176059999999993</v>
      </c>
      <c r="BD205" s="7">
        <f>IF(55&gt;=27,('Testes estatísticos'!$D$32+'Testes estatísticos'!$D$60)/2,"")</f>
        <v>1.1780650000000001</v>
      </c>
      <c r="BE205" s="7">
        <f>IF(56&gt;=27,('Testes estatísticos'!$D$32+'Testes estatísticos'!$D$61)/2,"")</f>
        <v>-1.4519034999999967</v>
      </c>
      <c r="BF205" s="7">
        <f>IF(57&gt;=27,('Testes estatísticos'!$D$32+'Testes estatísticos'!$D$62)/2,"")</f>
        <v>-4.8520935000000023</v>
      </c>
      <c r="BG205" s="7">
        <f>IF(58&gt;=27,('Testes estatísticos'!$D$32+'Testes estatísticos'!$D$63)/2,"")</f>
        <v>0.41380150000000171</v>
      </c>
      <c r="BH205" s="7">
        <f>IF(59&gt;=27,('Testes estatísticos'!$D$32+'Testes estatísticos'!$D$64)/2,"")</f>
        <v>-5.4298110000000008</v>
      </c>
      <c r="BI205" s="7">
        <f>IF(60&gt;=27,('Testes estatísticos'!$D$32+'Testes estatísticos'!$D$65)/2,"")</f>
        <v>-3.6822199999999974</v>
      </c>
      <c r="BJ205" s="7">
        <f>IF(61&gt;=27,('Testes estatísticos'!$D$32+'Testes estatísticos'!$D$66)/2,"")</f>
        <v>-1.0471649999999997</v>
      </c>
      <c r="BK205" s="7">
        <f>IF(62&gt;=27,('Testes estatísticos'!$D$32+'Testes estatísticos'!$D$67)/2,"")</f>
        <v>-1.5559599999999989</v>
      </c>
      <c r="BL205" s="7">
        <f>IF(63&gt;=27,('Testes estatísticos'!$D$32+'Testes estatísticos'!$D$68)/2,"")</f>
        <v>-0.65664549999999977</v>
      </c>
      <c r="BM205" s="7">
        <f>IF(64&gt;=27,('Testes estatísticos'!$D$32+'Testes estatísticos'!$D$69)/2,"")</f>
        <v>-0.60580350000000038</v>
      </c>
      <c r="BN205" s="7">
        <f>IF(65&gt;=27,('Testes estatísticos'!$D$32+'Testes estatísticos'!$D$70)/2,"")</f>
        <v>-2.7516099999999994</v>
      </c>
      <c r="BO205" s="7">
        <f>IF(66&gt;=27,('Testes estatísticos'!$D$32+'Testes estatísticos'!$D$71)/2,"")</f>
        <v>-1.8557574999999993</v>
      </c>
      <c r="BP205" s="7">
        <f>IF(67&gt;=27,('Testes estatísticos'!$D$32+'Testes estatísticos'!$D$72)/2,"")</f>
        <v>-4.7462164999999992</v>
      </c>
      <c r="BQ205" s="7">
        <f>IF(68&gt;=27,('Testes estatísticos'!$D$32+'Testes estatísticos'!$D$73)/2,"")</f>
        <v>-8.2983500000000987E-2</v>
      </c>
      <c r="BR205" s="7">
        <f>IF(69&gt;=27,('Testes estatísticos'!$D$32+'Testes estatísticos'!$D$74)/2,"")</f>
        <v>0.54919849999999926</v>
      </c>
      <c r="BS205" s="7">
        <f>IF(70&gt;=27,('Testes estatísticos'!$D$32+'Testes estatísticos'!$D$75)/2,"")</f>
        <v>-0.45526600000000172</v>
      </c>
      <c r="BT205" s="7">
        <f>IF(71&gt;=27,('Testes estatísticos'!$D$32+'Testes estatísticos'!$D$76)/2,"")</f>
        <v>1.1190989999999985</v>
      </c>
      <c r="BU205" s="7">
        <f>IF(72&gt;=27,('Testes estatísticos'!$D$32+'Testes estatísticos'!$D$77)/2,"")</f>
        <v>-4.4805980000000005</v>
      </c>
      <c r="BV205" s="7">
        <f>IF(73&gt;=27,('Testes estatísticos'!$D$32+'Testes estatísticos'!$D$78)/2,"")</f>
        <v>-2.4071235000000009</v>
      </c>
      <c r="BW205" s="7">
        <f>IF(74&gt;=27,('Testes estatísticos'!$D$32+'Testes estatísticos'!$D$79)/2,"")</f>
        <v>-3.0904419999999995</v>
      </c>
      <c r="BX205" s="7">
        <f>IF(75&gt;=27,('Testes estatísticos'!$D$32+'Testes estatísticos'!$D$80)/2,"")</f>
        <v>-3.1122200000000007</v>
      </c>
      <c r="BY205" s="7">
        <f>IF(76&gt;=27,('Testes estatísticos'!$D$32+'Testes estatísticos'!$D$81)/2,"")</f>
        <v>1.0192380000000014</v>
      </c>
      <c r="BZ205" s="7">
        <f>IF(77&gt;=27,('Testes estatísticos'!$D$32+'Testes estatísticos'!$D$82)/2,"")</f>
        <v>-4.2423514999999981</v>
      </c>
      <c r="CA205" s="7">
        <f>IF(78&gt;=27,('Testes estatísticos'!$D$32+'Testes estatísticos'!$D$83)/2,"")</f>
        <v>-2.4820924999999967</v>
      </c>
      <c r="CB205" s="7">
        <f>IF(79&gt;=27,('Testes estatísticos'!$D$32+'Testes estatísticos'!$D$84)/2,"")</f>
        <v>-2.4303699999999999</v>
      </c>
      <c r="CC205" s="7">
        <f>IF(80&gt;=27,('Testes estatísticos'!$D$32+'Testes estatísticos'!$D$85)/2,"")</f>
        <v>-4.2373864999999995</v>
      </c>
      <c r="CD205" s="7">
        <f>IF(81&gt;=27,('Testes estatísticos'!$D$32+'Testes estatísticos'!$D$86)/2,"")</f>
        <v>-4.2875315000000001</v>
      </c>
      <c r="CE205" s="7">
        <f>IF(82&gt;=27,('Testes estatísticos'!$D$32+'Testes estatísticos'!$D$87)/2,"")</f>
        <v>-2.2097410000000011</v>
      </c>
      <c r="CF205" s="7">
        <f>IF(83&gt;=27,('Testes estatísticos'!$D$32+'Testes estatísticos'!$D$88)/2,"")</f>
        <v>-2.7385480000000015</v>
      </c>
      <c r="CG205" s="7">
        <f>IF(84&gt;=27,('Testes estatísticos'!$D$32+'Testes estatísticos'!$D$89)/2,"")</f>
        <v>-3.070454999999999</v>
      </c>
      <c r="CH205" s="7">
        <f>IF(85&gt;=27,('Testes estatísticos'!$D$32+'Testes estatísticos'!$D$90)/2,"")</f>
        <v>-1.2549080000000004</v>
      </c>
      <c r="CI205" s="7">
        <f>IF(86&gt;=27,('Testes estatísticos'!$D$32+'Testes estatísticos'!$D$91)/2,"")</f>
        <v>-3.9450674999999968</v>
      </c>
      <c r="CJ205" s="7">
        <f>IF(87&gt;=27,('Testes estatísticos'!$D$32+'Testes estatísticos'!$D$92)/2,"")</f>
        <v>-2.7028609999999986</v>
      </c>
      <c r="CK205" s="7">
        <f>IF(88&gt;=27,('Testes estatísticos'!$D$32+'Testes estatísticos'!$D$93)/2,"")</f>
        <v>-2.4587775000000001</v>
      </c>
      <c r="CL205" s="7">
        <f>IF(89&gt;=27,('Testes estatísticos'!$D$32+'Testes estatísticos'!$D$94)/2,"")</f>
        <v>-3.0703695000000018</v>
      </c>
      <c r="CM205" s="7">
        <f>IF(90&gt;=27,('Testes estatísticos'!$D$32+'Testes estatísticos'!$D$95)/2,"")</f>
        <v>-5.4045014999999985</v>
      </c>
      <c r="CN205" s="7">
        <f>IF(91&gt;=27,('Testes estatísticos'!$D$32+'Testes estatísticos'!$D$96)/2,"")</f>
        <v>-2.8659784999999971</v>
      </c>
      <c r="CO205" s="7">
        <f>IF(92&gt;=27,('Testes estatísticos'!$D$32+'Testes estatísticos'!$D$97)/2,"")</f>
        <v>-3.2124819999999978</v>
      </c>
      <c r="CP205" s="7">
        <f>IF(93&gt;=27,('Testes estatísticos'!$D$32+'Testes estatísticos'!$D$98)/2,"")</f>
        <v>-3.417233999999997</v>
      </c>
      <c r="CQ205" s="7">
        <f>IF(94&gt;=27,('Testes estatísticos'!$D$32+'Testes estatísticos'!$D$99)/2,"")</f>
        <v>-1.2360760000000006</v>
      </c>
      <c r="CR205" s="7">
        <f>IF(95&gt;=27,('Testes estatísticos'!$D$32+'Testes estatísticos'!$D$100)/2,"")</f>
        <v>-3.1418689999999998</v>
      </c>
      <c r="CS205" s="7">
        <f>IF(96&gt;=27,('Testes estatísticos'!$D$32+'Testes estatísticos'!$D$101)/2,"")</f>
        <v>-3.097882000000002</v>
      </c>
      <c r="CT205" s="7">
        <f>IF(97&gt;=27,('Testes estatísticos'!$D$32+'Testes estatísticos'!$D$102)/2,"")</f>
        <v>-2.8648315000000011</v>
      </c>
      <c r="CU205" s="7">
        <f>IF(98&gt;=27,('Testes estatísticos'!$D$32+'Testes estatísticos'!$D$103)/2,"")</f>
        <v>-2.8075054999999978</v>
      </c>
      <c r="CV205" s="7">
        <f>IF(99&gt;=27,('Testes estatísticos'!$D$32+'Testes estatísticos'!$D$104)/2,"")</f>
        <v>-3.2423314999999988</v>
      </c>
      <c r="CW205" s="7">
        <f>IF(100&gt;=27,('Testes estatísticos'!$D$32+'Testes estatísticos'!$D$105)/2,"")</f>
        <v>-3.3417974999999984</v>
      </c>
      <c r="CX205" s="7">
        <f>IF(101&gt;=27,('Testes estatísticos'!$D$32+'Testes estatísticos'!$D$106)/2,"")</f>
        <v>-2.8188709999999979</v>
      </c>
      <c r="CY205" s="7">
        <f>IF(102&gt;=27,('Testes estatísticos'!$D$32+'Testes estatísticos'!$D$107)/2,"")</f>
        <v>-2.8745359999999991</v>
      </c>
      <c r="CZ205" s="7">
        <f>IF(103&gt;=27,('Testes estatísticos'!$D$32+'Testes estatísticos'!$D$108)/2,"")</f>
        <v>-3.3987024999999988</v>
      </c>
      <c r="DA205" s="7">
        <f>IF(104&gt;=27,('Testes estatísticos'!$D$32+'Testes estatísticos'!$D$109)/2,"")</f>
        <v>-3.1360684999999968</v>
      </c>
      <c r="DB205" s="7">
        <f>IF(105&gt;=27,('Testes estatísticos'!$D$32+'Testes estatísticos'!$D$110)/2,"")</f>
        <v>-3.1017374999999987</v>
      </c>
      <c r="DC205" s="7">
        <f>IF(106&gt;=27,('Testes estatísticos'!$D$32+'Testes estatísticos'!$D$111)/2,"")</f>
        <v>-2.3588164999999996</v>
      </c>
      <c r="DD205" s="7">
        <f>IF(107&gt;=27,('Testes estatísticos'!$D$32+'Testes estatísticos'!$D$112)/2,"")</f>
        <v>1.1343545000000006</v>
      </c>
      <c r="DE205" s="7">
        <f>IF(108&gt;=27,('Testes estatísticos'!$D$32+'Testes estatísticos'!$D$113)/2,"")</f>
        <v>-2.2882809999999978</v>
      </c>
      <c r="DF205" s="7">
        <f>IF(109&gt;=27,('Testes estatísticos'!$D$32+'Testes estatísticos'!$D$114)/2,"")</f>
        <v>-2.3245379999999969</v>
      </c>
      <c r="DG205" s="7">
        <f>IF(110&gt;=27,('Testes estatísticos'!$D$32+'Testes estatísticos'!$D$115)/2,"")</f>
        <v>-7.8716775000000005</v>
      </c>
      <c r="DH205" s="7">
        <f>IF(111&gt;=27,('Testes estatísticos'!$D$32+'Testes estatísticos'!$D$116)/2,"")</f>
        <v>-2.190846999999998</v>
      </c>
      <c r="DI205" s="7">
        <f>IF(112&gt;=27,('Testes estatísticos'!$D$32+'Testes estatísticos'!$D$117)/2,"")</f>
        <v>3.2375930000000004</v>
      </c>
      <c r="DJ205" s="7">
        <f>IF(113&gt;=27,('Testes estatísticos'!$D$32+'Testes estatísticos'!$D$118)/2,"")</f>
        <v>-2.2189639999999997</v>
      </c>
      <c r="DK205" s="7">
        <f>IF(114&gt;=27,('Testes estatísticos'!$D$32+'Testes estatísticos'!$D$119)/2,"")</f>
        <v>-2.3207139999999988</v>
      </c>
      <c r="DL205" s="7">
        <f>IF(115&gt;=27,('Testes estatísticos'!$D$32+'Testes estatísticos'!$D$120)/2,"")</f>
        <v>-2.2742364999999971</v>
      </c>
      <c r="DM205" s="7">
        <f>IF(116&gt;=27,('Testes estatísticos'!$D$32+'Testes estatísticos'!$D$121)/2,"")</f>
        <v>-2.2656339999999986</v>
      </c>
      <c r="DN205" s="7">
        <f>IF(117&gt;=27,('Testes estatísticos'!$D$32+'Testes estatísticos'!$D$122)/2,"")</f>
        <v>-2.2425660000000001</v>
      </c>
      <c r="DO205" s="7">
        <f>IF(118&gt;=27,('Testes estatísticos'!$D$32+'Testes estatísticos'!$D$123)/2,"")</f>
        <v>-2.1926555000000008</v>
      </c>
      <c r="DP205" s="7">
        <f>IF(119&gt;=27,('Testes estatísticos'!$D$32+'Testes estatísticos'!$D$124)/2,"")</f>
        <v>-2.2138670000000005</v>
      </c>
      <c r="DQ205" s="7">
        <f>IF(120&gt;=27,('Testes estatísticos'!$D$32+'Testes estatísticos'!$D$125)/2,"")</f>
        <v>0.83774750000000253</v>
      </c>
      <c r="DR205" s="7">
        <f>IF(121&gt;=27,('Testes estatísticos'!$D$32+'Testes estatísticos'!$D$126)/2,"")</f>
        <v>-1.9512689999999999</v>
      </c>
      <c r="DS205" s="7">
        <f>IF(122&gt;=27,('Testes estatísticos'!$D$32+'Testes estatísticos'!$D$127)/2,"")</f>
        <v>-3.0166774999999966</v>
      </c>
      <c r="DT205" s="7">
        <f>IF(123&gt;=27,('Testes estatísticos'!$D$32+'Testes estatísticos'!$D$128)/2,"")</f>
        <v>3.052191999999998</v>
      </c>
      <c r="DU205" s="7">
        <f>IF(124&gt;=27,('Testes estatísticos'!$D$32+'Testes estatísticos'!$D$129)/2,"")</f>
        <v>-1.8435795000000006</v>
      </c>
      <c r="DV205" s="7">
        <f>IF(125&gt;=27,('Testes estatísticos'!$D$32+'Testes estatísticos'!$D$130)/2,"")</f>
        <v>-0.68527200000000121</v>
      </c>
      <c r="DW205" s="7">
        <f>IF(126&gt;=27,('Testes estatísticos'!$D$32+'Testes estatísticos'!$D$131)/2,"")</f>
        <v>-3.0887479999999989</v>
      </c>
      <c r="DX205" s="7">
        <f>IF(127&gt;=27,('Testes estatísticos'!$D$32+'Testes estatísticos'!$D$132)/2,"")</f>
        <v>-5.1449394999999996</v>
      </c>
      <c r="DY205" s="7">
        <f>IF(128&gt;=27,('Testes estatísticos'!$D$32+'Testes estatísticos'!$D$133)/2,"")</f>
        <v>-5.4860289999999985</v>
      </c>
      <c r="DZ205" s="7">
        <f>IF(129&gt;=27,('Testes estatísticos'!$D$32+'Testes estatísticos'!$D$134)/2,"")</f>
        <v>-8.9098189999999988</v>
      </c>
      <c r="EA205" s="7">
        <f>IF(130&gt;=27,('Testes estatísticos'!$D$32+'Testes estatísticos'!$D$135)/2,"")</f>
        <v>-3.1480489999999968</v>
      </c>
      <c r="EB205" s="7">
        <f>IF(131&gt;=27,('Testes estatísticos'!$D$32+'Testes estatísticos'!$D$136)/2,"")</f>
        <v>-3.060176000000002</v>
      </c>
      <c r="EC205" s="7">
        <f>IF(132&gt;=27,('Testes estatísticos'!$D$32+'Testes estatísticos'!$D$137)/2,"")</f>
        <v>-4.5469125000000012</v>
      </c>
      <c r="ED205" s="7">
        <f>IF(133&gt;=27,('Testes estatísticos'!$D$32+'Testes estatísticos'!$D$138)/2,"")</f>
        <v>-2.3579749999999997</v>
      </c>
      <c r="EE205" s="7">
        <f>IF(134&gt;=27,('Testes estatísticos'!$D$32+'Testes estatísticos'!$D$139)/2,"")</f>
        <v>-4.6551655000000025</v>
      </c>
      <c r="EF205" s="7">
        <f>IF(135&gt;=27,('Testes estatísticos'!$D$32+'Testes estatísticos'!$D$140)/2,"")</f>
        <v>-1.440732999999998</v>
      </c>
      <c r="EG205" s="7">
        <f>IF(136&gt;=27,('Testes estatísticos'!$D$32+'Testes estatísticos'!$D$141)/2,"")</f>
        <v>-3.1342230000000022</v>
      </c>
      <c r="EH205" s="7">
        <f>IF(137&gt;=27,('Testes estatísticos'!$D$32+'Testes estatísticos'!$D$142)/2,"")</f>
        <v>-1.4294830000000012</v>
      </c>
      <c r="EI205" s="7">
        <f>IF(138&gt;=27,('Testes estatísticos'!$D$32+'Testes estatísticos'!$D$143)/2,"")</f>
        <v>-3.0944984999999967</v>
      </c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</row>
    <row r="206" spans="2:151" x14ac:dyDescent="0.3">
      <c r="B206" s="7" t="str">
        <f>IF(1&gt;=28,('Testes estatísticos'!$D$33+'Testes estatísticos'!$D$6)/2,"")</f>
        <v/>
      </c>
      <c r="C206" s="7" t="str">
        <f>IF(2&gt;=28,('Testes estatísticos'!$D$33+'Testes estatísticos'!$D$7)/2,"")</f>
        <v/>
      </c>
      <c r="D206" s="7" t="str">
        <f>IF(3&gt;=28,('Testes estatísticos'!$D$33+'Testes estatísticos'!$D$8)/2,"")</f>
        <v/>
      </c>
      <c r="E206" s="7" t="str">
        <f>IF(4&gt;=28,('Testes estatísticos'!$D$33+'Testes estatísticos'!$D$9)/2,"")</f>
        <v/>
      </c>
      <c r="F206" s="7" t="str">
        <f>IF(5&gt;=28,('Testes estatísticos'!$D$33+'Testes estatísticos'!$D$10)/2,"")</f>
        <v/>
      </c>
      <c r="G206" s="7" t="str">
        <f>IF(6&gt;=28,('Testes estatísticos'!$D$33+'Testes estatísticos'!$D$11)/2,"")</f>
        <v/>
      </c>
      <c r="H206" s="7" t="str">
        <f>IF(7&gt;=28,('Testes estatísticos'!$D$33+'Testes estatísticos'!$D$12)/2,"")</f>
        <v/>
      </c>
      <c r="I206" s="7" t="str">
        <f>IF(8&gt;=28,('Testes estatísticos'!$D$33+'Testes estatísticos'!$D$13)/2,"")</f>
        <v/>
      </c>
      <c r="J206" s="7" t="str">
        <f>IF(9&gt;=28,('Testes estatísticos'!$D$33+'Testes estatísticos'!$D$14)/2,"")</f>
        <v/>
      </c>
      <c r="K206" s="7" t="str">
        <f>IF(10&gt;=28,('Testes estatísticos'!$D$33+'Testes estatísticos'!$D$15)/2,"")</f>
        <v/>
      </c>
      <c r="L206" s="7" t="str">
        <f>IF(11&gt;=28,('Testes estatísticos'!$D$33+'Testes estatísticos'!$D$16)/2,"")</f>
        <v/>
      </c>
      <c r="M206" s="7" t="str">
        <f>IF(12&gt;=28,('Testes estatísticos'!$D$33+'Testes estatísticos'!$D$17)/2,"")</f>
        <v/>
      </c>
      <c r="N206" s="7" t="str">
        <f>IF(13&gt;=28,('Testes estatísticos'!$D$33+'Testes estatísticos'!$D$18)/2,"")</f>
        <v/>
      </c>
      <c r="O206" s="7" t="str">
        <f>IF(14&gt;=28,('Testes estatísticos'!$D$33+'Testes estatísticos'!$D$19)/2,"")</f>
        <v/>
      </c>
      <c r="P206" s="7" t="str">
        <f>IF(15&gt;=28,('Testes estatísticos'!$D$33+'Testes estatísticos'!$D$20)/2,"")</f>
        <v/>
      </c>
      <c r="Q206" s="7" t="str">
        <f>IF(16&gt;=28,('Testes estatísticos'!$D$33+'Testes estatísticos'!$D$21)/2,"")</f>
        <v/>
      </c>
      <c r="R206" s="7" t="str">
        <f>IF(17&gt;=28,('Testes estatísticos'!$D$33+'Testes estatísticos'!$D$22)/2,"")</f>
        <v/>
      </c>
      <c r="S206" s="7" t="str">
        <f>IF(18&gt;=28,('Testes estatísticos'!$D$33+'Testes estatísticos'!$D$23)/2,"")</f>
        <v/>
      </c>
      <c r="T206" s="7" t="str">
        <f>IF(19&gt;=28,('Testes estatísticos'!$D$33+'Testes estatísticos'!$D$24)/2,"")</f>
        <v/>
      </c>
      <c r="U206" s="7" t="str">
        <f>IF(20&gt;=28,('Testes estatísticos'!$D$33+'Testes estatísticos'!$D$25)/2,"")</f>
        <v/>
      </c>
      <c r="V206" s="7" t="str">
        <f>IF(21&gt;=28,('Testes estatísticos'!$D$33+'Testes estatísticos'!$D$26)/2,"")</f>
        <v/>
      </c>
      <c r="W206" s="7" t="str">
        <f>IF(22&gt;=28,('Testes estatísticos'!$D$33+'Testes estatísticos'!$D$27)/2,"")</f>
        <v/>
      </c>
      <c r="X206" s="7" t="str">
        <f>IF(23&gt;=28,('Testes estatísticos'!$D$33+'Testes estatísticos'!$D$28)/2,"")</f>
        <v/>
      </c>
      <c r="Y206" s="7" t="str">
        <f>IF(24&gt;=28,('Testes estatísticos'!$D$33+'Testes estatísticos'!$D$29)/2,"")</f>
        <v/>
      </c>
      <c r="Z206" s="7" t="str">
        <f>IF(25&gt;=28,('Testes estatísticos'!$D$33+'Testes estatísticos'!$D$30)/2,"")</f>
        <v/>
      </c>
      <c r="AA206" s="7" t="str">
        <f>IF(26&gt;=28,('Testes estatísticos'!$D$33+'Testes estatísticos'!$D$31)/2,"")</f>
        <v/>
      </c>
      <c r="AB206" s="7" t="str">
        <f>IF(27&gt;=28,('Testes estatísticos'!$D$33+'Testes estatísticos'!$D$32)/2,"")</f>
        <v/>
      </c>
      <c r="AC206" s="7">
        <f>IF(28&gt;=28,('Testes estatísticos'!$D$33+'Testes estatísticos'!$D$33)/2,"")</f>
        <v>-2.283253000000002</v>
      </c>
      <c r="AD206" s="7">
        <f>IF(29&gt;=28,('Testes estatísticos'!$D$33+'Testes estatísticos'!$D$34)/2,"")</f>
        <v>-1.5539910000000035</v>
      </c>
      <c r="AE206" s="7">
        <f>IF(30&gt;=28,('Testes estatísticos'!$D$33+'Testes estatísticos'!$D$35)/2,"")</f>
        <v>-2.8675370000000022</v>
      </c>
      <c r="AF206" s="7">
        <f>IF(31&gt;=28,('Testes estatísticos'!$D$33+'Testes estatísticos'!$D$36)/2,"")</f>
        <v>-3.2099314999999997</v>
      </c>
      <c r="AG206" s="7">
        <f>IF(32&gt;=28,('Testes estatísticos'!$D$33+'Testes estatísticos'!$D$37)/2,"")</f>
        <v>-2.1063110000000016</v>
      </c>
      <c r="AH206" s="7">
        <f>IF(33&gt;=28,('Testes estatísticos'!$D$33+'Testes estatísticos'!$D$38)/2,"")</f>
        <v>-2.2718505000000029</v>
      </c>
      <c r="AI206" s="7">
        <f>IF(34&gt;=28,('Testes estatísticos'!$D$33+'Testes estatísticos'!$D$39)/2,"")</f>
        <v>0.54469549999999956</v>
      </c>
      <c r="AJ206" s="7">
        <f>IF(35&gt;=28,('Testes estatísticos'!$D$33+'Testes estatísticos'!$D$40)/2,"")</f>
        <v>-2.1968025000000004</v>
      </c>
      <c r="AK206" s="7">
        <f>IF(36&gt;=28,('Testes estatísticos'!$D$33+'Testes estatísticos'!$D$41)/2,"")</f>
        <v>7.1141999999998262E-2</v>
      </c>
      <c r="AL206" s="7">
        <f>IF(37&gt;=28,('Testes estatísticos'!$D$33+'Testes estatísticos'!$D$42)/2,"")</f>
        <v>-2.2074190000000016</v>
      </c>
      <c r="AM206" s="7">
        <f>IF(38&gt;=28,('Testes estatísticos'!$D$33+'Testes estatísticos'!$D$43)/2,"")</f>
        <v>-2.1945595000000004</v>
      </c>
      <c r="AN206" s="7">
        <f>IF(39&gt;=28,('Testes estatísticos'!$D$33+'Testes estatísticos'!$D$44)/2,"")</f>
        <v>-3.3315535000000018</v>
      </c>
      <c r="AO206" s="7">
        <f>IF(40&gt;=28,('Testes estatísticos'!$D$33+'Testes estatísticos'!$D$45)/2,"")</f>
        <v>0.64337299999999686</v>
      </c>
      <c r="AP206" s="7">
        <f>IF(41&gt;=28,('Testes estatísticos'!$D$33+'Testes estatísticos'!$D$46)/2,"")</f>
        <v>-1.8625664999999998</v>
      </c>
      <c r="AQ206" s="7">
        <f>IF(42&gt;=28,('Testes estatísticos'!$D$33+'Testes estatísticos'!$D$47)/2,"")</f>
        <v>-0.72020750000000078</v>
      </c>
      <c r="AR206" s="7">
        <f>IF(43&gt;=28,('Testes estatísticos'!$D$33+'Testes estatísticos'!$D$48)/2,"")</f>
        <v>-1.7691215000000007</v>
      </c>
      <c r="AS206" s="7">
        <f>IF(44&gt;=28,('Testes estatísticos'!$D$33+'Testes estatísticos'!$D$49)/2,"")</f>
        <v>-2.3002445000000016</v>
      </c>
      <c r="AT206" s="7">
        <f>IF(45&gt;=28,('Testes estatísticos'!$D$33+'Testes estatísticos'!$D$50)/2,"")</f>
        <v>-1.4711660000000002</v>
      </c>
      <c r="AU206" s="7">
        <f>IF(46&gt;=28,('Testes estatísticos'!$D$33+'Testes estatísticos'!$D$51)/2,"")</f>
        <v>-4.5023620000000015</v>
      </c>
      <c r="AV206" s="7">
        <f>IF(47&gt;=28,('Testes estatísticos'!$D$33+'Testes estatísticos'!$D$52)/2,"")</f>
        <v>0.56781099999999896</v>
      </c>
      <c r="AW206" s="7">
        <f>IF(48&gt;=28,('Testes estatísticos'!$D$33+'Testes estatísticos'!$D$53)/2,"")</f>
        <v>-3.8682200000000009</v>
      </c>
      <c r="AX206" s="7">
        <f>IF(49&gt;=28,('Testes estatísticos'!$D$33+'Testes estatísticos'!$D$54)/2,"")</f>
        <v>-2.6084294999999997</v>
      </c>
      <c r="AY206" s="7">
        <f>IF(50&gt;=28,('Testes estatísticos'!$D$33+'Testes estatísticos'!$D$55)/2,"")</f>
        <v>-0.98326499999999939</v>
      </c>
      <c r="AZ206" s="7">
        <f>IF(51&gt;=28,('Testes estatísticos'!$D$33+'Testes estatísticos'!$D$56)/2,"")</f>
        <v>-0.93879550000000123</v>
      </c>
      <c r="BA206" s="7">
        <f>IF(52&gt;=28,('Testes estatísticos'!$D$33+'Testes estatísticos'!$D$57)/2,"")</f>
        <v>-4.3470115000000007</v>
      </c>
      <c r="BB206" s="7">
        <f>IF(53&gt;=28,('Testes estatísticos'!$D$33+'Testes estatísticos'!$D$58)/2,"")</f>
        <v>-0.938248999999999</v>
      </c>
      <c r="BC206" s="7">
        <f>IF(54&gt;=28,('Testes estatísticos'!$D$33+'Testes estatísticos'!$D$59)/2,"")</f>
        <v>-1.8578915000000009</v>
      </c>
      <c r="BD206" s="7">
        <f>IF(55&gt;=28,('Testes estatísticos'!$D$33+'Testes estatísticos'!$D$60)/2,"")</f>
        <v>1.2377794999999985</v>
      </c>
      <c r="BE206" s="7">
        <f>IF(56&gt;=28,('Testes estatísticos'!$D$33+'Testes estatísticos'!$D$61)/2,"")</f>
        <v>-1.3921889999999983</v>
      </c>
      <c r="BF206" s="7">
        <f>IF(57&gt;=28,('Testes estatísticos'!$D$33+'Testes estatísticos'!$D$62)/2,"")</f>
        <v>-4.7923790000000039</v>
      </c>
      <c r="BG206" s="7">
        <f>IF(58&gt;=28,('Testes estatísticos'!$D$33+'Testes estatísticos'!$D$63)/2,"")</f>
        <v>0.47351600000000005</v>
      </c>
      <c r="BH206" s="7">
        <f>IF(59&gt;=28,('Testes estatísticos'!$D$33+'Testes estatísticos'!$D$64)/2,"")</f>
        <v>-5.3700965000000025</v>
      </c>
      <c r="BI206" s="7">
        <f>IF(60&gt;=28,('Testes estatísticos'!$D$33+'Testes estatísticos'!$D$65)/2,"")</f>
        <v>-3.622505499999999</v>
      </c>
      <c r="BJ206" s="7">
        <f>IF(61&gt;=28,('Testes estatísticos'!$D$33+'Testes estatísticos'!$D$66)/2,"")</f>
        <v>-0.98745050000000134</v>
      </c>
      <c r="BK206" s="7">
        <f>IF(62&gt;=28,('Testes estatísticos'!$D$33+'Testes estatísticos'!$D$67)/2,"")</f>
        <v>-1.4962455000000006</v>
      </c>
      <c r="BL206" s="7">
        <f>IF(63&gt;=28,('Testes estatísticos'!$D$33+'Testes estatísticos'!$D$68)/2,"")</f>
        <v>-0.59693100000000143</v>
      </c>
      <c r="BM206" s="7">
        <f>IF(64&gt;=28,('Testes estatísticos'!$D$33+'Testes estatísticos'!$D$69)/2,"")</f>
        <v>-0.54608900000000204</v>
      </c>
      <c r="BN206" s="7">
        <f>IF(65&gt;=28,('Testes estatísticos'!$D$33+'Testes estatísticos'!$D$70)/2,"")</f>
        <v>-2.6918955000000011</v>
      </c>
      <c r="BO206" s="7">
        <f>IF(66&gt;=28,('Testes estatísticos'!$D$33+'Testes estatísticos'!$D$71)/2,"")</f>
        <v>-1.7960430000000009</v>
      </c>
      <c r="BP206" s="7">
        <f>IF(67&gt;=28,('Testes estatísticos'!$D$33+'Testes estatísticos'!$D$72)/2,"")</f>
        <v>-4.6865020000000008</v>
      </c>
      <c r="BQ206" s="7">
        <f>IF(68&gt;=28,('Testes estatísticos'!$D$33+'Testes estatísticos'!$D$73)/2,"")</f>
        <v>-2.3269000000002649E-2</v>
      </c>
      <c r="BR206" s="7">
        <f>IF(69&gt;=28,('Testes estatísticos'!$D$33+'Testes estatísticos'!$D$74)/2,"")</f>
        <v>0.6089129999999976</v>
      </c>
      <c r="BS206" s="7">
        <f>IF(70&gt;=28,('Testes estatísticos'!$D$33+'Testes estatísticos'!$D$75)/2,"")</f>
        <v>-0.39555150000000339</v>
      </c>
      <c r="BT206" s="7">
        <f>IF(71&gt;=28,('Testes estatísticos'!$D$33+'Testes estatísticos'!$D$76)/2,"")</f>
        <v>1.1788134999999968</v>
      </c>
      <c r="BU206" s="7">
        <f>IF(72&gt;=28,('Testes estatísticos'!$D$33+'Testes estatísticos'!$D$77)/2,"")</f>
        <v>-4.4208835000000022</v>
      </c>
      <c r="BV206" s="7">
        <f>IF(73&gt;=28,('Testes estatísticos'!$D$33+'Testes estatísticos'!$D$78)/2,"")</f>
        <v>-2.3474090000000025</v>
      </c>
      <c r="BW206" s="7">
        <f>IF(74&gt;=28,('Testes estatísticos'!$D$33+'Testes estatísticos'!$D$79)/2,"")</f>
        <v>-3.0307275000000011</v>
      </c>
      <c r="BX206" s="7">
        <f>IF(75&gt;=28,('Testes estatísticos'!$D$33+'Testes estatísticos'!$D$80)/2,"")</f>
        <v>-3.0525055000000023</v>
      </c>
      <c r="BY206" s="7">
        <f>IF(76&gt;=28,('Testes estatísticos'!$D$33+'Testes estatísticos'!$D$81)/2,"")</f>
        <v>1.0789524999999998</v>
      </c>
      <c r="BZ206" s="7">
        <f>IF(77&gt;=28,('Testes estatísticos'!$D$33+'Testes estatísticos'!$D$82)/2,"")</f>
        <v>-4.1826369999999997</v>
      </c>
      <c r="CA206" s="7">
        <f>IF(78&gt;=28,('Testes estatísticos'!$D$33+'Testes estatísticos'!$D$83)/2,"")</f>
        <v>-2.4223779999999984</v>
      </c>
      <c r="CB206" s="7">
        <f>IF(79&gt;=28,('Testes estatísticos'!$D$33+'Testes estatísticos'!$D$84)/2,"")</f>
        <v>-2.3706555000000016</v>
      </c>
      <c r="CC206" s="7">
        <f>IF(80&gt;=28,('Testes estatísticos'!$D$33+'Testes estatísticos'!$D$85)/2,"")</f>
        <v>-4.1776720000000012</v>
      </c>
      <c r="CD206" s="7">
        <f>IF(81&gt;=28,('Testes estatísticos'!$D$33+'Testes estatísticos'!$D$86)/2,"")</f>
        <v>-4.2278170000000017</v>
      </c>
      <c r="CE206" s="7">
        <f>IF(82&gt;=28,('Testes estatísticos'!$D$33+'Testes estatísticos'!$D$87)/2,"")</f>
        <v>-2.1500265000000027</v>
      </c>
      <c r="CF206" s="7">
        <f>IF(83&gt;=28,('Testes estatísticos'!$D$33+'Testes estatísticos'!$D$88)/2,"")</f>
        <v>-2.6788335000000032</v>
      </c>
      <c r="CG206" s="7">
        <f>IF(84&gt;=28,('Testes estatísticos'!$D$33+'Testes estatísticos'!$D$89)/2,"")</f>
        <v>-3.0107405000000007</v>
      </c>
      <c r="CH206" s="7">
        <f>IF(85&gt;=28,('Testes estatísticos'!$D$33+'Testes estatísticos'!$D$90)/2,"")</f>
        <v>-1.195193500000002</v>
      </c>
      <c r="CI206" s="7">
        <f>IF(86&gt;=28,('Testes estatísticos'!$D$33+'Testes estatísticos'!$D$91)/2,"")</f>
        <v>-3.8853529999999985</v>
      </c>
      <c r="CJ206" s="7">
        <f>IF(87&gt;=28,('Testes estatísticos'!$D$33+'Testes estatísticos'!$D$92)/2,"")</f>
        <v>-2.6431465000000003</v>
      </c>
      <c r="CK206" s="7">
        <f>IF(88&gt;=28,('Testes estatísticos'!$D$33+'Testes estatísticos'!$D$93)/2,"")</f>
        <v>-2.3990630000000017</v>
      </c>
      <c r="CL206" s="7">
        <f>IF(89&gt;=28,('Testes estatísticos'!$D$33+'Testes estatísticos'!$D$94)/2,"")</f>
        <v>-3.0106550000000034</v>
      </c>
      <c r="CM206" s="7">
        <f>IF(90&gt;=28,('Testes estatísticos'!$D$33+'Testes estatísticos'!$D$95)/2,"")</f>
        <v>-5.3447870000000002</v>
      </c>
      <c r="CN206" s="7">
        <f>IF(91&gt;=28,('Testes estatísticos'!$D$33+'Testes estatísticos'!$D$96)/2,"")</f>
        <v>-2.8062639999999988</v>
      </c>
      <c r="CO206" s="7">
        <f>IF(92&gt;=28,('Testes estatísticos'!$D$33+'Testes estatísticos'!$D$97)/2,"")</f>
        <v>-3.1527674999999995</v>
      </c>
      <c r="CP206" s="7">
        <f>IF(93&gt;=28,('Testes estatísticos'!$D$33+'Testes estatísticos'!$D$98)/2,"")</f>
        <v>-3.3575194999999987</v>
      </c>
      <c r="CQ206" s="7">
        <f>IF(94&gt;=28,('Testes estatísticos'!$D$33+'Testes estatísticos'!$D$99)/2,"")</f>
        <v>-1.1763615000000023</v>
      </c>
      <c r="CR206" s="7">
        <f>IF(95&gt;=28,('Testes estatísticos'!$D$33+'Testes estatísticos'!$D$100)/2,"")</f>
        <v>-3.0821545000000015</v>
      </c>
      <c r="CS206" s="7">
        <f>IF(96&gt;=28,('Testes estatísticos'!$D$33+'Testes estatísticos'!$D$101)/2,"")</f>
        <v>-3.0381675000000037</v>
      </c>
      <c r="CT206" s="7">
        <f>IF(97&gt;=28,('Testes estatísticos'!$D$33+'Testes estatísticos'!$D$102)/2,"")</f>
        <v>-2.8051170000000027</v>
      </c>
      <c r="CU206" s="7">
        <f>IF(98&gt;=28,('Testes estatísticos'!$D$33+'Testes estatísticos'!$D$103)/2,"")</f>
        <v>-2.7477909999999994</v>
      </c>
      <c r="CV206" s="7">
        <f>IF(99&gt;=28,('Testes estatísticos'!$D$33+'Testes estatísticos'!$D$104)/2,"")</f>
        <v>-3.1826170000000005</v>
      </c>
      <c r="CW206" s="7">
        <f>IF(100&gt;=28,('Testes estatísticos'!$D$33+'Testes estatísticos'!$D$105)/2,"")</f>
        <v>-3.2820830000000001</v>
      </c>
      <c r="CX206" s="7">
        <f>IF(101&gt;=28,('Testes estatísticos'!$D$33+'Testes estatísticos'!$D$106)/2,"")</f>
        <v>-2.7591564999999996</v>
      </c>
      <c r="CY206" s="7">
        <f>IF(102&gt;=28,('Testes estatísticos'!$D$33+'Testes estatísticos'!$D$107)/2,"")</f>
        <v>-2.8148215000000008</v>
      </c>
      <c r="CZ206" s="7">
        <f>IF(103&gt;=28,('Testes estatísticos'!$D$33+'Testes estatísticos'!$D$108)/2,"")</f>
        <v>-3.3389880000000005</v>
      </c>
      <c r="DA206" s="7">
        <f>IF(104&gt;=28,('Testes estatísticos'!$D$33+'Testes estatísticos'!$D$109)/2,"")</f>
        <v>-3.0763539999999985</v>
      </c>
      <c r="DB206" s="7">
        <f>IF(105&gt;=28,('Testes estatísticos'!$D$33+'Testes estatísticos'!$D$110)/2,"")</f>
        <v>-3.0420230000000004</v>
      </c>
      <c r="DC206" s="7">
        <f>IF(106&gt;=28,('Testes estatísticos'!$D$33+'Testes estatísticos'!$D$111)/2,"")</f>
        <v>-2.2991020000000013</v>
      </c>
      <c r="DD206" s="7">
        <f>IF(107&gt;=28,('Testes estatísticos'!$D$33+'Testes estatísticos'!$D$112)/2,"")</f>
        <v>1.1940689999999989</v>
      </c>
      <c r="DE206" s="7">
        <f>IF(108&gt;=28,('Testes estatísticos'!$D$33+'Testes estatísticos'!$D$113)/2,"")</f>
        <v>-2.2285664999999995</v>
      </c>
      <c r="DF206" s="7">
        <f>IF(109&gt;=28,('Testes estatísticos'!$D$33+'Testes estatísticos'!$D$114)/2,"")</f>
        <v>-2.2648234999999985</v>
      </c>
      <c r="DG206" s="7">
        <f>IF(110&gt;=28,('Testes estatísticos'!$D$33+'Testes estatísticos'!$D$115)/2,"")</f>
        <v>-7.8119630000000022</v>
      </c>
      <c r="DH206" s="7">
        <f>IF(111&gt;=28,('Testes estatísticos'!$D$33+'Testes estatísticos'!$D$116)/2,"")</f>
        <v>-2.1311324999999997</v>
      </c>
      <c r="DI206" s="7">
        <f>IF(112&gt;=28,('Testes estatísticos'!$D$33+'Testes estatísticos'!$D$117)/2,"")</f>
        <v>3.2973074999999987</v>
      </c>
      <c r="DJ206" s="7">
        <f>IF(113&gt;=28,('Testes estatísticos'!$D$33+'Testes estatísticos'!$D$118)/2,"")</f>
        <v>-2.1592495000000014</v>
      </c>
      <c r="DK206" s="7">
        <f>IF(114&gt;=28,('Testes estatísticos'!$D$33+'Testes estatísticos'!$D$119)/2,"")</f>
        <v>-2.2609995000000005</v>
      </c>
      <c r="DL206" s="7">
        <f>IF(115&gt;=28,('Testes estatísticos'!$D$33+'Testes estatísticos'!$D$120)/2,"")</f>
        <v>-2.2145219999999988</v>
      </c>
      <c r="DM206" s="7">
        <f>IF(116&gt;=28,('Testes estatísticos'!$D$33+'Testes estatísticos'!$D$121)/2,"")</f>
        <v>-2.2059195000000003</v>
      </c>
      <c r="DN206" s="7">
        <f>IF(117&gt;=28,('Testes estatísticos'!$D$33+'Testes estatísticos'!$D$122)/2,"")</f>
        <v>-2.1828515000000017</v>
      </c>
      <c r="DO206" s="7">
        <f>IF(118&gt;=28,('Testes estatísticos'!$D$33+'Testes estatísticos'!$D$123)/2,"")</f>
        <v>-2.1329410000000024</v>
      </c>
      <c r="DP206" s="7">
        <f>IF(119&gt;=28,('Testes estatísticos'!$D$33+'Testes estatísticos'!$D$124)/2,"")</f>
        <v>-2.1541525000000021</v>
      </c>
      <c r="DQ206" s="7">
        <f>IF(120&gt;=28,('Testes estatísticos'!$D$33+'Testes estatísticos'!$D$125)/2,"")</f>
        <v>0.89746200000000087</v>
      </c>
      <c r="DR206" s="7">
        <f>IF(121&gt;=28,('Testes estatísticos'!$D$33+'Testes estatísticos'!$D$126)/2,"")</f>
        <v>-1.8915545000000016</v>
      </c>
      <c r="DS206" s="7">
        <f>IF(122&gt;=28,('Testes estatísticos'!$D$33+'Testes estatísticos'!$D$127)/2,"")</f>
        <v>-2.9569629999999982</v>
      </c>
      <c r="DT206" s="7">
        <f>IF(123&gt;=28,('Testes estatísticos'!$D$33+'Testes estatísticos'!$D$128)/2,"")</f>
        <v>3.1119064999999964</v>
      </c>
      <c r="DU206" s="7">
        <f>IF(124&gt;=28,('Testes estatísticos'!$D$33+'Testes estatísticos'!$D$129)/2,"")</f>
        <v>-1.7838650000000023</v>
      </c>
      <c r="DV206" s="7">
        <f>IF(125&gt;=28,('Testes estatísticos'!$D$33+'Testes estatísticos'!$D$130)/2,"")</f>
        <v>-0.62555750000000288</v>
      </c>
      <c r="DW206" s="7">
        <f>IF(126&gt;=28,('Testes estatísticos'!$D$33+'Testes estatísticos'!$D$131)/2,"")</f>
        <v>-3.0290335000000006</v>
      </c>
      <c r="DX206" s="7">
        <f>IF(127&gt;=28,('Testes estatísticos'!$D$33+'Testes estatísticos'!$D$132)/2,"")</f>
        <v>-5.0852250000000012</v>
      </c>
      <c r="DY206" s="7">
        <f>IF(128&gt;=28,('Testes estatísticos'!$D$33+'Testes estatísticos'!$D$133)/2,"")</f>
        <v>-5.4263145000000002</v>
      </c>
      <c r="DZ206" s="7">
        <f>IF(129&gt;=28,('Testes estatísticos'!$D$33+'Testes estatísticos'!$D$134)/2,"")</f>
        <v>-8.8501045000000005</v>
      </c>
      <c r="EA206" s="7">
        <f>IF(130&gt;=28,('Testes estatísticos'!$D$33+'Testes estatísticos'!$D$135)/2,"")</f>
        <v>-3.0883344999999984</v>
      </c>
      <c r="EB206" s="7">
        <f>IF(131&gt;=28,('Testes estatísticos'!$D$33+'Testes estatísticos'!$D$136)/2,"")</f>
        <v>-3.0004615000000037</v>
      </c>
      <c r="EC206" s="7">
        <f>IF(132&gt;=28,('Testes estatísticos'!$D$33+'Testes estatísticos'!$D$137)/2,"")</f>
        <v>-4.4871980000000029</v>
      </c>
      <c r="ED206" s="7">
        <f>IF(133&gt;=28,('Testes estatísticos'!$D$33+'Testes estatísticos'!$D$138)/2,"")</f>
        <v>-2.2982605000000014</v>
      </c>
      <c r="EE206" s="7">
        <f>IF(134&gt;=28,('Testes estatísticos'!$D$33+'Testes estatísticos'!$D$139)/2,"")</f>
        <v>-4.5954510000000042</v>
      </c>
      <c r="EF206" s="7">
        <f>IF(135&gt;=28,('Testes estatísticos'!$D$33+'Testes estatísticos'!$D$140)/2,"")</f>
        <v>-1.3810184999999997</v>
      </c>
      <c r="EG206" s="7">
        <f>IF(136&gt;=28,('Testes estatísticos'!$D$33+'Testes estatísticos'!$D$141)/2,"")</f>
        <v>-3.0745085000000039</v>
      </c>
      <c r="EH206" s="7">
        <f>IF(137&gt;=28,('Testes estatísticos'!$D$33+'Testes estatísticos'!$D$142)/2,"")</f>
        <v>-1.3697685000000028</v>
      </c>
      <c r="EI206" s="7">
        <f>IF(138&gt;=28,('Testes estatísticos'!$D$33+'Testes estatísticos'!$D$143)/2,"")</f>
        <v>-3.0347839999999984</v>
      </c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</row>
    <row r="207" spans="2:151" x14ac:dyDescent="0.3">
      <c r="B207" s="7" t="str">
        <f>IF(1&gt;=29,('Testes estatísticos'!$D$34+'Testes estatísticos'!$D$6)/2,"")</f>
        <v/>
      </c>
      <c r="C207" s="7" t="str">
        <f>IF(2&gt;=29,('Testes estatísticos'!$D$34+'Testes estatísticos'!$D$7)/2,"")</f>
        <v/>
      </c>
      <c r="D207" s="7" t="str">
        <f>IF(3&gt;=29,('Testes estatísticos'!$D$34+'Testes estatísticos'!$D$8)/2,"")</f>
        <v/>
      </c>
      <c r="E207" s="7" t="str">
        <f>IF(4&gt;=29,('Testes estatísticos'!$D$34+'Testes estatísticos'!$D$9)/2,"")</f>
        <v/>
      </c>
      <c r="F207" s="7" t="str">
        <f>IF(5&gt;=29,('Testes estatísticos'!$D$34+'Testes estatísticos'!$D$10)/2,"")</f>
        <v/>
      </c>
      <c r="G207" s="7" t="str">
        <f>IF(6&gt;=29,('Testes estatísticos'!$D$34+'Testes estatísticos'!$D$11)/2,"")</f>
        <v/>
      </c>
      <c r="H207" s="7" t="str">
        <f>IF(7&gt;=29,('Testes estatísticos'!$D$34+'Testes estatísticos'!$D$12)/2,"")</f>
        <v/>
      </c>
      <c r="I207" s="7" t="str">
        <f>IF(8&gt;=29,('Testes estatísticos'!$D$34+'Testes estatísticos'!$D$13)/2,"")</f>
        <v/>
      </c>
      <c r="J207" s="7" t="str">
        <f>IF(9&gt;=29,('Testes estatísticos'!$D$34+'Testes estatísticos'!$D$14)/2,"")</f>
        <v/>
      </c>
      <c r="K207" s="7" t="str">
        <f>IF(10&gt;=29,('Testes estatísticos'!$D$34+'Testes estatísticos'!$D$15)/2,"")</f>
        <v/>
      </c>
      <c r="L207" s="7" t="str">
        <f>IF(11&gt;=29,('Testes estatísticos'!$D$34+'Testes estatísticos'!$D$16)/2,"")</f>
        <v/>
      </c>
      <c r="M207" s="7" t="str">
        <f>IF(12&gt;=29,('Testes estatísticos'!$D$34+'Testes estatísticos'!$D$17)/2,"")</f>
        <v/>
      </c>
      <c r="N207" s="7" t="str">
        <f>IF(13&gt;=29,('Testes estatísticos'!$D$34+'Testes estatísticos'!$D$18)/2,"")</f>
        <v/>
      </c>
      <c r="O207" s="7" t="str">
        <f>IF(14&gt;=29,('Testes estatísticos'!$D$34+'Testes estatísticos'!$D$19)/2,"")</f>
        <v/>
      </c>
      <c r="P207" s="7" t="str">
        <f>IF(15&gt;=29,('Testes estatísticos'!$D$34+'Testes estatísticos'!$D$20)/2,"")</f>
        <v/>
      </c>
      <c r="Q207" s="7" t="str">
        <f>IF(16&gt;=29,('Testes estatísticos'!$D$34+'Testes estatísticos'!$D$21)/2,"")</f>
        <v/>
      </c>
      <c r="R207" s="7" t="str">
        <f>IF(17&gt;=29,('Testes estatísticos'!$D$34+'Testes estatísticos'!$D$22)/2,"")</f>
        <v/>
      </c>
      <c r="S207" s="7" t="str">
        <f>IF(18&gt;=29,('Testes estatísticos'!$D$34+'Testes estatísticos'!$D$23)/2,"")</f>
        <v/>
      </c>
      <c r="T207" s="7" t="str">
        <f>IF(19&gt;=29,('Testes estatísticos'!$D$34+'Testes estatísticos'!$D$24)/2,"")</f>
        <v/>
      </c>
      <c r="U207" s="7" t="str">
        <f>IF(20&gt;=29,('Testes estatísticos'!$D$34+'Testes estatísticos'!$D$25)/2,"")</f>
        <v/>
      </c>
      <c r="V207" s="7" t="str">
        <f>IF(21&gt;=29,('Testes estatísticos'!$D$34+'Testes estatísticos'!$D$26)/2,"")</f>
        <v/>
      </c>
      <c r="W207" s="7" t="str">
        <f>IF(22&gt;=29,('Testes estatísticos'!$D$34+'Testes estatísticos'!$D$27)/2,"")</f>
        <v/>
      </c>
      <c r="X207" s="7" t="str">
        <f>IF(23&gt;=29,('Testes estatísticos'!$D$34+'Testes estatísticos'!$D$28)/2,"")</f>
        <v/>
      </c>
      <c r="Y207" s="7" t="str">
        <f>IF(24&gt;=29,('Testes estatísticos'!$D$34+'Testes estatísticos'!$D$29)/2,"")</f>
        <v/>
      </c>
      <c r="Z207" s="7" t="str">
        <f>IF(25&gt;=29,('Testes estatísticos'!$D$34+'Testes estatísticos'!$D$30)/2,"")</f>
        <v/>
      </c>
      <c r="AA207" s="7" t="str">
        <f>IF(26&gt;=29,('Testes estatísticos'!$D$34+'Testes estatísticos'!$D$31)/2,"")</f>
        <v/>
      </c>
      <c r="AB207" s="7" t="str">
        <f>IF(27&gt;=29,('Testes estatísticos'!$D$34+'Testes estatísticos'!$D$32)/2,"")</f>
        <v/>
      </c>
      <c r="AC207" s="7" t="str">
        <f>IF(28&gt;=29,('Testes estatísticos'!$D$34+'Testes estatísticos'!$D$33)/2,"")</f>
        <v/>
      </c>
      <c r="AD207" s="7">
        <f>IF(29&gt;=29,('Testes estatísticos'!$D$34+'Testes estatísticos'!$D$34)/2,"")</f>
        <v>-0.82472900000000493</v>
      </c>
      <c r="AE207" s="7">
        <f>IF(30&gt;=29,('Testes estatísticos'!$D$34+'Testes estatísticos'!$D$35)/2,"")</f>
        <v>-2.1382750000000037</v>
      </c>
      <c r="AF207" s="7">
        <f>IF(31&gt;=29,('Testes estatísticos'!$D$34+'Testes estatísticos'!$D$36)/2,"")</f>
        <v>-2.4806695000000012</v>
      </c>
      <c r="AG207" s="7">
        <f>IF(32&gt;=29,('Testes estatísticos'!$D$34+'Testes estatísticos'!$D$37)/2,"")</f>
        <v>-1.3770490000000031</v>
      </c>
      <c r="AH207" s="7">
        <f>IF(33&gt;=29,('Testes estatísticos'!$D$34+'Testes estatísticos'!$D$38)/2,"")</f>
        <v>-1.5425885000000044</v>
      </c>
      <c r="AI207" s="7">
        <f>IF(34&gt;=29,('Testes estatísticos'!$D$34+'Testes estatísticos'!$D$39)/2,"")</f>
        <v>1.2739574999999981</v>
      </c>
      <c r="AJ207" s="7">
        <f>IF(35&gt;=29,('Testes estatísticos'!$D$34+'Testes estatísticos'!$D$40)/2,"")</f>
        <v>-1.4675405000000019</v>
      </c>
      <c r="AK207" s="7">
        <f>IF(36&gt;=29,('Testes estatísticos'!$D$34+'Testes estatísticos'!$D$41)/2,"")</f>
        <v>0.80040399999999678</v>
      </c>
      <c r="AL207" s="7">
        <f>IF(37&gt;=29,('Testes estatísticos'!$D$34+'Testes estatísticos'!$D$42)/2,"")</f>
        <v>-1.4781570000000031</v>
      </c>
      <c r="AM207" s="7">
        <f>IF(38&gt;=29,('Testes estatísticos'!$D$34+'Testes estatísticos'!$D$43)/2,"")</f>
        <v>-1.4652975000000019</v>
      </c>
      <c r="AN207" s="7">
        <f>IF(39&gt;=29,('Testes estatísticos'!$D$34+'Testes estatísticos'!$D$44)/2,"")</f>
        <v>-2.6022915000000033</v>
      </c>
      <c r="AO207" s="7">
        <f>IF(40&gt;=29,('Testes estatísticos'!$D$34+'Testes estatísticos'!$D$45)/2,"")</f>
        <v>1.3726349999999954</v>
      </c>
      <c r="AP207" s="7">
        <f>IF(41&gt;=29,('Testes estatísticos'!$D$34+'Testes estatísticos'!$D$46)/2,"")</f>
        <v>-1.1333045000000013</v>
      </c>
      <c r="AQ207" s="7">
        <f>IF(42&gt;=29,('Testes estatísticos'!$D$34+'Testes estatísticos'!$D$47)/2,"")</f>
        <v>9.0544999999977449E-3</v>
      </c>
      <c r="AR207" s="7">
        <f>IF(43&gt;=29,('Testes estatísticos'!$D$34+'Testes estatísticos'!$D$48)/2,"")</f>
        <v>-1.0398595000000022</v>
      </c>
      <c r="AS207" s="7">
        <f>IF(44&gt;=29,('Testes estatísticos'!$D$34+'Testes estatísticos'!$D$49)/2,"")</f>
        <v>-1.5709825000000031</v>
      </c>
      <c r="AT207" s="7">
        <f>IF(45&gt;=29,('Testes estatísticos'!$D$34+'Testes estatísticos'!$D$50)/2,"")</f>
        <v>-0.74190400000000167</v>
      </c>
      <c r="AU207" s="7">
        <f>IF(46&gt;=29,('Testes estatísticos'!$D$34+'Testes estatísticos'!$D$51)/2,"")</f>
        <v>-3.773100000000003</v>
      </c>
      <c r="AV207" s="7">
        <f>IF(47&gt;=29,('Testes estatísticos'!$D$34+'Testes estatísticos'!$D$52)/2,"")</f>
        <v>1.2970729999999975</v>
      </c>
      <c r="AW207" s="7">
        <f>IF(48&gt;=29,('Testes estatísticos'!$D$34+'Testes estatísticos'!$D$53)/2,"")</f>
        <v>-3.1389580000000024</v>
      </c>
      <c r="AX207" s="7">
        <f>IF(49&gt;=29,('Testes estatísticos'!$D$34+'Testes estatísticos'!$D$54)/2,"")</f>
        <v>-1.8791675000000012</v>
      </c>
      <c r="AY207" s="7">
        <f>IF(50&gt;=29,('Testes estatísticos'!$D$34+'Testes estatísticos'!$D$55)/2,"")</f>
        <v>-0.25400300000000087</v>
      </c>
      <c r="AZ207" s="7">
        <f>IF(51&gt;=29,('Testes estatísticos'!$D$34+'Testes estatísticos'!$D$56)/2,"")</f>
        <v>-0.2095335000000027</v>
      </c>
      <c r="BA207" s="7">
        <f>IF(52&gt;=29,('Testes estatísticos'!$D$34+'Testes estatísticos'!$D$57)/2,"")</f>
        <v>-3.6177495000000022</v>
      </c>
      <c r="BB207" s="7">
        <f>IF(53&gt;=29,('Testes estatísticos'!$D$34+'Testes estatísticos'!$D$58)/2,"")</f>
        <v>-0.20898700000000048</v>
      </c>
      <c r="BC207" s="7">
        <f>IF(54&gt;=29,('Testes estatísticos'!$D$34+'Testes estatísticos'!$D$59)/2,"")</f>
        <v>-1.1286295000000024</v>
      </c>
      <c r="BD207" s="7">
        <f>IF(55&gt;=29,('Testes estatísticos'!$D$34+'Testes estatísticos'!$D$60)/2,"")</f>
        <v>1.967041499999997</v>
      </c>
      <c r="BE207" s="7">
        <f>IF(56&gt;=29,('Testes estatísticos'!$D$34+'Testes estatísticos'!$D$61)/2,"")</f>
        <v>-0.66292699999999982</v>
      </c>
      <c r="BF207" s="7">
        <f>IF(57&gt;=29,('Testes estatísticos'!$D$34+'Testes estatísticos'!$D$62)/2,"")</f>
        <v>-4.0631170000000054</v>
      </c>
      <c r="BG207" s="7">
        <f>IF(58&gt;=29,('Testes estatísticos'!$D$34+'Testes estatísticos'!$D$63)/2,"")</f>
        <v>1.2027779999999986</v>
      </c>
      <c r="BH207" s="7">
        <f>IF(59&gt;=29,('Testes estatísticos'!$D$34+'Testes estatísticos'!$D$64)/2,"")</f>
        <v>-4.640834500000004</v>
      </c>
      <c r="BI207" s="7">
        <f>IF(60&gt;=29,('Testes estatísticos'!$D$34+'Testes estatísticos'!$D$65)/2,"")</f>
        <v>-2.8932435000000005</v>
      </c>
      <c r="BJ207" s="7">
        <f>IF(61&gt;=29,('Testes estatísticos'!$D$34+'Testes estatísticos'!$D$66)/2,"")</f>
        <v>-0.25818850000000282</v>
      </c>
      <c r="BK207" s="7">
        <f>IF(62&gt;=29,('Testes estatísticos'!$D$34+'Testes estatísticos'!$D$67)/2,"")</f>
        <v>-0.76698350000000204</v>
      </c>
      <c r="BL207" s="7">
        <f>IF(63&gt;=29,('Testes estatísticos'!$D$34+'Testes estatísticos'!$D$68)/2,"")</f>
        <v>0.13233099999999709</v>
      </c>
      <c r="BM207" s="7">
        <f>IF(64&gt;=29,('Testes estatísticos'!$D$34+'Testes estatísticos'!$D$69)/2,"")</f>
        <v>0.18317299999999648</v>
      </c>
      <c r="BN207" s="7">
        <f>IF(65&gt;=29,('Testes estatísticos'!$D$34+'Testes estatísticos'!$D$70)/2,"")</f>
        <v>-1.9626335000000026</v>
      </c>
      <c r="BO207" s="7">
        <f>IF(66&gt;=29,('Testes estatísticos'!$D$34+'Testes estatísticos'!$D$71)/2,"")</f>
        <v>-1.0667810000000024</v>
      </c>
      <c r="BP207" s="7">
        <f>IF(67&gt;=29,('Testes estatísticos'!$D$34+'Testes estatísticos'!$D$72)/2,"")</f>
        <v>-3.9572400000000023</v>
      </c>
      <c r="BQ207" s="7">
        <f>IF(68&gt;=29,('Testes estatísticos'!$D$34+'Testes estatísticos'!$D$73)/2,"")</f>
        <v>0.70599299999999587</v>
      </c>
      <c r="BR207" s="7">
        <f>IF(69&gt;=29,('Testes estatísticos'!$D$34+'Testes estatísticos'!$D$74)/2,"")</f>
        <v>1.3381749999999961</v>
      </c>
      <c r="BS207" s="7">
        <f>IF(70&gt;=29,('Testes estatísticos'!$D$34+'Testes estatísticos'!$D$75)/2,"")</f>
        <v>0.33371049999999514</v>
      </c>
      <c r="BT207" s="7">
        <f>IF(71&gt;=29,('Testes estatísticos'!$D$34+'Testes estatísticos'!$D$76)/2,"")</f>
        <v>1.9080754999999954</v>
      </c>
      <c r="BU207" s="7">
        <f>IF(72&gt;=29,('Testes estatísticos'!$D$34+'Testes estatísticos'!$D$77)/2,"")</f>
        <v>-3.6916215000000037</v>
      </c>
      <c r="BV207" s="7">
        <f>IF(73&gt;=29,('Testes estatísticos'!$D$34+'Testes estatísticos'!$D$78)/2,"")</f>
        <v>-1.618147000000004</v>
      </c>
      <c r="BW207" s="7">
        <f>IF(74&gt;=29,('Testes estatísticos'!$D$34+'Testes estatísticos'!$D$79)/2,"")</f>
        <v>-2.3014655000000026</v>
      </c>
      <c r="BX207" s="7">
        <f>IF(75&gt;=29,('Testes estatísticos'!$D$34+'Testes estatísticos'!$D$80)/2,"")</f>
        <v>-2.3232435000000038</v>
      </c>
      <c r="BY207" s="7">
        <f>IF(76&gt;=29,('Testes estatísticos'!$D$34+'Testes estatísticos'!$D$81)/2,"")</f>
        <v>1.8082144999999983</v>
      </c>
      <c r="BZ207" s="7">
        <f>IF(77&gt;=29,('Testes estatísticos'!$D$34+'Testes estatísticos'!$D$82)/2,"")</f>
        <v>-3.4533750000000012</v>
      </c>
      <c r="CA207" s="7">
        <f>IF(78&gt;=29,('Testes estatísticos'!$D$34+'Testes estatísticos'!$D$83)/2,"")</f>
        <v>-1.6931159999999998</v>
      </c>
      <c r="CB207" s="7">
        <f>IF(79&gt;=29,('Testes estatísticos'!$D$34+'Testes estatísticos'!$D$84)/2,"")</f>
        <v>-1.6413935000000031</v>
      </c>
      <c r="CC207" s="7">
        <f>IF(80&gt;=29,('Testes estatísticos'!$D$34+'Testes estatísticos'!$D$85)/2,"")</f>
        <v>-3.4484100000000026</v>
      </c>
      <c r="CD207" s="7">
        <f>IF(81&gt;=29,('Testes estatísticos'!$D$34+'Testes estatísticos'!$D$86)/2,"")</f>
        <v>-3.4985550000000032</v>
      </c>
      <c r="CE207" s="7">
        <f>IF(82&gt;=29,('Testes estatísticos'!$D$34+'Testes estatísticos'!$D$87)/2,"")</f>
        <v>-1.4207645000000042</v>
      </c>
      <c r="CF207" s="7">
        <f>IF(83&gt;=29,('Testes estatísticos'!$D$34+'Testes estatísticos'!$D$88)/2,"")</f>
        <v>-1.9495715000000047</v>
      </c>
      <c r="CG207" s="7">
        <f>IF(84&gt;=29,('Testes estatísticos'!$D$34+'Testes estatísticos'!$D$89)/2,"")</f>
        <v>-2.2814785000000022</v>
      </c>
      <c r="CH207" s="7">
        <f>IF(85&gt;=29,('Testes estatísticos'!$D$34+'Testes estatísticos'!$D$90)/2,"")</f>
        <v>-0.4659315000000035</v>
      </c>
      <c r="CI207" s="7">
        <f>IF(86&gt;=29,('Testes estatísticos'!$D$34+'Testes estatísticos'!$D$91)/2,"")</f>
        <v>-3.156091</v>
      </c>
      <c r="CJ207" s="7">
        <f>IF(87&gt;=29,('Testes estatísticos'!$D$34+'Testes estatísticos'!$D$92)/2,"")</f>
        <v>-1.9138845000000018</v>
      </c>
      <c r="CK207" s="7">
        <f>IF(88&gt;=29,('Testes estatísticos'!$D$34+'Testes estatísticos'!$D$93)/2,"")</f>
        <v>-1.6698010000000032</v>
      </c>
      <c r="CL207" s="7">
        <f>IF(89&gt;=29,('Testes estatísticos'!$D$34+'Testes estatísticos'!$D$94)/2,"")</f>
        <v>-2.2813930000000049</v>
      </c>
      <c r="CM207" s="7">
        <f>IF(90&gt;=29,('Testes estatísticos'!$D$34+'Testes estatísticos'!$D$95)/2,"")</f>
        <v>-4.6155250000000017</v>
      </c>
      <c r="CN207" s="7">
        <f>IF(91&gt;=29,('Testes estatísticos'!$D$34+'Testes estatísticos'!$D$96)/2,"")</f>
        <v>-2.0770020000000002</v>
      </c>
      <c r="CO207" s="7">
        <f>IF(92&gt;=29,('Testes estatísticos'!$D$34+'Testes estatísticos'!$D$97)/2,"")</f>
        <v>-2.423505500000001</v>
      </c>
      <c r="CP207" s="7">
        <f>IF(93&gt;=29,('Testes estatísticos'!$D$34+'Testes estatísticos'!$D$98)/2,"")</f>
        <v>-2.6282575000000001</v>
      </c>
      <c r="CQ207" s="7">
        <f>IF(94&gt;=29,('Testes estatísticos'!$D$34+'Testes estatísticos'!$D$99)/2,"")</f>
        <v>-0.44709950000000376</v>
      </c>
      <c r="CR207" s="7">
        <f>IF(95&gt;=29,('Testes estatísticos'!$D$34+'Testes estatísticos'!$D$100)/2,"")</f>
        <v>-2.3528925000000029</v>
      </c>
      <c r="CS207" s="7">
        <f>IF(96&gt;=29,('Testes estatísticos'!$D$34+'Testes estatísticos'!$D$101)/2,"")</f>
        <v>-2.3089055000000052</v>
      </c>
      <c r="CT207" s="7">
        <f>IF(97&gt;=29,('Testes estatísticos'!$D$34+'Testes estatísticos'!$D$102)/2,"")</f>
        <v>-2.0758550000000042</v>
      </c>
      <c r="CU207" s="7">
        <f>IF(98&gt;=29,('Testes estatísticos'!$D$34+'Testes estatísticos'!$D$103)/2,"")</f>
        <v>-2.0185290000000009</v>
      </c>
      <c r="CV207" s="7">
        <f>IF(99&gt;=29,('Testes estatísticos'!$D$34+'Testes estatísticos'!$D$104)/2,"")</f>
        <v>-2.453355000000002</v>
      </c>
      <c r="CW207" s="7">
        <f>IF(100&gt;=29,('Testes estatísticos'!$D$34+'Testes estatísticos'!$D$105)/2,"")</f>
        <v>-2.5528210000000016</v>
      </c>
      <c r="CX207" s="7">
        <f>IF(101&gt;=29,('Testes estatísticos'!$D$34+'Testes estatísticos'!$D$106)/2,"")</f>
        <v>-2.029894500000001</v>
      </c>
      <c r="CY207" s="7">
        <f>IF(102&gt;=29,('Testes estatísticos'!$D$34+'Testes estatísticos'!$D$107)/2,"")</f>
        <v>-2.0855595000000022</v>
      </c>
      <c r="CZ207" s="7">
        <f>IF(103&gt;=29,('Testes estatísticos'!$D$34+'Testes estatísticos'!$D$108)/2,"")</f>
        <v>-2.609726000000002</v>
      </c>
      <c r="DA207" s="7">
        <f>IF(104&gt;=29,('Testes estatísticos'!$D$34+'Testes estatísticos'!$D$109)/2,"")</f>
        <v>-2.347092</v>
      </c>
      <c r="DB207" s="7">
        <f>IF(105&gt;=29,('Testes estatísticos'!$D$34+'Testes estatísticos'!$D$110)/2,"")</f>
        <v>-2.3127610000000018</v>
      </c>
      <c r="DC207" s="7">
        <f>IF(106&gt;=29,('Testes estatísticos'!$D$34+'Testes estatísticos'!$D$111)/2,"")</f>
        <v>-1.5698400000000028</v>
      </c>
      <c r="DD207" s="7">
        <f>IF(107&gt;=29,('Testes estatísticos'!$D$34+'Testes estatísticos'!$D$112)/2,"")</f>
        <v>1.9233309999999975</v>
      </c>
      <c r="DE207" s="7">
        <f>IF(108&gt;=29,('Testes estatísticos'!$D$34+'Testes estatísticos'!$D$113)/2,"")</f>
        <v>-1.4993045000000009</v>
      </c>
      <c r="DF207" s="7">
        <f>IF(109&gt;=29,('Testes estatísticos'!$D$34+'Testes estatísticos'!$D$114)/2,"")</f>
        <v>-1.5355615</v>
      </c>
      <c r="DG207" s="7">
        <f>IF(110&gt;=29,('Testes estatísticos'!$D$34+'Testes estatísticos'!$D$115)/2,"")</f>
        <v>-7.0827010000000037</v>
      </c>
      <c r="DH207" s="7">
        <f>IF(111&gt;=29,('Testes estatísticos'!$D$34+'Testes estatísticos'!$D$116)/2,"")</f>
        <v>-1.4018705000000011</v>
      </c>
      <c r="DI207" s="7">
        <f>IF(112&gt;=29,('Testes estatísticos'!$D$34+'Testes estatísticos'!$D$117)/2,"")</f>
        <v>4.0265694999999972</v>
      </c>
      <c r="DJ207" s="7">
        <f>IF(113&gt;=29,('Testes estatísticos'!$D$34+'Testes estatísticos'!$D$118)/2,"")</f>
        <v>-1.4299875000000029</v>
      </c>
      <c r="DK207" s="7">
        <f>IF(114&gt;=29,('Testes estatísticos'!$D$34+'Testes estatísticos'!$D$119)/2,"")</f>
        <v>-1.531737500000002</v>
      </c>
      <c r="DL207" s="7">
        <f>IF(115&gt;=29,('Testes estatísticos'!$D$34+'Testes estatísticos'!$D$120)/2,"")</f>
        <v>-1.4852600000000002</v>
      </c>
      <c r="DM207" s="7">
        <f>IF(116&gt;=29,('Testes estatísticos'!$D$34+'Testes estatísticos'!$D$121)/2,"")</f>
        <v>-1.4766575000000017</v>
      </c>
      <c r="DN207" s="7">
        <f>IF(117&gt;=29,('Testes estatísticos'!$D$34+'Testes estatísticos'!$D$122)/2,"")</f>
        <v>-1.4535895000000032</v>
      </c>
      <c r="DO207" s="7">
        <f>IF(118&gt;=29,('Testes estatísticos'!$D$34+'Testes estatísticos'!$D$123)/2,"")</f>
        <v>-1.4036790000000039</v>
      </c>
      <c r="DP207" s="7">
        <f>IF(119&gt;=29,('Testes estatísticos'!$D$34+'Testes estatísticos'!$D$124)/2,"")</f>
        <v>-1.4248905000000036</v>
      </c>
      <c r="DQ207" s="7">
        <f>IF(120&gt;=29,('Testes estatísticos'!$D$34+'Testes estatísticos'!$D$125)/2,"")</f>
        <v>1.6267239999999994</v>
      </c>
      <c r="DR207" s="7">
        <f>IF(121&gt;=29,('Testes estatísticos'!$D$34+'Testes estatísticos'!$D$126)/2,"")</f>
        <v>-1.1622925000000031</v>
      </c>
      <c r="DS207" s="7">
        <f>IF(122&gt;=29,('Testes estatísticos'!$D$34+'Testes estatísticos'!$D$127)/2,"")</f>
        <v>-2.2277009999999997</v>
      </c>
      <c r="DT207" s="7">
        <f>IF(123&gt;=29,('Testes estatísticos'!$D$34+'Testes estatísticos'!$D$128)/2,"")</f>
        <v>3.8411684999999949</v>
      </c>
      <c r="DU207" s="7">
        <f>IF(124&gt;=29,('Testes estatísticos'!$D$34+'Testes estatísticos'!$D$129)/2,"")</f>
        <v>-1.0546030000000037</v>
      </c>
      <c r="DV207" s="7">
        <f>IF(125&gt;=29,('Testes estatísticos'!$D$34+'Testes estatísticos'!$D$130)/2,"")</f>
        <v>0.10370449999999565</v>
      </c>
      <c r="DW207" s="7">
        <f>IF(126&gt;=29,('Testes estatísticos'!$D$34+'Testes estatísticos'!$D$131)/2,"")</f>
        <v>-2.2997715000000021</v>
      </c>
      <c r="DX207" s="7">
        <f>IF(127&gt;=29,('Testes estatísticos'!$D$34+'Testes estatísticos'!$D$132)/2,"")</f>
        <v>-4.3559630000000027</v>
      </c>
      <c r="DY207" s="7">
        <f>IF(128&gt;=29,('Testes estatísticos'!$D$34+'Testes estatísticos'!$D$133)/2,"")</f>
        <v>-4.6970525000000016</v>
      </c>
      <c r="DZ207" s="7">
        <f>IF(129&gt;=29,('Testes estatísticos'!$D$34+'Testes estatísticos'!$D$134)/2,"")</f>
        <v>-8.120842500000002</v>
      </c>
      <c r="EA207" s="7">
        <f>IF(130&gt;=29,('Testes estatísticos'!$D$34+'Testes estatísticos'!$D$135)/2,"")</f>
        <v>-2.3590724999999999</v>
      </c>
      <c r="EB207" s="7">
        <f>IF(131&gt;=29,('Testes estatísticos'!$D$34+'Testes estatísticos'!$D$136)/2,"")</f>
        <v>-2.2711995000000051</v>
      </c>
      <c r="EC207" s="7">
        <f>IF(132&gt;=29,('Testes estatísticos'!$D$34+'Testes estatísticos'!$D$137)/2,"")</f>
        <v>-3.7579360000000044</v>
      </c>
      <c r="ED207" s="7">
        <f>IF(133&gt;=29,('Testes estatísticos'!$D$34+'Testes estatísticos'!$D$138)/2,"")</f>
        <v>-1.5689985000000028</v>
      </c>
      <c r="EE207" s="7">
        <f>IF(134&gt;=29,('Testes estatísticos'!$D$34+'Testes estatísticos'!$D$139)/2,"")</f>
        <v>-3.8661890000000056</v>
      </c>
      <c r="EF207" s="7">
        <f>IF(135&gt;=29,('Testes estatísticos'!$D$34+'Testes estatísticos'!$D$140)/2,"")</f>
        <v>-0.65175650000000118</v>
      </c>
      <c r="EG207" s="7">
        <f>IF(136&gt;=29,('Testes estatísticos'!$D$34+'Testes estatísticos'!$D$141)/2,"")</f>
        <v>-2.3452465000000053</v>
      </c>
      <c r="EH207" s="7">
        <f>IF(137&gt;=29,('Testes estatísticos'!$D$34+'Testes estatísticos'!$D$142)/2,"")</f>
        <v>-0.64050650000000431</v>
      </c>
      <c r="EI207" s="7">
        <f>IF(138&gt;=29,('Testes estatísticos'!$D$34+'Testes estatísticos'!$D$143)/2,"")</f>
        <v>-2.3055219999999998</v>
      </c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</row>
    <row r="208" spans="2:151" x14ac:dyDescent="0.3">
      <c r="B208" s="7" t="str">
        <f>IF(1&gt;=30,('Testes estatísticos'!$D$35+'Testes estatísticos'!$D$6)/2,"")</f>
        <v/>
      </c>
      <c r="C208" s="7" t="str">
        <f>IF(2&gt;=30,('Testes estatísticos'!$D$35+'Testes estatísticos'!$D$7)/2,"")</f>
        <v/>
      </c>
      <c r="D208" s="7" t="str">
        <f>IF(3&gt;=30,('Testes estatísticos'!$D$35+'Testes estatísticos'!$D$8)/2,"")</f>
        <v/>
      </c>
      <c r="E208" s="7" t="str">
        <f>IF(4&gt;=30,('Testes estatísticos'!$D$35+'Testes estatísticos'!$D$9)/2,"")</f>
        <v/>
      </c>
      <c r="F208" s="7" t="str">
        <f>IF(5&gt;=30,('Testes estatísticos'!$D$35+'Testes estatísticos'!$D$10)/2,"")</f>
        <v/>
      </c>
      <c r="G208" s="7" t="str">
        <f>IF(6&gt;=30,('Testes estatísticos'!$D$35+'Testes estatísticos'!$D$11)/2,"")</f>
        <v/>
      </c>
      <c r="H208" s="7" t="str">
        <f>IF(7&gt;=30,('Testes estatísticos'!$D$35+'Testes estatísticos'!$D$12)/2,"")</f>
        <v/>
      </c>
      <c r="I208" s="7" t="str">
        <f>IF(8&gt;=30,('Testes estatísticos'!$D$35+'Testes estatísticos'!$D$13)/2,"")</f>
        <v/>
      </c>
      <c r="J208" s="7" t="str">
        <f>IF(9&gt;=30,('Testes estatísticos'!$D$35+'Testes estatísticos'!$D$14)/2,"")</f>
        <v/>
      </c>
      <c r="K208" s="7" t="str">
        <f>IF(10&gt;=30,('Testes estatísticos'!$D$35+'Testes estatísticos'!$D$15)/2,"")</f>
        <v/>
      </c>
      <c r="L208" s="7" t="str">
        <f>IF(11&gt;=30,('Testes estatísticos'!$D$35+'Testes estatísticos'!$D$16)/2,"")</f>
        <v/>
      </c>
      <c r="M208" s="7" t="str">
        <f>IF(12&gt;=30,('Testes estatísticos'!$D$35+'Testes estatísticos'!$D$17)/2,"")</f>
        <v/>
      </c>
      <c r="N208" s="7" t="str">
        <f>IF(13&gt;=30,('Testes estatísticos'!$D$35+'Testes estatísticos'!$D$18)/2,"")</f>
        <v/>
      </c>
      <c r="O208" s="7" t="str">
        <f>IF(14&gt;=30,('Testes estatísticos'!$D$35+'Testes estatísticos'!$D$19)/2,"")</f>
        <v/>
      </c>
      <c r="P208" s="7" t="str">
        <f>IF(15&gt;=30,('Testes estatísticos'!$D$35+'Testes estatísticos'!$D$20)/2,"")</f>
        <v/>
      </c>
      <c r="Q208" s="7" t="str">
        <f>IF(16&gt;=30,('Testes estatísticos'!$D$35+'Testes estatísticos'!$D$21)/2,"")</f>
        <v/>
      </c>
      <c r="R208" s="7" t="str">
        <f>IF(17&gt;=30,('Testes estatísticos'!$D$35+'Testes estatísticos'!$D$22)/2,"")</f>
        <v/>
      </c>
      <c r="S208" s="7" t="str">
        <f>IF(18&gt;=30,('Testes estatísticos'!$D$35+'Testes estatísticos'!$D$23)/2,"")</f>
        <v/>
      </c>
      <c r="T208" s="7" t="str">
        <f>IF(19&gt;=30,('Testes estatísticos'!$D$35+'Testes estatísticos'!$D$24)/2,"")</f>
        <v/>
      </c>
      <c r="U208" s="7" t="str">
        <f>IF(20&gt;=30,('Testes estatísticos'!$D$35+'Testes estatísticos'!$D$25)/2,"")</f>
        <v/>
      </c>
      <c r="V208" s="7" t="str">
        <f>IF(21&gt;=30,('Testes estatísticos'!$D$35+'Testes estatísticos'!$D$26)/2,"")</f>
        <v/>
      </c>
      <c r="W208" s="7" t="str">
        <f>IF(22&gt;=30,('Testes estatísticos'!$D$35+'Testes estatísticos'!$D$27)/2,"")</f>
        <v/>
      </c>
      <c r="X208" s="7" t="str">
        <f>IF(23&gt;=30,('Testes estatísticos'!$D$35+'Testes estatísticos'!$D$28)/2,"")</f>
        <v/>
      </c>
      <c r="Y208" s="7" t="str">
        <f>IF(24&gt;=30,('Testes estatísticos'!$D$35+'Testes estatísticos'!$D$29)/2,"")</f>
        <v/>
      </c>
      <c r="Z208" s="7" t="str">
        <f>IF(25&gt;=30,('Testes estatísticos'!$D$35+'Testes estatísticos'!$D$30)/2,"")</f>
        <v/>
      </c>
      <c r="AA208" s="7" t="str">
        <f>IF(26&gt;=30,('Testes estatísticos'!$D$35+'Testes estatísticos'!$D$31)/2,"")</f>
        <v/>
      </c>
      <c r="AB208" s="7" t="str">
        <f>IF(27&gt;=30,('Testes estatísticos'!$D$35+'Testes estatísticos'!$D$32)/2,"")</f>
        <v/>
      </c>
      <c r="AC208" s="7" t="str">
        <f>IF(28&gt;=30,('Testes estatísticos'!$D$35+'Testes estatísticos'!$D$33)/2,"")</f>
        <v/>
      </c>
      <c r="AD208" s="7" t="str">
        <f>IF(29&gt;=30,('Testes estatísticos'!$D$35+'Testes estatísticos'!$D$34)/2,"")</f>
        <v/>
      </c>
      <c r="AE208" s="7">
        <f>IF(30&gt;=30,('Testes estatísticos'!$D$35+'Testes estatísticos'!$D$35)/2,"")</f>
        <v>-3.4518210000000025</v>
      </c>
      <c r="AF208" s="7">
        <f>IF(31&gt;=30,('Testes estatísticos'!$D$35+'Testes estatísticos'!$D$36)/2,"")</f>
        <v>-3.7942155</v>
      </c>
      <c r="AG208" s="7">
        <f>IF(32&gt;=30,('Testes estatísticos'!$D$35+'Testes estatísticos'!$D$37)/2,"")</f>
        <v>-2.6905950000000018</v>
      </c>
      <c r="AH208" s="7">
        <f>IF(33&gt;=30,('Testes estatísticos'!$D$35+'Testes estatísticos'!$D$38)/2,"")</f>
        <v>-2.8561345000000031</v>
      </c>
      <c r="AI208" s="7">
        <f>IF(34&gt;=30,('Testes estatísticos'!$D$35+'Testes estatísticos'!$D$39)/2,"")</f>
        <v>-3.9588500000000693E-2</v>
      </c>
      <c r="AJ208" s="7">
        <f>IF(35&gt;=30,('Testes estatísticos'!$D$35+'Testes estatísticos'!$D$40)/2,"")</f>
        <v>-2.7810865000000007</v>
      </c>
      <c r="AK208" s="7">
        <f>IF(36&gt;=30,('Testes estatísticos'!$D$35+'Testes estatísticos'!$D$41)/2,"")</f>
        <v>-0.51314200000000199</v>
      </c>
      <c r="AL208" s="7">
        <f>IF(37&gt;=30,('Testes estatísticos'!$D$35+'Testes estatísticos'!$D$42)/2,"")</f>
        <v>-2.7917030000000018</v>
      </c>
      <c r="AM208" s="7">
        <f>IF(38&gt;=30,('Testes estatísticos'!$D$35+'Testes estatísticos'!$D$43)/2,"")</f>
        <v>-2.7788435000000007</v>
      </c>
      <c r="AN208" s="7">
        <f>IF(39&gt;=30,('Testes estatísticos'!$D$35+'Testes estatísticos'!$D$44)/2,"")</f>
        <v>-3.9158375000000021</v>
      </c>
      <c r="AO208" s="7">
        <f>IF(40&gt;=30,('Testes estatísticos'!$D$35+'Testes estatísticos'!$D$45)/2,"")</f>
        <v>5.9088999999996616E-2</v>
      </c>
      <c r="AP208" s="7">
        <f>IF(41&gt;=30,('Testes estatísticos'!$D$35+'Testes estatísticos'!$D$46)/2,"")</f>
        <v>-2.4468505</v>
      </c>
      <c r="AQ208" s="7">
        <f>IF(42&gt;=30,('Testes estatísticos'!$D$35+'Testes estatísticos'!$D$47)/2,"")</f>
        <v>-1.304491500000001</v>
      </c>
      <c r="AR208" s="7">
        <f>IF(43&gt;=30,('Testes estatísticos'!$D$35+'Testes estatísticos'!$D$48)/2,"")</f>
        <v>-2.3534055000000009</v>
      </c>
      <c r="AS208" s="7">
        <f>IF(44&gt;=30,('Testes estatísticos'!$D$35+'Testes estatísticos'!$D$49)/2,"")</f>
        <v>-2.8845285000000018</v>
      </c>
      <c r="AT208" s="7">
        <f>IF(45&gt;=30,('Testes estatísticos'!$D$35+'Testes estatísticos'!$D$50)/2,"")</f>
        <v>-2.0554500000000004</v>
      </c>
      <c r="AU208" s="7">
        <f>IF(46&gt;=30,('Testes estatísticos'!$D$35+'Testes estatísticos'!$D$51)/2,"")</f>
        <v>-5.0866460000000018</v>
      </c>
      <c r="AV208" s="7">
        <f>IF(47&gt;=30,('Testes estatísticos'!$D$35+'Testes estatísticos'!$D$52)/2,"")</f>
        <v>-1.6473000000001292E-2</v>
      </c>
      <c r="AW208" s="7">
        <f>IF(48&gt;=30,('Testes estatísticos'!$D$35+'Testes estatísticos'!$D$53)/2,"")</f>
        <v>-4.4525040000000011</v>
      </c>
      <c r="AX208" s="7">
        <f>IF(49&gt;=30,('Testes estatísticos'!$D$35+'Testes estatísticos'!$D$54)/2,"")</f>
        <v>-3.1927135</v>
      </c>
      <c r="AY208" s="7">
        <f>IF(50&gt;=30,('Testes estatísticos'!$D$35+'Testes estatísticos'!$D$55)/2,"")</f>
        <v>-1.5675489999999996</v>
      </c>
      <c r="AZ208" s="7">
        <f>IF(51&gt;=30,('Testes estatísticos'!$D$35+'Testes estatísticos'!$D$56)/2,"")</f>
        <v>-1.5230795000000015</v>
      </c>
      <c r="BA208" s="7">
        <f>IF(52&gt;=30,('Testes estatísticos'!$D$35+'Testes estatísticos'!$D$57)/2,"")</f>
        <v>-4.9312955000000009</v>
      </c>
      <c r="BB208" s="7">
        <f>IF(53&gt;=30,('Testes estatísticos'!$D$35+'Testes estatísticos'!$D$58)/2,"")</f>
        <v>-1.5225329999999992</v>
      </c>
      <c r="BC208" s="7">
        <f>IF(54&gt;=30,('Testes estatísticos'!$D$35+'Testes estatísticos'!$D$59)/2,"")</f>
        <v>-2.4421755000000012</v>
      </c>
      <c r="BD208" s="7">
        <f>IF(55&gt;=30,('Testes estatísticos'!$D$35+'Testes estatísticos'!$D$60)/2,"")</f>
        <v>0.65349549999999823</v>
      </c>
      <c r="BE208" s="7">
        <f>IF(56&gt;=30,('Testes estatísticos'!$D$35+'Testes estatísticos'!$D$61)/2,"")</f>
        <v>-1.9764729999999986</v>
      </c>
      <c r="BF208" s="7">
        <f>IF(57&gt;=30,('Testes estatísticos'!$D$35+'Testes estatísticos'!$D$62)/2,"")</f>
        <v>-5.3766630000000042</v>
      </c>
      <c r="BG208" s="7">
        <f>IF(58&gt;=30,('Testes estatísticos'!$D$35+'Testes estatísticos'!$D$63)/2,"")</f>
        <v>-0.1107680000000002</v>
      </c>
      <c r="BH208" s="7">
        <f>IF(59&gt;=30,('Testes estatísticos'!$D$35+'Testes estatísticos'!$D$64)/2,"")</f>
        <v>-5.9543805000000027</v>
      </c>
      <c r="BI208" s="7">
        <f>IF(60&gt;=30,('Testes estatísticos'!$D$35+'Testes estatísticos'!$D$65)/2,"")</f>
        <v>-4.2067894999999993</v>
      </c>
      <c r="BJ208" s="7">
        <f>IF(61&gt;=30,('Testes estatísticos'!$D$35+'Testes estatísticos'!$D$66)/2,"")</f>
        <v>-1.5717345000000016</v>
      </c>
      <c r="BK208" s="7">
        <f>IF(62&gt;=30,('Testes estatísticos'!$D$35+'Testes estatísticos'!$D$67)/2,"")</f>
        <v>-2.0805295000000008</v>
      </c>
      <c r="BL208" s="7">
        <f>IF(63&gt;=30,('Testes estatísticos'!$D$35+'Testes estatísticos'!$D$68)/2,"")</f>
        <v>-1.1812150000000017</v>
      </c>
      <c r="BM208" s="7">
        <f>IF(64&gt;=30,('Testes estatísticos'!$D$35+'Testes estatísticos'!$D$69)/2,"")</f>
        <v>-1.1303730000000023</v>
      </c>
      <c r="BN208" s="7">
        <f>IF(65&gt;=30,('Testes estatísticos'!$D$35+'Testes estatísticos'!$D$70)/2,"")</f>
        <v>-3.2761795000000014</v>
      </c>
      <c r="BO208" s="7">
        <f>IF(66&gt;=30,('Testes estatísticos'!$D$35+'Testes estatísticos'!$D$71)/2,"")</f>
        <v>-2.3803270000000012</v>
      </c>
      <c r="BP208" s="7">
        <f>IF(67&gt;=30,('Testes estatísticos'!$D$35+'Testes estatísticos'!$D$72)/2,"")</f>
        <v>-5.2707860000000011</v>
      </c>
      <c r="BQ208" s="7">
        <f>IF(68&gt;=30,('Testes estatísticos'!$D$35+'Testes estatísticos'!$D$73)/2,"")</f>
        <v>-0.6075530000000029</v>
      </c>
      <c r="BR208" s="7">
        <f>IF(69&gt;=30,('Testes estatísticos'!$D$35+'Testes estatísticos'!$D$74)/2,"")</f>
        <v>2.4628999999997347E-2</v>
      </c>
      <c r="BS208" s="7">
        <f>IF(70&gt;=30,('Testes estatísticos'!$D$35+'Testes estatísticos'!$D$75)/2,"")</f>
        <v>-0.97983550000000363</v>
      </c>
      <c r="BT208" s="7">
        <f>IF(71&gt;=30,('Testes estatísticos'!$D$35+'Testes estatísticos'!$D$76)/2,"")</f>
        <v>0.5945294999999966</v>
      </c>
      <c r="BU208" s="7">
        <f>IF(72&gt;=30,('Testes estatísticos'!$D$35+'Testes estatísticos'!$D$77)/2,"")</f>
        <v>-5.0051675000000024</v>
      </c>
      <c r="BV208" s="7">
        <f>IF(73&gt;=30,('Testes estatísticos'!$D$35+'Testes estatísticos'!$D$78)/2,"")</f>
        <v>-2.9316930000000028</v>
      </c>
      <c r="BW208" s="7">
        <f>IF(74&gt;=30,('Testes estatísticos'!$D$35+'Testes estatísticos'!$D$79)/2,"")</f>
        <v>-3.6150115000000014</v>
      </c>
      <c r="BX208" s="7">
        <f>IF(75&gt;=30,('Testes estatísticos'!$D$35+'Testes estatísticos'!$D$80)/2,"")</f>
        <v>-3.6367895000000026</v>
      </c>
      <c r="BY208" s="7">
        <f>IF(76&gt;=30,('Testes estatísticos'!$D$35+'Testes estatísticos'!$D$81)/2,"")</f>
        <v>0.49466849999999951</v>
      </c>
      <c r="BZ208" s="7">
        <f>IF(77&gt;=30,('Testes estatísticos'!$D$35+'Testes estatísticos'!$D$82)/2,"")</f>
        <v>-4.766921</v>
      </c>
      <c r="CA208" s="7">
        <f>IF(78&gt;=30,('Testes estatísticos'!$D$35+'Testes estatísticos'!$D$83)/2,"")</f>
        <v>-3.0066619999999986</v>
      </c>
      <c r="CB208" s="7">
        <f>IF(79&gt;=30,('Testes estatísticos'!$D$35+'Testes estatísticos'!$D$84)/2,"")</f>
        <v>-2.9549395000000018</v>
      </c>
      <c r="CC208" s="7">
        <f>IF(80&gt;=30,('Testes estatísticos'!$D$35+'Testes estatísticos'!$D$85)/2,"")</f>
        <v>-4.7619560000000014</v>
      </c>
      <c r="CD208" s="7">
        <f>IF(81&gt;=30,('Testes estatísticos'!$D$35+'Testes estatísticos'!$D$86)/2,"")</f>
        <v>-4.812101000000002</v>
      </c>
      <c r="CE208" s="7">
        <f>IF(82&gt;=30,('Testes estatísticos'!$D$35+'Testes estatísticos'!$D$87)/2,"")</f>
        <v>-2.734310500000003</v>
      </c>
      <c r="CF208" s="7">
        <f>IF(83&gt;=30,('Testes estatísticos'!$D$35+'Testes estatísticos'!$D$88)/2,"")</f>
        <v>-3.2631175000000034</v>
      </c>
      <c r="CG208" s="7">
        <f>IF(84&gt;=30,('Testes estatísticos'!$D$35+'Testes estatísticos'!$D$89)/2,"")</f>
        <v>-3.595024500000001</v>
      </c>
      <c r="CH208" s="7">
        <f>IF(85&gt;=30,('Testes estatísticos'!$D$35+'Testes estatísticos'!$D$90)/2,"")</f>
        <v>-1.7794775000000023</v>
      </c>
      <c r="CI208" s="7">
        <f>IF(86&gt;=30,('Testes estatísticos'!$D$35+'Testes estatísticos'!$D$91)/2,"")</f>
        <v>-4.4696369999999987</v>
      </c>
      <c r="CJ208" s="7">
        <f>IF(87&gt;=30,('Testes estatísticos'!$D$35+'Testes estatísticos'!$D$92)/2,"")</f>
        <v>-3.2274305000000005</v>
      </c>
      <c r="CK208" s="7">
        <f>IF(88&gt;=30,('Testes estatísticos'!$D$35+'Testes estatísticos'!$D$93)/2,"")</f>
        <v>-2.983347000000002</v>
      </c>
      <c r="CL208" s="7">
        <f>IF(89&gt;=30,('Testes estatísticos'!$D$35+'Testes estatísticos'!$D$94)/2,"")</f>
        <v>-3.5949390000000037</v>
      </c>
      <c r="CM208" s="7">
        <f>IF(90&gt;=30,('Testes estatísticos'!$D$35+'Testes estatísticos'!$D$95)/2,"")</f>
        <v>-5.9290710000000004</v>
      </c>
      <c r="CN208" s="7">
        <f>IF(91&gt;=30,('Testes estatísticos'!$D$35+'Testes estatísticos'!$D$96)/2,"")</f>
        <v>-3.390547999999999</v>
      </c>
      <c r="CO208" s="7">
        <f>IF(92&gt;=30,('Testes estatísticos'!$D$35+'Testes estatísticos'!$D$97)/2,"")</f>
        <v>-3.7370514999999997</v>
      </c>
      <c r="CP208" s="7">
        <f>IF(93&gt;=30,('Testes estatísticos'!$D$35+'Testes estatísticos'!$D$98)/2,"")</f>
        <v>-3.9418034999999989</v>
      </c>
      <c r="CQ208" s="7">
        <f>IF(94&gt;=30,('Testes estatísticos'!$D$35+'Testes estatísticos'!$D$99)/2,"")</f>
        <v>-1.7606455000000025</v>
      </c>
      <c r="CR208" s="7">
        <f>IF(95&gt;=30,('Testes estatísticos'!$D$35+'Testes estatísticos'!$D$100)/2,"")</f>
        <v>-3.6664385000000017</v>
      </c>
      <c r="CS208" s="7">
        <f>IF(96&gt;=30,('Testes estatísticos'!$D$35+'Testes estatísticos'!$D$101)/2,"")</f>
        <v>-3.6224515000000039</v>
      </c>
      <c r="CT208" s="7">
        <f>IF(97&gt;=30,('Testes estatísticos'!$D$35+'Testes estatísticos'!$D$102)/2,"")</f>
        <v>-3.389401000000003</v>
      </c>
      <c r="CU208" s="7">
        <f>IF(98&gt;=30,('Testes estatísticos'!$D$35+'Testes estatísticos'!$D$103)/2,"")</f>
        <v>-3.3320749999999997</v>
      </c>
      <c r="CV208" s="7">
        <f>IF(99&gt;=30,('Testes estatísticos'!$D$35+'Testes estatísticos'!$D$104)/2,"")</f>
        <v>-3.7669010000000007</v>
      </c>
      <c r="CW208" s="7">
        <f>IF(100&gt;=30,('Testes estatísticos'!$D$35+'Testes estatísticos'!$D$105)/2,"")</f>
        <v>-3.8663670000000003</v>
      </c>
      <c r="CX208" s="7">
        <f>IF(101&gt;=30,('Testes estatísticos'!$D$35+'Testes estatísticos'!$D$106)/2,"")</f>
        <v>-3.3434404999999998</v>
      </c>
      <c r="CY208" s="7">
        <f>IF(102&gt;=30,('Testes estatísticos'!$D$35+'Testes estatísticos'!$D$107)/2,"")</f>
        <v>-3.399105500000001</v>
      </c>
      <c r="CZ208" s="7">
        <f>IF(103&gt;=30,('Testes estatísticos'!$D$35+'Testes estatísticos'!$D$108)/2,"")</f>
        <v>-3.9232720000000008</v>
      </c>
      <c r="DA208" s="7">
        <f>IF(104&gt;=30,('Testes estatísticos'!$D$35+'Testes estatísticos'!$D$109)/2,"")</f>
        <v>-3.6606379999999987</v>
      </c>
      <c r="DB208" s="7">
        <f>IF(105&gt;=30,('Testes estatísticos'!$D$35+'Testes estatísticos'!$D$110)/2,"")</f>
        <v>-3.6263070000000006</v>
      </c>
      <c r="DC208" s="7">
        <f>IF(106&gt;=30,('Testes estatísticos'!$D$35+'Testes estatísticos'!$D$111)/2,"")</f>
        <v>-2.8833860000000016</v>
      </c>
      <c r="DD208" s="7">
        <f>IF(107&gt;=30,('Testes estatísticos'!$D$35+'Testes estatísticos'!$D$112)/2,"")</f>
        <v>0.60978499999999869</v>
      </c>
      <c r="DE208" s="7">
        <f>IF(108&gt;=30,('Testes estatísticos'!$D$35+'Testes estatísticos'!$D$113)/2,"")</f>
        <v>-2.8128504999999997</v>
      </c>
      <c r="DF208" s="7">
        <f>IF(109&gt;=30,('Testes estatísticos'!$D$35+'Testes estatísticos'!$D$114)/2,"")</f>
        <v>-2.8491074999999988</v>
      </c>
      <c r="DG208" s="7">
        <f>IF(110&gt;=30,('Testes estatísticos'!$D$35+'Testes estatísticos'!$D$115)/2,"")</f>
        <v>-8.3962470000000025</v>
      </c>
      <c r="DH208" s="7">
        <f>IF(111&gt;=30,('Testes estatísticos'!$D$35+'Testes estatísticos'!$D$116)/2,"")</f>
        <v>-2.7154164999999999</v>
      </c>
      <c r="DI208" s="7">
        <f>IF(112&gt;=30,('Testes estatísticos'!$D$35+'Testes estatísticos'!$D$117)/2,"")</f>
        <v>2.7130234999999985</v>
      </c>
      <c r="DJ208" s="7">
        <f>IF(113&gt;=30,('Testes estatísticos'!$D$35+'Testes estatísticos'!$D$118)/2,"")</f>
        <v>-2.7435335000000016</v>
      </c>
      <c r="DK208" s="7">
        <f>IF(114&gt;=30,('Testes estatísticos'!$D$35+'Testes estatísticos'!$D$119)/2,"")</f>
        <v>-2.8452835000000007</v>
      </c>
      <c r="DL208" s="7">
        <f>IF(115&gt;=30,('Testes estatísticos'!$D$35+'Testes estatísticos'!$D$120)/2,"")</f>
        <v>-2.798805999999999</v>
      </c>
      <c r="DM208" s="7">
        <f>IF(116&gt;=30,('Testes estatísticos'!$D$35+'Testes estatísticos'!$D$121)/2,"")</f>
        <v>-2.7902035000000005</v>
      </c>
      <c r="DN208" s="7">
        <f>IF(117&gt;=30,('Testes estatísticos'!$D$35+'Testes estatísticos'!$D$122)/2,"")</f>
        <v>-2.767135500000002</v>
      </c>
      <c r="DO208" s="7">
        <f>IF(118&gt;=30,('Testes estatísticos'!$D$35+'Testes estatísticos'!$D$123)/2,"")</f>
        <v>-2.7172250000000027</v>
      </c>
      <c r="DP208" s="7">
        <f>IF(119&gt;=30,('Testes estatísticos'!$D$35+'Testes estatísticos'!$D$124)/2,"")</f>
        <v>-2.7384365000000024</v>
      </c>
      <c r="DQ208" s="7">
        <f>IF(120&gt;=30,('Testes estatísticos'!$D$35+'Testes estatísticos'!$D$125)/2,"")</f>
        <v>0.31317800000000062</v>
      </c>
      <c r="DR208" s="7">
        <f>IF(121&gt;=30,('Testes estatísticos'!$D$35+'Testes estatísticos'!$D$126)/2,"")</f>
        <v>-2.4758385000000018</v>
      </c>
      <c r="DS208" s="7">
        <f>IF(122&gt;=30,('Testes estatísticos'!$D$35+'Testes estatísticos'!$D$127)/2,"")</f>
        <v>-3.5412469999999985</v>
      </c>
      <c r="DT208" s="7">
        <f>IF(123&gt;=30,('Testes estatísticos'!$D$35+'Testes estatísticos'!$D$128)/2,"")</f>
        <v>2.5276224999999961</v>
      </c>
      <c r="DU208" s="7">
        <f>IF(124&gt;=30,('Testes estatísticos'!$D$35+'Testes estatísticos'!$D$129)/2,"")</f>
        <v>-2.3681490000000025</v>
      </c>
      <c r="DV208" s="7">
        <f>IF(125&gt;=30,('Testes estatísticos'!$D$35+'Testes estatísticos'!$D$130)/2,"")</f>
        <v>-1.2098415000000031</v>
      </c>
      <c r="DW208" s="7">
        <f>IF(126&gt;=30,('Testes estatísticos'!$D$35+'Testes estatísticos'!$D$131)/2,"")</f>
        <v>-3.6133175000000008</v>
      </c>
      <c r="DX208" s="7">
        <f>IF(127&gt;=30,('Testes estatísticos'!$D$35+'Testes estatísticos'!$D$132)/2,"")</f>
        <v>-5.6695090000000015</v>
      </c>
      <c r="DY208" s="7">
        <f>IF(128&gt;=30,('Testes estatísticos'!$D$35+'Testes estatísticos'!$D$133)/2,"")</f>
        <v>-6.0105985000000004</v>
      </c>
      <c r="DZ208" s="7">
        <f>IF(129&gt;=30,('Testes estatísticos'!$D$35+'Testes estatísticos'!$D$134)/2,"")</f>
        <v>-9.4343885000000007</v>
      </c>
      <c r="EA208" s="7">
        <f>IF(130&gt;=30,('Testes estatísticos'!$D$35+'Testes estatísticos'!$D$135)/2,"")</f>
        <v>-3.6726184999999987</v>
      </c>
      <c r="EB208" s="7">
        <f>IF(131&gt;=30,('Testes estatísticos'!$D$35+'Testes estatísticos'!$D$136)/2,"")</f>
        <v>-3.5847455000000039</v>
      </c>
      <c r="EC208" s="7">
        <f>IF(132&gt;=30,('Testes estatísticos'!$D$35+'Testes estatísticos'!$D$137)/2,"")</f>
        <v>-5.0714820000000032</v>
      </c>
      <c r="ED208" s="7">
        <f>IF(133&gt;=30,('Testes estatísticos'!$D$35+'Testes estatísticos'!$D$138)/2,"")</f>
        <v>-2.8825445000000016</v>
      </c>
      <c r="EE208" s="7">
        <f>IF(134&gt;=30,('Testes estatísticos'!$D$35+'Testes estatísticos'!$D$139)/2,"")</f>
        <v>-5.1797350000000044</v>
      </c>
      <c r="EF208" s="7">
        <f>IF(135&gt;=30,('Testes estatísticos'!$D$35+'Testes estatísticos'!$D$140)/2,"")</f>
        <v>-1.9653025</v>
      </c>
      <c r="EG208" s="7">
        <f>IF(136&gt;=30,('Testes estatísticos'!$D$35+'Testes estatísticos'!$D$141)/2,"")</f>
        <v>-3.6587925000000041</v>
      </c>
      <c r="EH208" s="7">
        <f>IF(137&gt;=30,('Testes estatísticos'!$D$35+'Testes estatísticos'!$D$142)/2,"")</f>
        <v>-1.9540525000000031</v>
      </c>
      <c r="EI208" s="7">
        <f>IF(138&gt;=30,('Testes estatísticos'!$D$35+'Testes estatísticos'!$D$143)/2,"")</f>
        <v>-3.6190679999999986</v>
      </c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</row>
    <row r="209" spans="2:151" x14ac:dyDescent="0.3">
      <c r="B209" s="7" t="str">
        <f>IF(1&gt;=31,('Testes estatísticos'!$D$36+'Testes estatísticos'!$D$6)/2,"")</f>
        <v/>
      </c>
      <c r="C209" s="7" t="str">
        <f>IF(2&gt;=31,('Testes estatísticos'!$D$36+'Testes estatísticos'!$D$7)/2,"")</f>
        <v/>
      </c>
      <c r="D209" s="7" t="str">
        <f>IF(3&gt;=31,('Testes estatísticos'!$D$36+'Testes estatísticos'!$D$8)/2,"")</f>
        <v/>
      </c>
      <c r="E209" s="7" t="str">
        <f>IF(4&gt;=31,('Testes estatísticos'!$D$36+'Testes estatísticos'!$D$9)/2,"")</f>
        <v/>
      </c>
      <c r="F209" s="7" t="str">
        <f>IF(5&gt;=31,('Testes estatísticos'!$D$36+'Testes estatísticos'!$D$10)/2,"")</f>
        <v/>
      </c>
      <c r="G209" s="7" t="str">
        <f>IF(6&gt;=31,('Testes estatísticos'!$D$36+'Testes estatísticos'!$D$11)/2,"")</f>
        <v/>
      </c>
      <c r="H209" s="7" t="str">
        <f>IF(7&gt;=31,('Testes estatísticos'!$D$36+'Testes estatísticos'!$D$12)/2,"")</f>
        <v/>
      </c>
      <c r="I209" s="7" t="str">
        <f>IF(8&gt;=31,('Testes estatísticos'!$D$36+'Testes estatísticos'!$D$13)/2,"")</f>
        <v/>
      </c>
      <c r="J209" s="7" t="str">
        <f>IF(9&gt;=31,('Testes estatísticos'!$D$36+'Testes estatísticos'!$D$14)/2,"")</f>
        <v/>
      </c>
      <c r="K209" s="7" t="str">
        <f>IF(10&gt;=31,('Testes estatísticos'!$D$36+'Testes estatísticos'!$D$15)/2,"")</f>
        <v/>
      </c>
      <c r="L209" s="7" t="str">
        <f>IF(11&gt;=31,('Testes estatísticos'!$D$36+'Testes estatísticos'!$D$16)/2,"")</f>
        <v/>
      </c>
      <c r="M209" s="7" t="str">
        <f>IF(12&gt;=31,('Testes estatísticos'!$D$36+'Testes estatísticos'!$D$17)/2,"")</f>
        <v/>
      </c>
      <c r="N209" s="7" t="str">
        <f>IF(13&gt;=31,('Testes estatísticos'!$D$36+'Testes estatísticos'!$D$18)/2,"")</f>
        <v/>
      </c>
      <c r="O209" s="7" t="str">
        <f>IF(14&gt;=31,('Testes estatísticos'!$D$36+'Testes estatísticos'!$D$19)/2,"")</f>
        <v/>
      </c>
      <c r="P209" s="7" t="str">
        <f>IF(15&gt;=31,('Testes estatísticos'!$D$36+'Testes estatísticos'!$D$20)/2,"")</f>
        <v/>
      </c>
      <c r="Q209" s="7" t="str">
        <f>IF(16&gt;=31,('Testes estatísticos'!$D$36+'Testes estatísticos'!$D$21)/2,"")</f>
        <v/>
      </c>
      <c r="R209" s="7" t="str">
        <f>IF(17&gt;=31,('Testes estatísticos'!$D$36+'Testes estatísticos'!$D$22)/2,"")</f>
        <v/>
      </c>
      <c r="S209" s="7" t="str">
        <f>IF(18&gt;=31,('Testes estatísticos'!$D$36+'Testes estatísticos'!$D$23)/2,"")</f>
        <v/>
      </c>
      <c r="T209" s="7" t="str">
        <f>IF(19&gt;=31,('Testes estatísticos'!$D$36+'Testes estatísticos'!$D$24)/2,"")</f>
        <v/>
      </c>
      <c r="U209" s="7" t="str">
        <f>IF(20&gt;=31,('Testes estatísticos'!$D$36+'Testes estatísticos'!$D$25)/2,"")</f>
        <v/>
      </c>
      <c r="V209" s="7" t="str">
        <f>IF(21&gt;=31,('Testes estatísticos'!$D$36+'Testes estatísticos'!$D$26)/2,"")</f>
        <v/>
      </c>
      <c r="W209" s="7" t="str">
        <f>IF(22&gt;=31,('Testes estatísticos'!$D$36+'Testes estatísticos'!$D$27)/2,"")</f>
        <v/>
      </c>
      <c r="X209" s="7" t="str">
        <f>IF(23&gt;=31,('Testes estatísticos'!$D$36+'Testes estatísticos'!$D$28)/2,"")</f>
        <v/>
      </c>
      <c r="Y209" s="7" t="str">
        <f>IF(24&gt;=31,('Testes estatísticos'!$D$36+'Testes estatísticos'!$D$29)/2,"")</f>
        <v/>
      </c>
      <c r="Z209" s="7" t="str">
        <f>IF(25&gt;=31,('Testes estatísticos'!$D$36+'Testes estatísticos'!$D$30)/2,"")</f>
        <v/>
      </c>
      <c r="AA209" s="7" t="str">
        <f>IF(26&gt;=31,('Testes estatísticos'!$D$36+'Testes estatísticos'!$D$31)/2,"")</f>
        <v/>
      </c>
      <c r="AB209" s="7" t="str">
        <f>IF(27&gt;=31,('Testes estatísticos'!$D$36+'Testes estatísticos'!$D$32)/2,"")</f>
        <v/>
      </c>
      <c r="AC209" s="7" t="str">
        <f>IF(28&gt;=31,('Testes estatísticos'!$D$36+'Testes estatísticos'!$D$33)/2,"")</f>
        <v/>
      </c>
      <c r="AD209" s="7" t="str">
        <f>IF(29&gt;=31,('Testes estatísticos'!$D$36+'Testes estatísticos'!$D$34)/2,"")</f>
        <v/>
      </c>
      <c r="AE209" s="7" t="str">
        <f>IF(30&gt;=31,('Testes estatísticos'!$D$36+'Testes estatísticos'!$D$35)/2,"")</f>
        <v/>
      </c>
      <c r="AF209" s="7">
        <f>IF(31&gt;=31,('Testes estatísticos'!$D$36+'Testes estatísticos'!$D$36)/2,"")</f>
        <v>-4.1366099999999975</v>
      </c>
      <c r="AG209" s="7">
        <f>IF(32&gt;=31,('Testes estatísticos'!$D$36+'Testes estatísticos'!$D$37)/2,"")</f>
        <v>-3.0329894999999993</v>
      </c>
      <c r="AH209" s="7">
        <f>IF(33&gt;=31,('Testes estatísticos'!$D$36+'Testes estatísticos'!$D$38)/2,"")</f>
        <v>-3.1985290000000006</v>
      </c>
      <c r="AI209" s="7">
        <f>IF(34&gt;=31,('Testes estatísticos'!$D$36+'Testes estatísticos'!$D$39)/2,"")</f>
        <v>-0.38198299999999819</v>
      </c>
      <c r="AJ209" s="7">
        <f>IF(35&gt;=31,('Testes estatísticos'!$D$36+'Testes estatísticos'!$D$40)/2,"")</f>
        <v>-3.1234809999999982</v>
      </c>
      <c r="AK209" s="7">
        <f>IF(36&gt;=31,('Testes estatísticos'!$D$36+'Testes estatísticos'!$D$41)/2,"")</f>
        <v>-0.85553649999999948</v>
      </c>
      <c r="AL209" s="7">
        <f>IF(37&gt;=31,('Testes estatísticos'!$D$36+'Testes estatísticos'!$D$42)/2,"")</f>
        <v>-3.1340974999999993</v>
      </c>
      <c r="AM209" s="7">
        <f>IF(38&gt;=31,('Testes estatísticos'!$D$36+'Testes estatísticos'!$D$43)/2,"")</f>
        <v>-3.1212379999999982</v>
      </c>
      <c r="AN209" s="7">
        <f>IF(39&gt;=31,('Testes estatísticos'!$D$36+'Testes estatísticos'!$D$44)/2,"")</f>
        <v>-4.2582319999999996</v>
      </c>
      <c r="AO209" s="7">
        <f>IF(40&gt;=31,('Testes estatísticos'!$D$36+'Testes estatísticos'!$D$45)/2,"")</f>
        <v>-0.28330550000000088</v>
      </c>
      <c r="AP209" s="7">
        <f>IF(41&gt;=31,('Testes estatísticos'!$D$36+'Testes estatísticos'!$D$46)/2,"")</f>
        <v>-2.7892449999999975</v>
      </c>
      <c r="AQ209" s="7">
        <f>IF(42&gt;=31,('Testes estatísticos'!$D$36+'Testes estatísticos'!$D$47)/2,"")</f>
        <v>-1.6468859999999985</v>
      </c>
      <c r="AR209" s="7">
        <f>IF(43&gt;=31,('Testes estatísticos'!$D$36+'Testes estatísticos'!$D$48)/2,"")</f>
        <v>-2.6957999999999984</v>
      </c>
      <c r="AS209" s="7">
        <f>IF(44&gt;=31,('Testes estatísticos'!$D$36+'Testes estatísticos'!$D$49)/2,"")</f>
        <v>-3.2269229999999993</v>
      </c>
      <c r="AT209" s="7">
        <f>IF(45&gt;=31,('Testes estatísticos'!$D$36+'Testes estatísticos'!$D$50)/2,"")</f>
        <v>-2.3978444999999979</v>
      </c>
      <c r="AU209" s="7">
        <f>IF(46&gt;=31,('Testes estatísticos'!$D$36+'Testes estatísticos'!$D$51)/2,"")</f>
        <v>-5.4290404999999993</v>
      </c>
      <c r="AV209" s="7">
        <f>IF(47&gt;=31,('Testes estatísticos'!$D$36+'Testes estatísticos'!$D$52)/2,"")</f>
        <v>-0.35886749999999878</v>
      </c>
      <c r="AW209" s="7">
        <f>IF(48&gt;=31,('Testes estatísticos'!$D$36+'Testes estatísticos'!$D$53)/2,"")</f>
        <v>-4.7948984999999986</v>
      </c>
      <c r="AX209" s="7">
        <f>IF(49&gt;=31,('Testes estatísticos'!$D$36+'Testes estatísticos'!$D$54)/2,"")</f>
        <v>-3.5351079999999975</v>
      </c>
      <c r="AY209" s="7">
        <f>IF(50&gt;=31,('Testes estatísticos'!$D$36+'Testes estatísticos'!$D$55)/2,"")</f>
        <v>-1.9099434999999971</v>
      </c>
      <c r="AZ209" s="7">
        <f>IF(51&gt;=31,('Testes estatísticos'!$D$36+'Testes estatísticos'!$D$56)/2,"")</f>
        <v>-1.865473999999999</v>
      </c>
      <c r="BA209" s="7">
        <f>IF(52&gt;=31,('Testes estatísticos'!$D$36+'Testes estatísticos'!$D$57)/2,"")</f>
        <v>-5.2736899999999984</v>
      </c>
      <c r="BB209" s="7">
        <f>IF(53&gt;=31,('Testes estatísticos'!$D$36+'Testes estatísticos'!$D$58)/2,"")</f>
        <v>-1.8649274999999967</v>
      </c>
      <c r="BC209" s="7">
        <f>IF(54&gt;=31,('Testes estatísticos'!$D$36+'Testes estatísticos'!$D$59)/2,"")</f>
        <v>-2.7845699999999987</v>
      </c>
      <c r="BD209" s="7">
        <f>IF(55&gt;=31,('Testes estatísticos'!$D$36+'Testes estatísticos'!$D$60)/2,"")</f>
        <v>0.31110100000000074</v>
      </c>
      <c r="BE209" s="7">
        <f>IF(56&gt;=31,('Testes estatísticos'!$D$36+'Testes estatísticos'!$D$61)/2,"")</f>
        <v>-2.3188674999999961</v>
      </c>
      <c r="BF209" s="7">
        <f>IF(57&gt;=31,('Testes estatísticos'!$D$36+'Testes estatísticos'!$D$62)/2,"")</f>
        <v>-5.7190575000000017</v>
      </c>
      <c r="BG209" s="7">
        <f>IF(58&gt;=31,('Testes estatísticos'!$D$36+'Testes estatísticos'!$D$63)/2,"")</f>
        <v>-0.45316249999999769</v>
      </c>
      <c r="BH209" s="7">
        <f>IF(59&gt;=31,('Testes estatísticos'!$D$36+'Testes estatísticos'!$D$64)/2,"")</f>
        <v>-6.2967750000000002</v>
      </c>
      <c r="BI209" s="7">
        <f>IF(60&gt;=31,('Testes estatísticos'!$D$36+'Testes estatísticos'!$D$65)/2,"")</f>
        <v>-4.5491839999999968</v>
      </c>
      <c r="BJ209" s="7">
        <f>IF(61&gt;=31,('Testes estatísticos'!$D$36+'Testes estatísticos'!$D$66)/2,"")</f>
        <v>-1.9141289999999991</v>
      </c>
      <c r="BK209" s="7">
        <f>IF(62&gt;=31,('Testes estatísticos'!$D$36+'Testes estatísticos'!$D$67)/2,"")</f>
        <v>-2.4229239999999983</v>
      </c>
      <c r="BL209" s="7">
        <f>IF(63&gt;=31,('Testes estatísticos'!$D$36+'Testes estatísticos'!$D$68)/2,"")</f>
        <v>-1.5236094999999992</v>
      </c>
      <c r="BM209" s="7">
        <f>IF(64&gt;=31,('Testes estatísticos'!$D$36+'Testes estatísticos'!$D$69)/2,"")</f>
        <v>-1.4727674999999998</v>
      </c>
      <c r="BN209" s="7">
        <f>IF(65&gt;=31,('Testes estatísticos'!$D$36+'Testes estatísticos'!$D$70)/2,"")</f>
        <v>-3.6185739999999988</v>
      </c>
      <c r="BO209" s="7">
        <f>IF(66&gt;=31,('Testes estatísticos'!$D$36+'Testes estatísticos'!$D$71)/2,"")</f>
        <v>-2.7227214999999987</v>
      </c>
      <c r="BP209" s="7">
        <f>IF(67&gt;=31,('Testes estatísticos'!$D$36+'Testes estatísticos'!$D$72)/2,"")</f>
        <v>-5.6131804999999986</v>
      </c>
      <c r="BQ209" s="7">
        <f>IF(68&gt;=31,('Testes estatísticos'!$D$36+'Testes estatísticos'!$D$73)/2,"")</f>
        <v>-0.94994750000000039</v>
      </c>
      <c r="BR209" s="7">
        <f>IF(69&gt;=31,('Testes estatísticos'!$D$36+'Testes estatísticos'!$D$74)/2,"")</f>
        <v>-0.31776550000000015</v>
      </c>
      <c r="BS209" s="7">
        <f>IF(70&gt;=31,('Testes estatísticos'!$D$36+'Testes estatísticos'!$D$75)/2,"")</f>
        <v>-1.3222300000000011</v>
      </c>
      <c r="BT209" s="7">
        <f>IF(71&gt;=31,('Testes estatísticos'!$D$36+'Testes estatísticos'!$D$76)/2,"")</f>
        <v>0.25213499999999911</v>
      </c>
      <c r="BU209" s="7">
        <f>IF(72&gt;=31,('Testes estatísticos'!$D$36+'Testes estatísticos'!$D$77)/2,"")</f>
        <v>-5.3475619999999999</v>
      </c>
      <c r="BV209" s="7">
        <f>IF(73&gt;=31,('Testes estatísticos'!$D$36+'Testes estatísticos'!$D$78)/2,"")</f>
        <v>-3.2740875000000003</v>
      </c>
      <c r="BW209" s="7">
        <f>IF(74&gt;=31,('Testes estatísticos'!$D$36+'Testes estatísticos'!$D$79)/2,"")</f>
        <v>-3.9574059999999989</v>
      </c>
      <c r="BX209" s="7">
        <f>IF(75&gt;=31,('Testes estatísticos'!$D$36+'Testes estatísticos'!$D$80)/2,"")</f>
        <v>-3.9791840000000001</v>
      </c>
      <c r="BY209" s="7">
        <f>IF(76&gt;=31,('Testes estatísticos'!$D$36+'Testes estatísticos'!$D$81)/2,"")</f>
        <v>0.15227400000000202</v>
      </c>
      <c r="BZ209" s="7">
        <f>IF(77&gt;=31,('Testes estatísticos'!$D$36+'Testes estatísticos'!$D$82)/2,"")</f>
        <v>-5.1093154999999975</v>
      </c>
      <c r="CA209" s="7">
        <f>IF(78&gt;=31,('Testes estatísticos'!$D$36+'Testes estatísticos'!$D$83)/2,"")</f>
        <v>-3.3490564999999961</v>
      </c>
      <c r="CB209" s="7">
        <f>IF(79&gt;=31,('Testes estatísticos'!$D$36+'Testes estatísticos'!$D$84)/2,"")</f>
        <v>-3.2973339999999993</v>
      </c>
      <c r="CC209" s="7">
        <f>IF(80&gt;=31,('Testes estatísticos'!$D$36+'Testes estatísticos'!$D$85)/2,"")</f>
        <v>-5.1043504999999989</v>
      </c>
      <c r="CD209" s="7">
        <f>IF(81&gt;=31,('Testes estatísticos'!$D$36+'Testes estatísticos'!$D$86)/2,"")</f>
        <v>-5.1544954999999995</v>
      </c>
      <c r="CE209" s="7">
        <f>IF(82&gt;=31,('Testes estatísticos'!$D$36+'Testes estatísticos'!$D$87)/2,"")</f>
        <v>-3.0767050000000005</v>
      </c>
      <c r="CF209" s="7">
        <f>IF(83&gt;=31,('Testes estatísticos'!$D$36+'Testes estatísticos'!$D$88)/2,"")</f>
        <v>-3.6055120000000009</v>
      </c>
      <c r="CG209" s="7">
        <f>IF(84&gt;=31,('Testes estatísticos'!$D$36+'Testes estatísticos'!$D$89)/2,"")</f>
        <v>-3.9374189999999984</v>
      </c>
      <c r="CH209" s="7">
        <f>IF(85&gt;=31,('Testes estatísticos'!$D$36+'Testes estatísticos'!$D$90)/2,"")</f>
        <v>-2.1218719999999998</v>
      </c>
      <c r="CI209" s="7">
        <f>IF(86&gt;=31,('Testes estatísticos'!$D$36+'Testes estatísticos'!$D$91)/2,"")</f>
        <v>-4.8120314999999962</v>
      </c>
      <c r="CJ209" s="7">
        <f>IF(87&gt;=31,('Testes estatísticos'!$D$36+'Testes estatísticos'!$D$92)/2,"")</f>
        <v>-3.569824999999998</v>
      </c>
      <c r="CK209" s="7">
        <f>IF(88&gt;=31,('Testes estatísticos'!$D$36+'Testes estatísticos'!$D$93)/2,"")</f>
        <v>-3.3257414999999995</v>
      </c>
      <c r="CL209" s="7">
        <f>IF(89&gt;=31,('Testes estatísticos'!$D$36+'Testes estatísticos'!$D$94)/2,"")</f>
        <v>-3.9373335000000012</v>
      </c>
      <c r="CM209" s="7">
        <f>IF(90&gt;=31,('Testes estatísticos'!$D$36+'Testes estatísticos'!$D$95)/2,"")</f>
        <v>-6.2714654999999979</v>
      </c>
      <c r="CN209" s="7">
        <f>IF(91&gt;=31,('Testes estatísticos'!$D$36+'Testes estatísticos'!$D$96)/2,"")</f>
        <v>-3.7329424999999965</v>
      </c>
      <c r="CO209" s="7">
        <f>IF(92&gt;=31,('Testes estatísticos'!$D$36+'Testes estatísticos'!$D$97)/2,"")</f>
        <v>-4.0794459999999972</v>
      </c>
      <c r="CP209" s="7">
        <f>IF(93&gt;=31,('Testes estatísticos'!$D$36+'Testes estatísticos'!$D$98)/2,"")</f>
        <v>-4.2841979999999964</v>
      </c>
      <c r="CQ209" s="7">
        <f>IF(94&gt;=31,('Testes estatísticos'!$D$36+'Testes estatísticos'!$D$99)/2,"")</f>
        <v>-2.10304</v>
      </c>
      <c r="CR209" s="7">
        <f>IF(95&gt;=31,('Testes estatísticos'!$D$36+'Testes estatísticos'!$D$100)/2,"")</f>
        <v>-4.0088329999999992</v>
      </c>
      <c r="CS209" s="7">
        <f>IF(96&gt;=31,('Testes estatísticos'!$D$36+'Testes estatísticos'!$D$101)/2,"")</f>
        <v>-3.9648460000000014</v>
      </c>
      <c r="CT209" s="7">
        <f>IF(97&gt;=31,('Testes estatísticos'!$D$36+'Testes estatísticos'!$D$102)/2,"")</f>
        <v>-3.7317955000000005</v>
      </c>
      <c r="CU209" s="7">
        <f>IF(98&gt;=31,('Testes estatísticos'!$D$36+'Testes estatísticos'!$D$103)/2,"")</f>
        <v>-3.6744694999999972</v>
      </c>
      <c r="CV209" s="7">
        <f>IF(99&gt;=31,('Testes estatísticos'!$D$36+'Testes estatísticos'!$D$104)/2,"")</f>
        <v>-4.1092954999999982</v>
      </c>
      <c r="CW209" s="7">
        <f>IF(100&gt;=31,('Testes estatísticos'!$D$36+'Testes estatísticos'!$D$105)/2,"")</f>
        <v>-4.2087614999999978</v>
      </c>
      <c r="CX209" s="7">
        <f>IF(101&gt;=31,('Testes estatísticos'!$D$36+'Testes estatísticos'!$D$106)/2,"")</f>
        <v>-3.6858349999999973</v>
      </c>
      <c r="CY209" s="7">
        <f>IF(102&gt;=31,('Testes estatísticos'!$D$36+'Testes estatísticos'!$D$107)/2,"")</f>
        <v>-3.7414999999999985</v>
      </c>
      <c r="CZ209" s="7">
        <f>IF(103&gt;=31,('Testes estatísticos'!$D$36+'Testes estatísticos'!$D$108)/2,"")</f>
        <v>-4.2656664999999983</v>
      </c>
      <c r="DA209" s="7">
        <f>IF(104&gt;=31,('Testes estatísticos'!$D$36+'Testes estatísticos'!$D$109)/2,"")</f>
        <v>-4.0030324999999962</v>
      </c>
      <c r="DB209" s="7">
        <f>IF(105&gt;=31,('Testes estatísticos'!$D$36+'Testes estatísticos'!$D$110)/2,"")</f>
        <v>-3.9687014999999981</v>
      </c>
      <c r="DC209" s="7">
        <f>IF(106&gt;=31,('Testes estatísticos'!$D$36+'Testes estatísticos'!$D$111)/2,"")</f>
        <v>-3.2257804999999991</v>
      </c>
      <c r="DD209" s="7">
        <f>IF(107&gt;=31,('Testes estatísticos'!$D$36+'Testes estatísticos'!$D$112)/2,"")</f>
        <v>0.2673905000000012</v>
      </c>
      <c r="DE209" s="7">
        <f>IF(108&gt;=31,('Testes estatísticos'!$D$36+'Testes estatísticos'!$D$113)/2,"")</f>
        <v>-3.1552449999999972</v>
      </c>
      <c r="DF209" s="7">
        <f>IF(109&gt;=31,('Testes estatísticos'!$D$36+'Testes estatísticos'!$D$114)/2,"")</f>
        <v>-3.1915019999999963</v>
      </c>
      <c r="DG209" s="7">
        <f>IF(110&gt;=31,('Testes estatísticos'!$D$36+'Testes estatísticos'!$D$115)/2,"")</f>
        <v>-8.7386415</v>
      </c>
      <c r="DH209" s="7">
        <f>IF(111&gt;=31,('Testes estatísticos'!$D$36+'Testes estatísticos'!$D$116)/2,"")</f>
        <v>-3.0578109999999974</v>
      </c>
      <c r="DI209" s="7">
        <f>IF(112&gt;=31,('Testes estatísticos'!$D$36+'Testes estatísticos'!$D$117)/2,"")</f>
        <v>2.370629000000001</v>
      </c>
      <c r="DJ209" s="7">
        <f>IF(113&gt;=31,('Testes estatísticos'!$D$36+'Testes estatísticos'!$D$118)/2,"")</f>
        <v>-3.0859279999999991</v>
      </c>
      <c r="DK209" s="7">
        <f>IF(114&gt;=31,('Testes estatísticos'!$D$36+'Testes estatísticos'!$D$119)/2,"")</f>
        <v>-3.1876779999999982</v>
      </c>
      <c r="DL209" s="7">
        <f>IF(115&gt;=31,('Testes estatísticos'!$D$36+'Testes estatísticos'!$D$120)/2,"")</f>
        <v>-3.1412004999999965</v>
      </c>
      <c r="DM209" s="7">
        <f>IF(116&gt;=31,('Testes estatísticos'!$D$36+'Testes estatísticos'!$D$121)/2,"")</f>
        <v>-3.132597999999998</v>
      </c>
      <c r="DN209" s="7">
        <f>IF(117&gt;=31,('Testes estatísticos'!$D$36+'Testes estatísticos'!$D$122)/2,"")</f>
        <v>-3.1095299999999995</v>
      </c>
      <c r="DO209" s="7">
        <f>IF(118&gt;=31,('Testes estatísticos'!$D$36+'Testes estatísticos'!$D$123)/2,"")</f>
        <v>-3.0596195000000002</v>
      </c>
      <c r="DP209" s="7">
        <f>IF(119&gt;=31,('Testes estatísticos'!$D$36+'Testes estatísticos'!$D$124)/2,"")</f>
        <v>-3.0808309999999999</v>
      </c>
      <c r="DQ209" s="7">
        <f>IF(120&gt;=31,('Testes estatísticos'!$D$36+'Testes estatísticos'!$D$125)/2,"")</f>
        <v>-2.921649999999687E-2</v>
      </c>
      <c r="DR209" s="7">
        <f>IF(121&gt;=31,('Testes estatísticos'!$D$36+'Testes estatísticos'!$D$126)/2,"")</f>
        <v>-2.8182329999999993</v>
      </c>
      <c r="DS209" s="7">
        <f>IF(122&gt;=31,('Testes estatísticos'!$D$36+'Testes estatísticos'!$D$127)/2,"")</f>
        <v>-3.883641499999996</v>
      </c>
      <c r="DT209" s="7">
        <f>IF(123&gt;=31,('Testes estatísticos'!$D$36+'Testes estatísticos'!$D$128)/2,"")</f>
        <v>2.1852279999999986</v>
      </c>
      <c r="DU209" s="7">
        <f>IF(124&gt;=31,('Testes estatísticos'!$D$36+'Testes estatísticos'!$D$129)/2,"")</f>
        <v>-2.7105435</v>
      </c>
      <c r="DV209" s="7">
        <f>IF(125&gt;=31,('Testes estatísticos'!$D$36+'Testes estatísticos'!$D$130)/2,"")</f>
        <v>-1.5522360000000006</v>
      </c>
      <c r="DW209" s="7">
        <f>IF(126&gt;=31,('Testes estatísticos'!$D$36+'Testes estatísticos'!$D$131)/2,"")</f>
        <v>-3.9557119999999983</v>
      </c>
      <c r="DX209" s="7">
        <f>IF(127&gt;=31,('Testes estatísticos'!$D$36+'Testes estatísticos'!$D$132)/2,"")</f>
        <v>-6.011903499999999</v>
      </c>
      <c r="DY209" s="7">
        <f>IF(128&gt;=31,('Testes estatísticos'!$D$36+'Testes estatísticos'!$D$133)/2,"")</f>
        <v>-6.3529929999999979</v>
      </c>
      <c r="DZ209" s="7">
        <f>IF(129&gt;=31,('Testes estatísticos'!$D$36+'Testes estatísticos'!$D$134)/2,"")</f>
        <v>-9.7767829999999982</v>
      </c>
      <c r="EA209" s="7">
        <f>IF(130&gt;=31,('Testes estatísticos'!$D$36+'Testes estatísticos'!$D$135)/2,"")</f>
        <v>-4.0150129999999962</v>
      </c>
      <c r="EB209" s="7">
        <f>IF(131&gt;=31,('Testes estatísticos'!$D$36+'Testes estatísticos'!$D$136)/2,"")</f>
        <v>-3.9271400000000014</v>
      </c>
      <c r="EC209" s="7">
        <f>IF(132&gt;=31,('Testes estatísticos'!$D$36+'Testes estatísticos'!$D$137)/2,"")</f>
        <v>-5.4138765000000006</v>
      </c>
      <c r="ED209" s="7">
        <f>IF(133&gt;=31,('Testes estatísticos'!$D$36+'Testes estatísticos'!$D$138)/2,"")</f>
        <v>-3.2249389999999991</v>
      </c>
      <c r="EE209" s="7">
        <f>IF(134&gt;=31,('Testes estatísticos'!$D$36+'Testes estatísticos'!$D$139)/2,"")</f>
        <v>-5.5221295000000019</v>
      </c>
      <c r="EF209" s="7">
        <f>IF(135&gt;=31,('Testes estatísticos'!$D$36+'Testes estatísticos'!$D$140)/2,"")</f>
        <v>-2.3076969999999974</v>
      </c>
      <c r="EG209" s="7">
        <f>IF(136&gt;=31,('Testes estatísticos'!$D$36+'Testes estatísticos'!$D$141)/2,"")</f>
        <v>-4.0011870000000016</v>
      </c>
      <c r="EH209" s="7">
        <f>IF(137&gt;=31,('Testes estatísticos'!$D$36+'Testes estatísticos'!$D$142)/2,"")</f>
        <v>-2.2964470000000006</v>
      </c>
      <c r="EI209" s="7">
        <f>IF(138&gt;=31,('Testes estatísticos'!$D$36+'Testes estatísticos'!$D$143)/2,"")</f>
        <v>-3.9614624999999961</v>
      </c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</row>
    <row r="210" spans="2:151" x14ac:dyDescent="0.3">
      <c r="B210" s="7" t="str">
        <f>IF(1&gt;=32,('Testes estatísticos'!$D$37+'Testes estatísticos'!$D$6)/2,"")</f>
        <v/>
      </c>
      <c r="C210" s="7" t="str">
        <f>IF(2&gt;=32,('Testes estatísticos'!$D$37+'Testes estatísticos'!$D$7)/2,"")</f>
        <v/>
      </c>
      <c r="D210" s="7" t="str">
        <f>IF(3&gt;=32,('Testes estatísticos'!$D$37+'Testes estatísticos'!$D$8)/2,"")</f>
        <v/>
      </c>
      <c r="E210" s="7" t="str">
        <f>IF(4&gt;=32,('Testes estatísticos'!$D$37+'Testes estatísticos'!$D$9)/2,"")</f>
        <v/>
      </c>
      <c r="F210" s="7" t="str">
        <f>IF(5&gt;=32,('Testes estatísticos'!$D$37+'Testes estatísticos'!$D$10)/2,"")</f>
        <v/>
      </c>
      <c r="G210" s="7" t="str">
        <f>IF(6&gt;=32,('Testes estatísticos'!$D$37+'Testes estatísticos'!$D$11)/2,"")</f>
        <v/>
      </c>
      <c r="H210" s="7" t="str">
        <f>IF(7&gt;=32,('Testes estatísticos'!$D$37+'Testes estatísticos'!$D$12)/2,"")</f>
        <v/>
      </c>
      <c r="I210" s="7" t="str">
        <f>IF(8&gt;=32,('Testes estatísticos'!$D$37+'Testes estatísticos'!$D$13)/2,"")</f>
        <v/>
      </c>
      <c r="J210" s="7" t="str">
        <f>IF(9&gt;=32,('Testes estatísticos'!$D$37+'Testes estatísticos'!$D$14)/2,"")</f>
        <v/>
      </c>
      <c r="K210" s="7" t="str">
        <f>IF(10&gt;=32,('Testes estatísticos'!$D$37+'Testes estatísticos'!$D$15)/2,"")</f>
        <v/>
      </c>
      <c r="L210" s="7" t="str">
        <f>IF(11&gt;=32,('Testes estatísticos'!$D$37+'Testes estatísticos'!$D$16)/2,"")</f>
        <v/>
      </c>
      <c r="M210" s="7" t="str">
        <f>IF(12&gt;=32,('Testes estatísticos'!$D$37+'Testes estatísticos'!$D$17)/2,"")</f>
        <v/>
      </c>
      <c r="N210" s="7" t="str">
        <f>IF(13&gt;=32,('Testes estatísticos'!$D$37+'Testes estatísticos'!$D$18)/2,"")</f>
        <v/>
      </c>
      <c r="O210" s="7" t="str">
        <f>IF(14&gt;=32,('Testes estatísticos'!$D$37+'Testes estatísticos'!$D$19)/2,"")</f>
        <v/>
      </c>
      <c r="P210" s="7" t="str">
        <f>IF(15&gt;=32,('Testes estatísticos'!$D$37+'Testes estatísticos'!$D$20)/2,"")</f>
        <v/>
      </c>
      <c r="Q210" s="7" t="str">
        <f>IF(16&gt;=32,('Testes estatísticos'!$D$37+'Testes estatísticos'!$D$21)/2,"")</f>
        <v/>
      </c>
      <c r="R210" s="7" t="str">
        <f>IF(17&gt;=32,('Testes estatísticos'!$D$37+'Testes estatísticos'!$D$22)/2,"")</f>
        <v/>
      </c>
      <c r="S210" s="7" t="str">
        <f>IF(18&gt;=32,('Testes estatísticos'!$D$37+'Testes estatísticos'!$D$23)/2,"")</f>
        <v/>
      </c>
      <c r="T210" s="7" t="str">
        <f>IF(19&gt;=32,('Testes estatísticos'!$D$37+'Testes estatísticos'!$D$24)/2,"")</f>
        <v/>
      </c>
      <c r="U210" s="7" t="str">
        <f>IF(20&gt;=32,('Testes estatísticos'!$D$37+'Testes estatísticos'!$D$25)/2,"")</f>
        <v/>
      </c>
      <c r="V210" s="7" t="str">
        <f>IF(21&gt;=32,('Testes estatísticos'!$D$37+'Testes estatísticos'!$D$26)/2,"")</f>
        <v/>
      </c>
      <c r="W210" s="7" t="str">
        <f>IF(22&gt;=32,('Testes estatísticos'!$D$37+'Testes estatísticos'!$D$27)/2,"")</f>
        <v/>
      </c>
      <c r="X210" s="7" t="str">
        <f>IF(23&gt;=32,('Testes estatísticos'!$D$37+'Testes estatísticos'!$D$28)/2,"")</f>
        <v/>
      </c>
      <c r="Y210" s="7" t="str">
        <f>IF(24&gt;=32,('Testes estatísticos'!$D$37+'Testes estatísticos'!$D$29)/2,"")</f>
        <v/>
      </c>
      <c r="Z210" s="7" t="str">
        <f>IF(25&gt;=32,('Testes estatísticos'!$D$37+'Testes estatísticos'!$D$30)/2,"")</f>
        <v/>
      </c>
      <c r="AA210" s="7" t="str">
        <f>IF(26&gt;=32,('Testes estatísticos'!$D$37+'Testes estatísticos'!$D$31)/2,"")</f>
        <v/>
      </c>
      <c r="AB210" s="7" t="str">
        <f>IF(27&gt;=32,('Testes estatísticos'!$D$37+'Testes estatísticos'!$D$32)/2,"")</f>
        <v/>
      </c>
      <c r="AC210" s="7" t="str">
        <f>IF(28&gt;=32,('Testes estatísticos'!$D$37+'Testes estatísticos'!$D$33)/2,"")</f>
        <v/>
      </c>
      <c r="AD210" s="7" t="str">
        <f>IF(29&gt;=32,('Testes estatísticos'!$D$37+'Testes estatísticos'!$D$34)/2,"")</f>
        <v/>
      </c>
      <c r="AE210" s="7" t="str">
        <f>IF(30&gt;=32,('Testes estatísticos'!$D$37+'Testes estatísticos'!$D$35)/2,"")</f>
        <v/>
      </c>
      <c r="AF210" s="7" t="str">
        <f>IF(31&gt;=32,('Testes estatísticos'!$D$37+'Testes estatísticos'!$D$36)/2,"")</f>
        <v/>
      </c>
      <c r="AG210" s="7">
        <f>IF(32&gt;=32,('Testes estatísticos'!$D$37+'Testes estatísticos'!$D$37)/2,"")</f>
        <v>-1.9293690000000012</v>
      </c>
      <c r="AH210" s="7">
        <f>IF(33&gt;=32,('Testes estatísticos'!$D$37+'Testes estatísticos'!$D$38)/2,"")</f>
        <v>-2.0949085000000025</v>
      </c>
      <c r="AI210" s="7">
        <f>IF(34&gt;=32,('Testes estatísticos'!$D$37+'Testes estatísticos'!$D$39)/2,"")</f>
        <v>0.72163749999999993</v>
      </c>
      <c r="AJ210" s="7">
        <f>IF(35&gt;=32,('Testes estatísticos'!$D$37+'Testes estatísticos'!$D$40)/2,"")</f>
        <v>-2.0198605000000001</v>
      </c>
      <c r="AK210" s="7">
        <f>IF(36&gt;=32,('Testes estatísticos'!$D$37+'Testes estatísticos'!$D$41)/2,"")</f>
        <v>0.24808399999999864</v>
      </c>
      <c r="AL210" s="7">
        <f>IF(37&gt;=32,('Testes estatísticos'!$D$37+'Testes estatísticos'!$D$42)/2,"")</f>
        <v>-2.0304770000000012</v>
      </c>
      <c r="AM210" s="7">
        <f>IF(38&gt;=32,('Testes estatísticos'!$D$37+'Testes estatísticos'!$D$43)/2,"")</f>
        <v>-2.0176175000000001</v>
      </c>
      <c r="AN210" s="7">
        <f>IF(39&gt;=32,('Testes estatísticos'!$D$37+'Testes estatísticos'!$D$44)/2,"")</f>
        <v>-3.1546115000000015</v>
      </c>
      <c r="AO210" s="7">
        <f>IF(40&gt;=32,('Testes estatísticos'!$D$37+'Testes estatísticos'!$D$45)/2,"")</f>
        <v>0.82031499999999724</v>
      </c>
      <c r="AP210" s="7">
        <f>IF(41&gt;=32,('Testes estatísticos'!$D$37+'Testes estatísticos'!$D$46)/2,"")</f>
        <v>-1.6856244999999994</v>
      </c>
      <c r="AQ210" s="7">
        <f>IF(42&gt;=32,('Testes estatísticos'!$D$37+'Testes estatísticos'!$D$47)/2,"")</f>
        <v>-0.5432655000000004</v>
      </c>
      <c r="AR210" s="7">
        <f>IF(43&gt;=32,('Testes estatísticos'!$D$37+'Testes estatísticos'!$D$48)/2,"")</f>
        <v>-1.5921795000000003</v>
      </c>
      <c r="AS210" s="7">
        <f>IF(44&gt;=32,('Testes estatísticos'!$D$37+'Testes estatísticos'!$D$49)/2,"")</f>
        <v>-2.1233025000000012</v>
      </c>
      <c r="AT210" s="7">
        <f>IF(45&gt;=32,('Testes estatísticos'!$D$37+'Testes estatísticos'!$D$50)/2,"")</f>
        <v>-1.2942239999999998</v>
      </c>
      <c r="AU210" s="7">
        <f>IF(46&gt;=32,('Testes estatísticos'!$D$37+'Testes estatísticos'!$D$51)/2,"")</f>
        <v>-4.3254200000000012</v>
      </c>
      <c r="AV210" s="7">
        <f>IF(47&gt;=32,('Testes estatísticos'!$D$37+'Testes estatísticos'!$D$52)/2,"")</f>
        <v>0.74475299999999933</v>
      </c>
      <c r="AW210" s="7">
        <f>IF(48&gt;=32,('Testes estatísticos'!$D$37+'Testes estatísticos'!$D$53)/2,"")</f>
        <v>-3.6912780000000005</v>
      </c>
      <c r="AX210" s="7">
        <f>IF(49&gt;=32,('Testes estatísticos'!$D$37+'Testes estatísticos'!$D$54)/2,"")</f>
        <v>-2.4314874999999994</v>
      </c>
      <c r="AY210" s="7">
        <f>IF(50&gt;=32,('Testes estatísticos'!$D$37+'Testes estatísticos'!$D$55)/2,"")</f>
        <v>-0.80632299999999901</v>
      </c>
      <c r="AZ210" s="7">
        <f>IF(51&gt;=32,('Testes estatísticos'!$D$37+'Testes estatísticos'!$D$56)/2,"")</f>
        <v>-0.76185350000000085</v>
      </c>
      <c r="BA210" s="7">
        <f>IF(52&gt;=32,('Testes estatísticos'!$D$37+'Testes estatísticos'!$D$57)/2,"")</f>
        <v>-4.1700695000000003</v>
      </c>
      <c r="BB210" s="7">
        <f>IF(53&gt;=32,('Testes estatísticos'!$D$37+'Testes estatísticos'!$D$58)/2,"")</f>
        <v>-0.76130699999999862</v>
      </c>
      <c r="BC210" s="7">
        <f>IF(54&gt;=32,('Testes estatísticos'!$D$37+'Testes estatísticos'!$D$59)/2,"")</f>
        <v>-1.6809495000000005</v>
      </c>
      <c r="BD210" s="7">
        <f>IF(55&gt;=32,('Testes estatísticos'!$D$37+'Testes estatísticos'!$D$60)/2,"")</f>
        <v>1.4147214999999989</v>
      </c>
      <c r="BE210" s="7">
        <f>IF(56&gt;=32,('Testes estatísticos'!$D$37+'Testes estatísticos'!$D$61)/2,"")</f>
        <v>-1.215246999999998</v>
      </c>
      <c r="BF210" s="7">
        <f>IF(57&gt;=32,('Testes estatísticos'!$D$37+'Testes estatísticos'!$D$62)/2,"")</f>
        <v>-4.6154370000000036</v>
      </c>
      <c r="BG210" s="7">
        <f>IF(58&gt;=32,('Testes estatísticos'!$D$37+'Testes estatísticos'!$D$63)/2,"")</f>
        <v>0.65045800000000042</v>
      </c>
      <c r="BH210" s="7">
        <f>IF(59&gt;=32,('Testes estatísticos'!$D$37+'Testes estatísticos'!$D$64)/2,"")</f>
        <v>-5.1931545000000021</v>
      </c>
      <c r="BI210" s="7">
        <f>IF(60&gt;=32,('Testes estatísticos'!$D$37+'Testes estatísticos'!$D$65)/2,"")</f>
        <v>-3.4455634999999987</v>
      </c>
      <c r="BJ210" s="7">
        <f>IF(61&gt;=32,('Testes estatísticos'!$D$37+'Testes estatísticos'!$D$66)/2,"")</f>
        <v>-0.81050850000000096</v>
      </c>
      <c r="BK210" s="7">
        <f>IF(62&gt;=32,('Testes estatísticos'!$D$37+'Testes estatísticos'!$D$67)/2,"")</f>
        <v>-1.3193035000000002</v>
      </c>
      <c r="BL210" s="7">
        <f>IF(63&gt;=32,('Testes estatísticos'!$D$37+'Testes estatísticos'!$D$68)/2,"")</f>
        <v>-0.41998900000000106</v>
      </c>
      <c r="BM210" s="7">
        <f>IF(64&gt;=32,('Testes estatísticos'!$D$37+'Testes estatísticos'!$D$69)/2,"")</f>
        <v>-0.36914700000000167</v>
      </c>
      <c r="BN210" s="7">
        <f>IF(65&gt;=32,('Testes estatísticos'!$D$37+'Testes estatísticos'!$D$70)/2,"")</f>
        <v>-2.5149535000000007</v>
      </c>
      <c r="BO210" s="7">
        <f>IF(66&gt;=32,('Testes estatísticos'!$D$37+'Testes estatísticos'!$D$71)/2,"")</f>
        <v>-1.6191010000000006</v>
      </c>
      <c r="BP210" s="7">
        <f>IF(67&gt;=32,('Testes estatísticos'!$D$37+'Testes estatísticos'!$D$72)/2,"")</f>
        <v>-4.5095600000000005</v>
      </c>
      <c r="BQ210" s="7">
        <f>IF(68&gt;=32,('Testes estatísticos'!$D$37+'Testes estatísticos'!$D$73)/2,"")</f>
        <v>0.15367299999999773</v>
      </c>
      <c r="BR210" s="7">
        <f>IF(69&gt;=32,('Testes estatísticos'!$D$37+'Testes estatísticos'!$D$74)/2,"")</f>
        <v>0.78585499999999797</v>
      </c>
      <c r="BS210" s="7">
        <f>IF(70&gt;=32,('Testes estatísticos'!$D$37+'Testes estatísticos'!$D$75)/2,"")</f>
        <v>-0.21860950000000301</v>
      </c>
      <c r="BT210" s="7">
        <f>IF(71&gt;=32,('Testes estatísticos'!$D$37+'Testes estatísticos'!$D$76)/2,"")</f>
        <v>1.3557554999999972</v>
      </c>
      <c r="BU210" s="7">
        <f>IF(72&gt;=32,('Testes estatísticos'!$D$37+'Testes estatísticos'!$D$77)/2,"")</f>
        <v>-4.2439415000000018</v>
      </c>
      <c r="BV210" s="7">
        <f>IF(73&gt;=32,('Testes estatísticos'!$D$37+'Testes estatísticos'!$D$78)/2,"")</f>
        <v>-2.1704670000000021</v>
      </c>
      <c r="BW210" s="7">
        <f>IF(74&gt;=32,('Testes estatísticos'!$D$37+'Testes estatísticos'!$D$79)/2,"")</f>
        <v>-2.8537855000000008</v>
      </c>
      <c r="BX210" s="7">
        <f>IF(75&gt;=32,('Testes estatísticos'!$D$37+'Testes estatísticos'!$D$80)/2,"")</f>
        <v>-2.8755635000000019</v>
      </c>
      <c r="BY210" s="7">
        <f>IF(76&gt;=32,('Testes estatísticos'!$D$37+'Testes estatísticos'!$D$81)/2,"")</f>
        <v>1.2558945000000001</v>
      </c>
      <c r="BZ210" s="7">
        <f>IF(77&gt;=32,('Testes estatísticos'!$D$37+'Testes estatísticos'!$D$82)/2,"")</f>
        <v>-4.0056949999999993</v>
      </c>
      <c r="CA210" s="7">
        <f>IF(78&gt;=32,('Testes estatísticos'!$D$37+'Testes estatísticos'!$D$83)/2,"")</f>
        <v>-2.245435999999998</v>
      </c>
      <c r="CB210" s="7">
        <f>IF(79&gt;=32,('Testes estatísticos'!$D$37+'Testes estatísticos'!$D$84)/2,"")</f>
        <v>-2.1937135000000012</v>
      </c>
      <c r="CC210" s="7">
        <f>IF(80&gt;=32,('Testes estatísticos'!$D$37+'Testes estatísticos'!$D$85)/2,"")</f>
        <v>-4.0007300000000008</v>
      </c>
      <c r="CD210" s="7">
        <f>IF(81&gt;=32,('Testes estatísticos'!$D$37+'Testes estatísticos'!$D$86)/2,"")</f>
        <v>-4.0508750000000013</v>
      </c>
      <c r="CE210" s="7">
        <f>IF(82&gt;=32,('Testes estatísticos'!$D$37+'Testes estatísticos'!$D$87)/2,"")</f>
        <v>-1.9730845000000024</v>
      </c>
      <c r="CF210" s="7">
        <f>IF(83&gt;=32,('Testes estatísticos'!$D$37+'Testes estatísticos'!$D$88)/2,"")</f>
        <v>-2.5018915000000028</v>
      </c>
      <c r="CG210" s="7">
        <f>IF(84&gt;=32,('Testes estatísticos'!$D$37+'Testes estatísticos'!$D$89)/2,"")</f>
        <v>-2.8337985000000003</v>
      </c>
      <c r="CH210" s="7">
        <f>IF(85&gt;=32,('Testes estatísticos'!$D$37+'Testes estatísticos'!$D$90)/2,"")</f>
        <v>-1.0182515000000016</v>
      </c>
      <c r="CI210" s="7">
        <f>IF(86&gt;=32,('Testes estatísticos'!$D$37+'Testes estatísticos'!$D$91)/2,"")</f>
        <v>-3.7084109999999981</v>
      </c>
      <c r="CJ210" s="7">
        <f>IF(87&gt;=32,('Testes estatísticos'!$D$37+'Testes estatísticos'!$D$92)/2,"")</f>
        <v>-2.4662044999999999</v>
      </c>
      <c r="CK210" s="7">
        <f>IF(88&gt;=32,('Testes estatísticos'!$D$37+'Testes estatísticos'!$D$93)/2,"")</f>
        <v>-2.2221210000000013</v>
      </c>
      <c r="CL210" s="7">
        <f>IF(89&gt;=32,('Testes estatísticos'!$D$37+'Testes estatísticos'!$D$94)/2,"")</f>
        <v>-2.833713000000003</v>
      </c>
      <c r="CM210" s="7">
        <f>IF(90&gt;=32,('Testes estatísticos'!$D$37+'Testes estatísticos'!$D$95)/2,"")</f>
        <v>-5.1678449999999998</v>
      </c>
      <c r="CN210" s="7">
        <f>IF(91&gt;=32,('Testes estatísticos'!$D$37+'Testes estatísticos'!$D$96)/2,"")</f>
        <v>-2.6293219999999984</v>
      </c>
      <c r="CO210" s="7">
        <f>IF(92&gt;=32,('Testes estatísticos'!$D$37+'Testes estatísticos'!$D$97)/2,"")</f>
        <v>-2.9758254999999991</v>
      </c>
      <c r="CP210" s="7">
        <f>IF(93&gt;=32,('Testes estatísticos'!$D$37+'Testes estatísticos'!$D$98)/2,"")</f>
        <v>-3.1805774999999983</v>
      </c>
      <c r="CQ210" s="7">
        <f>IF(94&gt;=32,('Testes estatísticos'!$D$37+'Testes estatísticos'!$D$99)/2,"")</f>
        <v>-0.9994195000000019</v>
      </c>
      <c r="CR210" s="7">
        <f>IF(95&gt;=32,('Testes estatísticos'!$D$37+'Testes estatísticos'!$D$100)/2,"")</f>
        <v>-2.9052125000000011</v>
      </c>
      <c r="CS210" s="7">
        <f>IF(96&gt;=32,('Testes estatísticos'!$D$37+'Testes estatísticos'!$D$101)/2,"")</f>
        <v>-2.8612255000000033</v>
      </c>
      <c r="CT210" s="7">
        <f>IF(97&gt;=32,('Testes estatísticos'!$D$37+'Testes estatísticos'!$D$102)/2,"")</f>
        <v>-2.6281750000000024</v>
      </c>
      <c r="CU210" s="7">
        <f>IF(98&gt;=32,('Testes estatísticos'!$D$37+'Testes estatísticos'!$D$103)/2,"")</f>
        <v>-2.5708489999999991</v>
      </c>
      <c r="CV210" s="7">
        <f>IF(99&gt;=32,('Testes estatísticos'!$D$37+'Testes estatísticos'!$D$104)/2,"")</f>
        <v>-3.0056750000000001</v>
      </c>
      <c r="CW210" s="7">
        <f>IF(100&gt;=32,('Testes estatísticos'!$D$37+'Testes estatísticos'!$D$105)/2,"")</f>
        <v>-3.1051409999999997</v>
      </c>
      <c r="CX210" s="7">
        <f>IF(101&gt;=32,('Testes estatísticos'!$D$37+'Testes estatísticos'!$D$106)/2,"")</f>
        <v>-2.5822144999999992</v>
      </c>
      <c r="CY210" s="7">
        <f>IF(102&gt;=32,('Testes estatísticos'!$D$37+'Testes estatísticos'!$D$107)/2,"")</f>
        <v>-2.6378795000000004</v>
      </c>
      <c r="CZ210" s="7">
        <f>IF(103&gt;=32,('Testes estatísticos'!$D$37+'Testes estatísticos'!$D$108)/2,"")</f>
        <v>-3.1620460000000001</v>
      </c>
      <c r="DA210" s="7">
        <f>IF(104&gt;=32,('Testes estatísticos'!$D$37+'Testes estatísticos'!$D$109)/2,"")</f>
        <v>-2.8994119999999981</v>
      </c>
      <c r="DB210" s="7">
        <f>IF(105&gt;=32,('Testes estatísticos'!$D$37+'Testes estatísticos'!$D$110)/2,"")</f>
        <v>-2.865081</v>
      </c>
      <c r="DC210" s="7">
        <f>IF(106&gt;=32,('Testes estatísticos'!$D$37+'Testes estatísticos'!$D$111)/2,"")</f>
        <v>-2.1221600000000009</v>
      </c>
      <c r="DD210" s="7">
        <f>IF(107&gt;=32,('Testes estatísticos'!$D$37+'Testes estatísticos'!$D$112)/2,"")</f>
        <v>1.3710109999999993</v>
      </c>
      <c r="DE210" s="7">
        <f>IF(108&gt;=32,('Testes estatísticos'!$D$37+'Testes estatísticos'!$D$113)/2,"")</f>
        <v>-2.0516244999999991</v>
      </c>
      <c r="DF210" s="7">
        <f>IF(109&gt;=32,('Testes estatísticos'!$D$37+'Testes estatísticos'!$D$114)/2,"")</f>
        <v>-2.0878814999999982</v>
      </c>
      <c r="DG210" s="7">
        <f>IF(110&gt;=32,('Testes estatísticos'!$D$37+'Testes estatísticos'!$D$115)/2,"")</f>
        <v>-7.6350210000000018</v>
      </c>
      <c r="DH210" s="7">
        <f>IF(111&gt;=32,('Testes estatísticos'!$D$37+'Testes estatísticos'!$D$116)/2,"")</f>
        <v>-1.9541904999999993</v>
      </c>
      <c r="DI210" s="7">
        <f>IF(112&gt;=32,('Testes estatísticos'!$D$37+'Testes estatísticos'!$D$117)/2,"")</f>
        <v>3.4742494999999991</v>
      </c>
      <c r="DJ210" s="7">
        <f>IF(113&gt;=32,('Testes estatísticos'!$D$37+'Testes estatísticos'!$D$118)/2,"")</f>
        <v>-1.982307500000001</v>
      </c>
      <c r="DK210" s="7">
        <f>IF(114&gt;=32,('Testes estatísticos'!$D$37+'Testes estatísticos'!$D$119)/2,"")</f>
        <v>-2.0840575000000001</v>
      </c>
      <c r="DL210" s="7">
        <f>IF(115&gt;=32,('Testes estatísticos'!$D$37+'Testes estatísticos'!$D$120)/2,"")</f>
        <v>-2.0375799999999984</v>
      </c>
      <c r="DM210" s="7">
        <f>IF(116&gt;=32,('Testes estatísticos'!$D$37+'Testes estatísticos'!$D$121)/2,"")</f>
        <v>-2.0289774999999999</v>
      </c>
      <c r="DN210" s="7">
        <f>IF(117&gt;=32,('Testes estatísticos'!$D$37+'Testes estatísticos'!$D$122)/2,"")</f>
        <v>-2.0059095000000013</v>
      </c>
      <c r="DO210" s="7">
        <f>IF(118&gt;=32,('Testes estatísticos'!$D$37+'Testes estatísticos'!$D$123)/2,"")</f>
        <v>-1.955999000000002</v>
      </c>
      <c r="DP210" s="7">
        <f>IF(119&gt;=32,('Testes estatísticos'!$D$37+'Testes estatísticos'!$D$124)/2,"")</f>
        <v>-1.9772105000000018</v>
      </c>
      <c r="DQ210" s="7">
        <f>IF(120&gt;=32,('Testes estatísticos'!$D$37+'Testes estatísticos'!$D$125)/2,"")</f>
        <v>1.0744040000000012</v>
      </c>
      <c r="DR210" s="7">
        <f>IF(121&gt;=32,('Testes estatísticos'!$D$37+'Testes estatísticos'!$D$126)/2,"")</f>
        <v>-1.7146125000000012</v>
      </c>
      <c r="DS210" s="7">
        <f>IF(122&gt;=32,('Testes estatísticos'!$D$37+'Testes estatísticos'!$D$127)/2,"")</f>
        <v>-2.7800209999999979</v>
      </c>
      <c r="DT210" s="7">
        <f>IF(123&gt;=32,('Testes estatísticos'!$D$37+'Testes estatísticos'!$D$128)/2,"")</f>
        <v>3.2888484999999967</v>
      </c>
      <c r="DU210" s="7">
        <f>IF(124&gt;=32,('Testes estatísticos'!$D$37+'Testes estatísticos'!$D$129)/2,"")</f>
        <v>-1.6069230000000019</v>
      </c>
      <c r="DV210" s="7">
        <f>IF(125&gt;=32,('Testes estatísticos'!$D$37+'Testes estatísticos'!$D$130)/2,"")</f>
        <v>-0.4486155000000025</v>
      </c>
      <c r="DW210" s="7">
        <f>IF(126&gt;=32,('Testes estatísticos'!$D$37+'Testes estatísticos'!$D$131)/2,"")</f>
        <v>-2.8520915000000002</v>
      </c>
      <c r="DX210" s="7">
        <f>IF(127&gt;=32,('Testes estatísticos'!$D$37+'Testes estatísticos'!$D$132)/2,"")</f>
        <v>-4.9082830000000008</v>
      </c>
      <c r="DY210" s="7">
        <f>IF(128&gt;=32,('Testes estatísticos'!$D$37+'Testes estatísticos'!$D$133)/2,"")</f>
        <v>-5.2493724999999998</v>
      </c>
      <c r="DZ210" s="7">
        <f>IF(129&gt;=32,('Testes estatísticos'!$D$37+'Testes estatísticos'!$D$134)/2,"")</f>
        <v>-8.6731625000000001</v>
      </c>
      <c r="EA210" s="7">
        <f>IF(130&gt;=32,('Testes estatísticos'!$D$37+'Testes estatísticos'!$D$135)/2,"")</f>
        <v>-2.9113924999999981</v>
      </c>
      <c r="EB210" s="7">
        <f>IF(131&gt;=32,('Testes estatísticos'!$D$37+'Testes estatísticos'!$D$136)/2,"")</f>
        <v>-2.8235195000000033</v>
      </c>
      <c r="EC210" s="7">
        <f>IF(132&gt;=32,('Testes estatísticos'!$D$37+'Testes estatísticos'!$D$137)/2,"")</f>
        <v>-4.3102560000000025</v>
      </c>
      <c r="ED210" s="7">
        <f>IF(133&gt;=32,('Testes estatísticos'!$D$37+'Testes estatísticos'!$D$138)/2,"")</f>
        <v>-2.121318500000001</v>
      </c>
      <c r="EE210" s="7">
        <f>IF(134&gt;=32,('Testes estatísticos'!$D$37+'Testes estatísticos'!$D$139)/2,"")</f>
        <v>-4.4185090000000038</v>
      </c>
      <c r="EF210" s="7">
        <f>IF(135&gt;=32,('Testes estatísticos'!$D$37+'Testes estatísticos'!$D$140)/2,"")</f>
        <v>-1.2040764999999993</v>
      </c>
      <c r="EG210" s="7">
        <f>IF(136&gt;=32,('Testes estatísticos'!$D$37+'Testes estatísticos'!$D$141)/2,"")</f>
        <v>-2.8975665000000035</v>
      </c>
      <c r="EH210" s="7">
        <f>IF(137&gt;=32,('Testes estatísticos'!$D$37+'Testes estatísticos'!$D$142)/2,"")</f>
        <v>-1.1928265000000025</v>
      </c>
      <c r="EI210" s="7">
        <f>IF(138&gt;=32,('Testes estatísticos'!$D$37+'Testes estatísticos'!$D$143)/2,"")</f>
        <v>-2.857841999999998</v>
      </c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</row>
    <row r="211" spans="2:151" x14ac:dyDescent="0.3">
      <c r="B211" s="7" t="str">
        <f>IF(1&gt;=33,('Testes estatísticos'!$D$38+'Testes estatísticos'!$D$6)/2,"")</f>
        <v/>
      </c>
      <c r="C211" s="7" t="str">
        <f>IF(2&gt;=33,('Testes estatísticos'!$D$38+'Testes estatísticos'!$D$7)/2,"")</f>
        <v/>
      </c>
      <c r="D211" s="7" t="str">
        <f>IF(3&gt;=33,('Testes estatísticos'!$D$38+'Testes estatísticos'!$D$8)/2,"")</f>
        <v/>
      </c>
      <c r="E211" s="7" t="str">
        <f>IF(4&gt;=33,('Testes estatísticos'!$D$38+'Testes estatísticos'!$D$9)/2,"")</f>
        <v/>
      </c>
      <c r="F211" s="7" t="str">
        <f>IF(5&gt;=33,('Testes estatísticos'!$D$38+'Testes estatísticos'!$D$10)/2,"")</f>
        <v/>
      </c>
      <c r="G211" s="7" t="str">
        <f>IF(6&gt;=33,('Testes estatísticos'!$D$38+'Testes estatísticos'!$D$11)/2,"")</f>
        <v/>
      </c>
      <c r="H211" s="7" t="str">
        <f>IF(7&gt;=33,('Testes estatísticos'!$D$38+'Testes estatísticos'!$D$12)/2,"")</f>
        <v/>
      </c>
      <c r="I211" s="7" t="str">
        <f>IF(8&gt;=33,('Testes estatísticos'!$D$38+'Testes estatísticos'!$D$13)/2,"")</f>
        <v/>
      </c>
      <c r="J211" s="7" t="str">
        <f>IF(9&gt;=33,('Testes estatísticos'!$D$38+'Testes estatísticos'!$D$14)/2,"")</f>
        <v/>
      </c>
      <c r="K211" s="7" t="str">
        <f>IF(10&gt;=33,('Testes estatísticos'!$D$38+'Testes estatísticos'!$D$15)/2,"")</f>
        <v/>
      </c>
      <c r="L211" s="7" t="str">
        <f>IF(11&gt;=33,('Testes estatísticos'!$D$38+'Testes estatísticos'!$D$16)/2,"")</f>
        <v/>
      </c>
      <c r="M211" s="7" t="str">
        <f>IF(12&gt;=33,('Testes estatísticos'!$D$38+'Testes estatísticos'!$D$17)/2,"")</f>
        <v/>
      </c>
      <c r="N211" s="7" t="str">
        <f>IF(13&gt;=33,('Testes estatísticos'!$D$38+'Testes estatísticos'!$D$18)/2,"")</f>
        <v/>
      </c>
      <c r="O211" s="7" t="str">
        <f>IF(14&gt;=33,('Testes estatísticos'!$D$38+'Testes estatísticos'!$D$19)/2,"")</f>
        <v/>
      </c>
      <c r="P211" s="7" t="str">
        <f>IF(15&gt;=33,('Testes estatísticos'!$D$38+'Testes estatísticos'!$D$20)/2,"")</f>
        <v/>
      </c>
      <c r="Q211" s="7" t="str">
        <f>IF(16&gt;=33,('Testes estatísticos'!$D$38+'Testes estatísticos'!$D$21)/2,"")</f>
        <v/>
      </c>
      <c r="R211" s="7" t="str">
        <f>IF(17&gt;=33,('Testes estatísticos'!$D$38+'Testes estatísticos'!$D$22)/2,"")</f>
        <v/>
      </c>
      <c r="S211" s="7" t="str">
        <f>IF(18&gt;=33,('Testes estatísticos'!$D$38+'Testes estatísticos'!$D$23)/2,"")</f>
        <v/>
      </c>
      <c r="T211" s="7" t="str">
        <f>IF(19&gt;=33,('Testes estatísticos'!$D$38+'Testes estatísticos'!$D$24)/2,"")</f>
        <v/>
      </c>
      <c r="U211" s="7" t="str">
        <f>IF(20&gt;=33,('Testes estatísticos'!$D$38+'Testes estatísticos'!$D$25)/2,"")</f>
        <v/>
      </c>
      <c r="V211" s="7" t="str">
        <f>IF(21&gt;=33,('Testes estatísticos'!$D$38+'Testes estatísticos'!$D$26)/2,"")</f>
        <v/>
      </c>
      <c r="W211" s="7" t="str">
        <f>IF(22&gt;=33,('Testes estatísticos'!$D$38+'Testes estatísticos'!$D$27)/2,"")</f>
        <v/>
      </c>
      <c r="X211" s="7" t="str">
        <f>IF(23&gt;=33,('Testes estatísticos'!$D$38+'Testes estatísticos'!$D$28)/2,"")</f>
        <v/>
      </c>
      <c r="Y211" s="7" t="str">
        <f>IF(24&gt;=33,('Testes estatísticos'!$D$38+'Testes estatísticos'!$D$29)/2,"")</f>
        <v/>
      </c>
      <c r="Z211" s="7" t="str">
        <f>IF(25&gt;=33,('Testes estatísticos'!$D$38+'Testes estatísticos'!$D$30)/2,"")</f>
        <v/>
      </c>
      <c r="AA211" s="7" t="str">
        <f>IF(26&gt;=33,('Testes estatísticos'!$D$38+'Testes estatísticos'!$D$31)/2,"")</f>
        <v/>
      </c>
      <c r="AB211" s="7" t="str">
        <f>IF(27&gt;=33,('Testes estatísticos'!$D$38+'Testes estatísticos'!$D$32)/2,"")</f>
        <v/>
      </c>
      <c r="AC211" s="7" t="str">
        <f>IF(28&gt;=33,('Testes estatísticos'!$D$38+'Testes estatísticos'!$D$33)/2,"")</f>
        <v/>
      </c>
      <c r="AD211" s="7" t="str">
        <f>IF(29&gt;=33,('Testes estatísticos'!$D$38+'Testes estatísticos'!$D$34)/2,"")</f>
        <v/>
      </c>
      <c r="AE211" s="7" t="str">
        <f>IF(30&gt;=33,('Testes estatísticos'!$D$38+'Testes estatísticos'!$D$35)/2,"")</f>
        <v/>
      </c>
      <c r="AF211" s="7" t="str">
        <f>IF(31&gt;=33,('Testes estatísticos'!$D$38+'Testes estatísticos'!$D$36)/2,"")</f>
        <v/>
      </c>
      <c r="AG211" s="7" t="str">
        <f>IF(32&gt;=33,('Testes estatísticos'!$D$38+'Testes estatísticos'!$D$37)/2,"")</f>
        <v/>
      </c>
      <c r="AH211" s="7">
        <f>IF(33&gt;=33,('Testes estatísticos'!$D$38+'Testes estatísticos'!$D$38)/2,"")</f>
        <v>-2.2604480000000038</v>
      </c>
      <c r="AI211" s="7">
        <f>IF(34&gt;=33,('Testes estatísticos'!$D$38+'Testes estatísticos'!$D$39)/2,"")</f>
        <v>0.55609799999999865</v>
      </c>
      <c r="AJ211" s="7">
        <f>IF(35&gt;=33,('Testes estatísticos'!$D$38+'Testes estatísticos'!$D$40)/2,"")</f>
        <v>-2.1854000000000013</v>
      </c>
      <c r="AK211" s="7">
        <f>IF(36&gt;=33,('Testes estatísticos'!$D$38+'Testes estatísticos'!$D$41)/2,"")</f>
        <v>8.2544499999997356E-2</v>
      </c>
      <c r="AL211" s="7">
        <f>IF(37&gt;=33,('Testes estatísticos'!$D$38+'Testes estatísticos'!$D$42)/2,"")</f>
        <v>-2.1960165000000025</v>
      </c>
      <c r="AM211" s="7">
        <f>IF(38&gt;=33,('Testes estatísticos'!$D$38+'Testes estatísticos'!$D$43)/2,"")</f>
        <v>-2.1831570000000013</v>
      </c>
      <c r="AN211" s="7">
        <f>IF(39&gt;=33,('Testes estatísticos'!$D$38+'Testes estatísticos'!$D$44)/2,"")</f>
        <v>-3.3201510000000027</v>
      </c>
      <c r="AO211" s="7">
        <f>IF(40&gt;=33,('Testes estatísticos'!$D$38+'Testes estatísticos'!$D$45)/2,"")</f>
        <v>0.65477549999999596</v>
      </c>
      <c r="AP211" s="7">
        <f>IF(41&gt;=33,('Testes estatísticos'!$D$38+'Testes estatísticos'!$D$46)/2,"")</f>
        <v>-1.8511640000000007</v>
      </c>
      <c r="AQ211" s="7">
        <f>IF(42&gt;=33,('Testes estatísticos'!$D$38+'Testes estatísticos'!$D$47)/2,"")</f>
        <v>-0.70880500000000168</v>
      </c>
      <c r="AR211" s="7">
        <f>IF(43&gt;=33,('Testes estatísticos'!$D$38+'Testes estatísticos'!$D$48)/2,"")</f>
        <v>-1.7577190000000016</v>
      </c>
      <c r="AS211" s="7">
        <f>IF(44&gt;=33,('Testes estatísticos'!$D$38+'Testes estatísticos'!$D$49)/2,"")</f>
        <v>-2.2888420000000025</v>
      </c>
      <c r="AT211" s="7">
        <f>IF(45&gt;=33,('Testes estatísticos'!$D$38+'Testes estatísticos'!$D$50)/2,"")</f>
        <v>-1.4597635000000011</v>
      </c>
      <c r="AU211" s="7">
        <f>IF(46&gt;=33,('Testes estatísticos'!$D$38+'Testes estatísticos'!$D$51)/2,"")</f>
        <v>-4.4909595000000024</v>
      </c>
      <c r="AV211" s="7">
        <f>IF(47&gt;=33,('Testes estatísticos'!$D$38+'Testes estatísticos'!$D$52)/2,"")</f>
        <v>0.57921349999999805</v>
      </c>
      <c r="AW211" s="7">
        <f>IF(48&gt;=33,('Testes estatísticos'!$D$38+'Testes estatísticos'!$D$53)/2,"")</f>
        <v>-3.8568175000000018</v>
      </c>
      <c r="AX211" s="7">
        <f>IF(49&gt;=33,('Testes estatísticos'!$D$38+'Testes estatísticos'!$D$54)/2,"")</f>
        <v>-2.5970270000000006</v>
      </c>
      <c r="AY211" s="7">
        <f>IF(50&gt;=33,('Testes estatísticos'!$D$38+'Testes estatísticos'!$D$55)/2,"")</f>
        <v>-0.9718625000000003</v>
      </c>
      <c r="AZ211" s="7">
        <f>IF(51&gt;=33,('Testes estatísticos'!$D$38+'Testes estatísticos'!$D$56)/2,"")</f>
        <v>-0.92739300000000213</v>
      </c>
      <c r="BA211" s="7">
        <f>IF(52&gt;=33,('Testes estatísticos'!$D$38+'Testes estatísticos'!$D$57)/2,"")</f>
        <v>-4.3356090000000016</v>
      </c>
      <c r="BB211" s="7">
        <f>IF(53&gt;=33,('Testes estatísticos'!$D$38+'Testes estatísticos'!$D$58)/2,"")</f>
        <v>-0.92684649999999991</v>
      </c>
      <c r="BC211" s="7">
        <f>IF(54&gt;=33,('Testes estatísticos'!$D$38+'Testes estatísticos'!$D$59)/2,"")</f>
        <v>-1.8464890000000018</v>
      </c>
      <c r="BD211" s="7">
        <f>IF(55&gt;=33,('Testes estatísticos'!$D$38+'Testes estatísticos'!$D$60)/2,"")</f>
        <v>1.2491819999999976</v>
      </c>
      <c r="BE211" s="7">
        <f>IF(56&gt;=33,('Testes estatísticos'!$D$38+'Testes estatísticos'!$D$61)/2,"")</f>
        <v>-1.3807864999999993</v>
      </c>
      <c r="BF211" s="7">
        <f>IF(57&gt;=33,('Testes estatísticos'!$D$38+'Testes estatísticos'!$D$62)/2,"")</f>
        <v>-4.7809765000000048</v>
      </c>
      <c r="BG211" s="7">
        <f>IF(58&gt;=33,('Testes estatísticos'!$D$38+'Testes estatísticos'!$D$63)/2,"")</f>
        <v>0.48491849999999914</v>
      </c>
      <c r="BH211" s="7">
        <f>IF(59&gt;=33,('Testes estatísticos'!$D$38+'Testes estatísticos'!$D$64)/2,"")</f>
        <v>-5.3586940000000034</v>
      </c>
      <c r="BI211" s="7">
        <f>IF(60&gt;=33,('Testes estatísticos'!$D$38+'Testes estatísticos'!$D$65)/2,"")</f>
        <v>-3.611103</v>
      </c>
      <c r="BJ211" s="7">
        <f>IF(61&gt;=33,('Testes estatísticos'!$D$38+'Testes estatísticos'!$D$66)/2,"")</f>
        <v>-0.97604800000000225</v>
      </c>
      <c r="BK211" s="7">
        <f>IF(62&gt;=33,('Testes estatísticos'!$D$38+'Testes estatísticos'!$D$67)/2,"")</f>
        <v>-1.4848430000000015</v>
      </c>
      <c r="BL211" s="7">
        <f>IF(63&gt;=33,('Testes estatísticos'!$D$38+'Testes estatísticos'!$D$68)/2,"")</f>
        <v>-0.58552850000000234</v>
      </c>
      <c r="BM211" s="7">
        <f>IF(64&gt;=33,('Testes estatísticos'!$D$38+'Testes estatísticos'!$D$69)/2,"")</f>
        <v>-0.53468650000000295</v>
      </c>
      <c r="BN211" s="7">
        <f>IF(65&gt;=33,('Testes estatísticos'!$D$38+'Testes estatísticos'!$D$70)/2,"")</f>
        <v>-2.680493000000002</v>
      </c>
      <c r="BO211" s="7">
        <f>IF(66&gt;=33,('Testes estatísticos'!$D$38+'Testes estatísticos'!$D$71)/2,"")</f>
        <v>-1.7846405000000019</v>
      </c>
      <c r="BP211" s="7">
        <f>IF(67&gt;=33,('Testes estatísticos'!$D$38+'Testes estatísticos'!$D$72)/2,"")</f>
        <v>-4.6750995000000017</v>
      </c>
      <c r="BQ211" s="7">
        <f>IF(68&gt;=33,('Testes estatísticos'!$D$38+'Testes estatísticos'!$D$73)/2,"")</f>
        <v>-1.1866500000003555E-2</v>
      </c>
      <c r="BR211" s="7">
        <f>IF(69&gt;=33,('Testes estatísticos'!$D$38+'Testes estatísticos'!$D$74)/2,"")</f>
        <v>0.62031549999999669</v>
      </c>
      <c r="BS211" s="7">
        <f>IF(70&gt;=33,('Testes estatísticos'!$D$38+'Testes estatísticos'!$D$75)/2,"")</f>
        <v>-0.38414900000000429</v>
      </c>
      <c r="BT211" s="7">
        <f>IF(71&gt;=33,('Testes estatísticos'!$D$38+'Testes estatísticos'!$D$76)/2,"")</f>
        <v>1.1902159999999959</v>
      </c>
      <c r="BU211" s="7">
        <f>IF(72&gt;=33,('Testes estatísticos'!$D$38+'Testes estatísticos'!$D$77)/2,"")</f>
        <v>-4.4094810000000031</v>
      </c>
      <c r="BV211" s="7">
        <f>IF(73&gt;=33,('Testes estatísticos'!$D$38+'Testes estatísticos'!$D$78)/2,"")</f>
        <v>-2.3360065000000034</v>
      </c>
      <c r="BW211" s="7">
        <f>IF(74&gt;=33,('Testes estatísticos'!$D$38+'Testes estatísticos'!$D$79)/2,"")</f>
        <v>-3.019325000000002</v>
      </c>
      <c r="BX211" s="7">
        <f>IF(75&gt;=33,('Testes estatísticos'!$D$38+'Testes estatísticos'!$D$80)/2,"")</f>
        <v>-3.0411030000000032</v>
      </c>
      <c r="BY211" s="7">
        <f>IF(76&gt;=33,('Testes estatísticos'!$D$38+'Testes estatísticos'!$D$81)/2,"")</f>
        <v>1.0903549999999989</v>
      </c>
      <c r="BZ211" s="7">
        <f>IF(77&gt;=33,('Testes estatísticos'!$D$38+'Testes estatísticos'!$D$82)/2,"")</f>
        <v>-4.1712345000000006</v>
      </c>
      <c r="CA211" s="7">
        <f>IF(78&gt;=33,('Testes estatísticos'!$D$38+'Testes estatísticos'!$D$83)/2,"")</f>
        <v>-2.4109754999999993</v>
      </c>
      <c r="CB211" s="7">
        <f>IF(79&gt;=33,('Testes estatísticos'!$D$38+'Testes estatísticos'!$D$84)/2,"")</f>
        <v>-2.3592530000000025</v>
      </c>
      <c r="CC211" s="7">
        <f>IF(80&gt;=33,('Testes estatísticos'!$D$38+'Testes estatísticos'!$D$85)/2,"")</f>
        <v>-4.1662695000000021</v>
      </c>
      <c r="CD211" s="7">
        <f>IF(81&gt;=33,('Testes estatísticos'!$D$38+'Testes estatísticos'!$D$86)/2,"")</f>
        <v>-4.2164145000000026</v>
      </c>
      <c r="CE211" s="7">
        <f>IF(82&gt;=33,('Testes estatísticos'!$D$38+'Testes estatísticos'!$D$87)/2,"")</f>
        <v>-2.1386240000000036</v>
      </c>
      <c r="CF211" s="7">
        <f>IF(83&gt;=33,('Testes estatísticos'!$D$38+'Testes estatísticos'!$D$88)/2,"")</f>
        <v>-2.6674310000000041</v>
      </c>
      <c r="CG211" s="7">
        <f>IF(84&gt;=33,('Testes estatísticos'!$D$38+'Testes estatísticos'!$D$89)/2,"")</f>
        <v>-2.9993380000000016</v>
      </c>
      <c r="CH211" s="7">
        <f>IF(85&gt;=33,('Testes estatísticos'!$D$38+'Testes estatísticos'!$D$90)/2,"")</f>
        <v>-1.1837910000000029</v>
      </c>
      <c r="CI211" s="7">
        <f>IF(86&gt;=33,('Testes estatísticos'!$D$38+'Testes estatísticos'!$D$91)/2,"")</f>
        <v>-3.8739504999999994</v>
      </c>
      <c r="CJ211" s="7">
        <f>IF(87&gt;=33,('Testes estatísticos'!$D$38+'Testes estatísticos'!$D$92)/2,"")</f>
        <v>-2.6317440000000012</v>
      </c>
      <c r="CK211" s="7">
        <f>IF(88&gt;=33,('Testes estatísticos'!$D$38+'Testes estatísticos'!$D$93)/2,"")</f>
        <v>-2.3876605000000026</v>
      </c>
      <c r="CL211" s="7">
        <f>IF(89&gt;=33,('Testes estatísticos'!$D$38+'Testes estatísticos'!$D$94)/2,"")</f>
        <v>-2.9992525000000043</v>
      </c>
      <c r="CM211" s="7">
        <f>IF(90&gt;=33,('Testes estatísticos'!$D$38+'Testes estatísticos'!$D$95)/2,"")</f>
        <v>-5.3333845000000011</v>
      </c>
      <c r="CN211" s="7">
        <f>IF(91&gt;=33,('Testes estatísticos'!$D$38+'Testes estatísticos'!$D$96)/2,"")</f>
        <v>-2.7948614999999997</v>
      </c>
      <c r="CO211" s="7">
        <f>IF(92&gt;=33,('Testes estatísticos'!$D$38+'Testes estatísticos'!$D$97)/2,"")</f>
        <v>-3.1413650000000004</v>
      </c>
      <c r="CP211" s="7">
        <f>IF(93&gt;=33,('Testes estatísticos'!$D$38+'Testes estatísticos'!$D$98)/2,"")</f>
        <v>-3.3461169999999996</v>
      </c>
      <c r="CQ211" s="7">
        <f>IF(94&gt;=33,('Testes estatísticos'!$D$38+'Testes estatísticos'!$D$99)/2,"")</f>
        <v>-1.1649590000000032</v>
      </c>
      <c r="CR211" s="7">
        <f>IF(95&gt;=33,('Testes estatísticos'!$D$38+'Testes estatísticos'!$D$100)/2,"")</f>
        <v>-3.0707520000000024</v>
      </c>
      <c r="CS211" s="7">
        <f>IF(96&gt;=33,('Testes estatísticos'!$D$38+'Testes estatísticos'!$D$101)/2,"")</f>
        <v>-3.0267650000000046</v>
      </c>
      <c r="CT211" s="7">
        <f>IF(97&gt;=33,('Testes estatísticos'!$D$38+'Testes estatísticos'!$D$102)/2,"")</f>
        <v>-2.7937145000000037</v>
      </c>
      <c r="CU211" s="7">
        <f>IF(98&gt;=33,('Testes estatísticos'!$D$38+'Testes estatísticos'!$D$103)/2,"")</f>
        <v>-2.7363885000000003</v>
      </c>
      <c r="CV211" s="7">
        <f>IF(99&gt;=33,('Testes estatísticos'!$D$38+'Testes estatísticos'!$D$104)/2,"")</f>
        <v>-3.1712145000000014</v>
      </c>
      <c r="CW211" s="7">
        <f>IF(100&gt;=33,('Testes estatísticos'!$D$38+'Testes estatísticos'!$D$105)/2,"")</f>
        <v>-3.270680500000001</v>
      </c>
      <c r="CX211" s="7">
        <f>IF(101&gt;=33,('Testes estatísticos'!$D$38+'Testes estatísticos'!$D$106)/2,"")</f>
        <v>-2.7477540000000005</v>
      </c>
      <c r="CY211" s="7">
        <f>IF(102&gt;=33,('Testes estatísticos'!$D$38+'Testes estatísticos'!$D$107)/2,"")</f>
        <v>-2.8034190000000017</v>
      </c>
      <c r="CZ211" s="7">
        <f>IF(103&gt;=33,('Testes estatísticos'!$D$38+'Testes estatísticos'!$D$108)/2,"")</f>
        <v>-3.3275855000000014</v>
      </c>
      <c r="DA211" s="7">
        <f>IF(104&gt;=33,('Testes estatísticos'!$D$38+'Testes estatísticos'!$D$109)/2,"")</f>
        <v>-3.0649514999999994</v>
      </c>
      <c r="DB211" s="7">
        <f>IF(105&gt;=33,('Testes estatísticos'!$D$38+'Testes estatísticos'!$D$110)/2,"")</f>
        <v>-3.0306205000000013</v>
      </c>
      <c r="DC211" s="7">
        <f>IF(106&gt;=33,('Testes estatísticos'!$D$38+'Testes estatísticos'!$D$111)/2,"")</f>
        <v>-2.2876995000000022</v>
      </c>
      <c r="DD211" s="7">
        <f>IF(107&gt;=33,('Testes estatísticos'!$D$38+'Testes estatísticos'!$D$112)/2,"")</f>
        <v>1.205471499999998</v>
      </c>
      <c r="DE211" s="7">
        <f>IF(108&gt;=33,('Testes estatísticos'!$D$38+'Testes estatísticos'!$D$113)/2,"")</f>
        <v>-2.2171640000000004</v>
      </c>
      <c r="DF211" s="7">
        <f>IF(109&gt;=33,('Testes estatísticos'!$D$38+'Testes estatísticos'!$D$114)/2,"")</f>
        <v>-2.2534209999999995</v>
      </c>
      <c r="DG211" s="7">
        <f>IF(110&gt;=33,('Testes estatísticos'!$D$38+'Testes estatísticos'!$D$115)/2,"")</f>
        <v>-7.8005605000000031</v>
      </c>
      <c r="DH211" s="7">
        <f>IF(111&gt;=33,('Testes estatísticos'!$D$38+'Testes estatísticos'!$D$116)/2,"")</f>
        <v>-2.1197300000000006</v>
      </c>
      <c r="DI211" s="7">
        <f>IF(112&gt;=33,('Testes estatísticos'!$D$38+'Testes estatísticos'!$D$117)/2,"")</f>
        <v>3.3087099999999978</v>
      </c>
      <c r="DJ211" s="7">
        <f>IF(113&gt;=33,('Testes estatísticos'!$D$38+'Testes estatísticos'!$D$118)/2,"")</f>
        <v>-2.1478470000000023</v>
      </c>
      <c r="DK211" s="7">
        <f>IF(114&gt;=33,('Testes estatísticos'!$D$38+'Testes estatísticos'!$D$119)/2,"")</f>
        <v>-2.2495970000000014</v>
      </c>
      <c r="DL211" s="7">
        <f>IF(115&gt;=33,('Testes estatísticos'!$D$38+'Testes estatísticos'!$D$120)/2,"")</f>
        <v>-2.2031194999999997</v>
      </c>
      <c r="DM211" s="7">
        <f>IF(116&gt;=33,('Testes estatísticos'!$D$38+'Testes estatísticos'!$D$121)/2,"")</f>
        <v>-2.1945170000000012</v>
      </c>
      <c r="DN211" s="7">
        <f>IF(117&gt;=33,('Testes estatísticos'!$D$38+'Testes estatísticos'!$D$122)/2,"")</f>
        <v>-2.1714490000000026</v>
      </c>
      <c r="DO211" s="7">
        <f>IF(118&gt;=33,('Testes estatísticos'!$D$38+'Testes estatísticos'!$D$123)/2,"")</f>
        <v>-2.1215385000000033</v>
      </c>
      <c r="DP211" s="7">
        <f>IF(119&gt;=33,('Testes estatísticos'!$D$38+'Testes estatísticos'!$D$124)/2,"")</f>
        <v>-2.142750000000003</v>
      </c>
      <c r="DQ211" s="7">
        <f>IF(120&gt;=33,('Testes estatísticos'!$D$38+'Testes estatísticos'!$D$125)/2,"")</f>
        <v>0.90886449999999996</v>
      </c>
      <c r="DR211" s="7">
        <f>IF(121&gt;=33,('Testes estatísticos'!$D$38+'Testes estatísticos'!$D$126)/2,"")</f>
        <v>-1.8801520000000025</v>
      </c>
      <c r="DS211" s="7">
        <f>IF(122&gt;=33,('Testes estatísticos'!$D$38+'Testes estatísticos'!$D$127)/2,"")</f>
        <v>-2.9455604999999991</v>
      </c>
      <c r="DT211" s="7">
        <f>IF(123&gt;=33,('Testes estatísticos'!$D$38+'Testes estatísticos'!$D$128)/2,"")</f>
        <v>3.1233089999999955</v>
      </c>
      <c r="DU211" s="7">
        <f>IF(124&gt;=33,('Testes estatísticos'!$D$38+'Testes estatísticos'!$D$129)/2,"")</f>
        <v>-1.7724625000000032</v>
      </c>
      <c r="DV211" s="7">
        <f>IF(125&gt;=33,('Testes estatísticos'!$D$38+'Testes estatísticos'!$D$130)/2,"")</f>
        <v>-0.61415500000000378</v>
      </c>
      <c r="DW211" s="7">
        <f>IF(126&gt;=33,('Testes estatísticos'!$D$38+'Testes estatísticos'!$D$131)/2,"")</f>
        <v>-3.0176310000000015</v>
      </c>
      <c r="DX211" s="7">
        <f>IF(127&gt;=33,('Testes estatísticos'!$D$38+'Testes estatísticos'!$D$132)/2,"")</f>
        <v>-5.0738225000000021</v>
      </c>
      <c r="DY211" s="7">
        <f>IF(128&gt;=33,('Testes estatísticos'!$D$38+'Testes estatísticos'!$D$133)/2,"")</f>
        <v>-5.4149120000000011</v>
      </c>
      <c r="DZ211" s="7">
        <f>IF(129&gt;=33,('Testes estatísticos'!$D$38+'Testes estatísticos'!$D$134)/2,"")</f>
        <v>-8.8387020000000014</v>
      </c>
      <c r="EA211" s="7">
        <f>IF(130&gt;=33,('Testes estatísticos'!$D$38+'Testes estatísticos'!$D$135)/2,"")</f>
        <v>-3.0769319999999993</v>
      </c>
      <c r="EB211" s="7">
        <f>IF(131&gt;=33,('Testes estatísticos'!$D$38+'Testes estatísticos'!$D$136)/2,"")</f>
        <v>-2.9890590000000046</v>
      </c>
      <c r="EC211" s="7">
        <f>IF(132&gt;=33,('Testes estatísticos'!$D$38+'Testes estatísticos'!$D$137)/2,"")</f>
        <v>-4.4757955000000038</v>
      </c>
      <c r="ED211" s="7">
        <f>IF(133&gt;=33,('Testes estatísticos'!$D$38+'Testes estatísticos'!$D$138)/2,"")</f>
        <v>-2.2868580000000023</v>
      </c>
      <c r="EE211" s="7">
        <f>IF(134&gt;=33,('Testes estatísticos'!$D$38+'Testes estatísticos'!$D$139)/2,"")</f>
        <v>-4.5840485000000051</v>
      </c>
      <c r="EF211" s="7">
        <f>IF(135&gt;=33,('Testes estatísticos'!$D$38+'Testes estatísticos'!$D$140)/2,"")</f>
        <v>-1.3696160000000006</v>
      </c>
      <c r="EG211" s="7">
        <f>IF(136&gt;=33,('Testes estatísticos'!$D$38+'Testes estatísticos'!$D$141)/2,"")</f>
        <v>-3.0631060000000048</v>
      </c>
      <c r="EH211" s="7">
        <f>IF(137&gt;=33,('Testes estatísticos'!$D$38+'Testes estatísticos'!$D$142)/2,"")</f>
        <v>-1.3583660000000037</v>
      </c>
      <c r="EI211" s="7">
        <f>IF(138&gt;=33,('Testes estatísticos'!$D$38+'Testes estatísticos'!$D$143)/2,"")</f>
        <v>-3.0233814999999993</v>
      </c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</row>
    <row r="212" spans="2:151" x14ac:dyDescent="0.3">
      <c r="B212" s="7" t="str">
        <f>IF(1&gt;=34,('Testes estatísticos'!$D$39+'Testes estatísticos'!$D$6)/2,"")</f>
        <v/>
      </c>
      <c r="C212" s="7" t="str">
        <f>IF(2&gt;=34,('Testes estatísticos'!$D$39+'Testes estatísticos'!$D$7)/2,"")</f>
        <v/>
      </c>
      <c r="D212" s="7" t="str">
        <f>IF(3&gt;=34,('Testes estatísticos'!$D$39+'Testes estatísticos'!$D$8)/2,"")</f>
        <v/>
      </c>
      <c r="E212" s="7" t="str">
        <f>IF(4&gt;=34,('Testes estatísticos'!$D$39+'Testes estatísticos'!$D$9)/2,"")</f>
        <v/>
      </c>
      <c r="F212" s="7" t="str">
        <f>IF(5&gt;=34,('Testes estatísticos'!$D$39+'Testes estatísticos'!$D$10)/2,"")</f>
        <v/>
      </c>
      <c r="G212" s="7" t="str">
        <f>IF(6&gt;=34,('Testes estatísticos'!$D$39+'Testes estatísticos'!$D$11)/2,"")</f>
        <v/>
      </c>
      <c r="H212" s="7" t="str">
        <f>IF(7&gt;=34,('Testes estatísticos'!$D$39+'Testes estatísticos'!$D$12)/2,"")</f>
        <v/>
      </c>
      <c r="I212" s="7" t="str">
        <f>IF(8&gt;=34,('Testes estatísticos'!$D$39+'Testes estatísticos'!$D$13)/2,"")</f>
        <v/>
      </c>
      <c r="J212" s="7" t="str">
        <f>IF(9&gt;=34,('Testes estatísticos'!$D$39+'Testes estatísticos'!$D$14)/2,"")</f>
        <v/>
      </c>
      <c r="K212" s="7" t="str">
        <f>IF(10&gt;=34,('Testes estatísticos'!$D$39+'Testes estatísticos'!$D$15)/2,"")</f>
        <v/>
      </c>
      <c r="L212" s="7" t="str">
        <f>IF(11&gt;=34,('Testes estatísticos'!$D$39+'Testes estatísticos'!$D$16)/2,"")</f>
        <v/>
      </c>
      <c r="M212" s="7" t="str">
        <f>IF(12&gt;=34,('Testes estatísticos'!$D$39+'Testes estatísticos'!$D$17)/2,"")</f>
        <v/>
      </c>
      <c r="N212" s="7" t="str">
        <f>IF(13&gt;=34,('Testes estatísticos'!$D$39+'Testes estatísticos'!$D$18)/2,"")</f>
        <v/>
      </c>
      <c r="O212" s="7" t="str">
        <f>IF(14&gt;=34,('Testes estatísticos'!$D$39+'Testes estatísticos'!$D$19)/2,"")</f>
        <v/>
      </c>
      <c r="P212" s="7" t="str">
        <f>IF(15&gt;=34,('Testes estatísticos'!$D$39+'Testes estatísticos'!$D$20)/2,"")</f>
        <v/>
      </c>
      <c r="Q212" s="7" t="str">
        <f>IF(16&gt;=34,('Testes estatísticos'!$D$39+'Testes estatísticos'!$D$21)/2,"")</f>
        <v/>
      </c>
      <c r="R212" s="7" t="str">
        <f>IF(17&gt;=34,('Testes estatísticos'!$D$39+'Testes estatísticos'!$D$22)/2,"")</f>
        <v/>
      </c>
      <c r="S212" s="7" t="str">
        <f>IF(18&gt;=34,('Testes estatísticos'!$D$39+'Testes estatísticos'!$D$23)/2,"")</f>
        <v/>
      </c>
      <c r="T212" s="7" t="str">
        <f>IF(19&gt;=34,('Testes estatísticos'!$D$39+'Testes estatísticos'!$D$24)/2,"")</f>
        <v/>
      </c>
      <c r="U212" s="7" t="str">
        <f>IF(20&gt;=34,('Testes estatísticos'!$D$39+'Testes estatísticos'!$D$25)/2,"")</f>
        <v/>
      </c>
      <c r="V212" s="7" t="str">
        <f>IF(21&gt;=34,('Testes estatísticos'!$D$39+'Testes estatísticos'!$D$26)/2,"")</f>
        <v/>
      </c>
      <c r="W212" s="7" t="str">
        <f>IF(22&gt;=34,('Testes estatísticos'!$D$39+'Testes estatísticos'!$D$27)/2,"")</f>
        <v/>
      </c>
      <c r="X212" s="7" t="str">
        <f>IF(23&gt;=34,('Testes estatísticos'!$D$39+'Testes estatísticos'!$D$28)/2,"")</f>
        <v/>
      </c>
      <c r="Y212" s="7" t="str">
        <f>IF(24&gt;=34,('Testes estatísticos'!$D$39+'Testes estatísticos'!$D$29)/2,"")</f>
        <v/>
      </c>
      <c r="Z212" s="7" t="str">
        <f>IF(25&gt;=34,('Testes estatísticos'!$D$39+'Testes estatísticos'!$D$30)/2,"")</f>
        <v/>
      </c>
      <c r="AA212" s="7" t="str">
        <f>IF(26&gt;=34,('Testes estatísticos'!$D$39+'Testes estatísticos'!$D$31)/2,"")</f>
        <v/>
      </c>
      <c r="AB212" s="7" t="str">
        <f>IF(27&gt;=34,('Testes estatísticos'!$D$39+'Testes estatísticos'!$D$32)/2,"")</f>
        <v/>
      </c>
      <c r="AC212" s="7" t="str">
        <f>IF(28&gt;=34,('Testes estatísticos'!$D$39+'Testes estatísticos'!$D$33)/2,"")</f>
        <v/>
      </c>
      <c r="AD212" s="7" t="str">
        <f>IF(29&gt;=34,('Testes estatísticos'!$D$39+'Testes estatísticos'!$D$34)/2,"")</f>
        <v/>
      </c>
      <c r="AE212" s="7" t="str">
        <f>IF(30&gt;=34,('Testes estatísticos'!$D$39+'Testes estatísticos'!$D$35)/2,"")</f>
        <v/>
      </c>
      <c r="AF212" s="7" t="str">
        <f>IF(31&gt;=34,('Testes estatísticos'!$D$39+'Testes estatísticos'!$D$36)/2,"")</f>
        <v/>
      </c>
      <c r="AG212" s="7" t="str">
        <f>IF(32&gt;=34,('Testes estatísticos'!$D$39+'Testes estatísticos'!$D$37)/2,"")</f>
        <v/>
      </c>
      <c r="AH212" s="7" t="str">
        <f>IF(33&gt;=34,('Testes estatísticos'!$D$39+'Testes estatísticos'!$D$38)/2,"")</f>
        <v/>
      </c>
      <c r="AI212" s="7">
        <f>IF(34&gt;=34,('Testes estatísticos'!$D$39+'Testes estatísticos'!$D$39)/2,"")</f>
        <v>3.3726440000000011</v>
      </c>
      <c r="AJ212" s="7">
        <f>IF(35&gt;=34,('Testes estatísticos'!$D$39+'Testes estatísticos'!$D$40)/2,"")</f>
        <v>0.6311460000000011</v>
      </c>
      <c r="AK212" s="7">
        <f>IF(36&gt;=34,('Testes estatísticos'!$D$39+'Testes estatísticos'!$D$41)/2,"")</f>
        <v>2.8990904999999998</v>
      </c>
      <c r="AL212" s="7">
        <f>IF(37&gt;=34,('Testes estatísticos'!$D$39+'Testes estatísticos'!$D$42)/2,"")</f>
        <v>0.62052949999999996</v>
      </c>
      <c r="AM212" s="7">
        <f>IF(38&gt;=34,('Testes estatísticos'!$D$39+'Testes estatísticos'!$D$43)/2,"")</f>
        <v>0.63338900000000109</v>
      </c>
      <c r="AN212" s="7">
        <f>IF(39&gt;=34,('Testes estatísticos'!$D$39+'Testes estatísticos'!$D$44)/2,"")</f>
        <v>-0.5036050000000003</v>
      </c>
      <c r="AO212" s="7">
        <f>IF(40&gt;=34,('Testes estatísticos'!$D$39+'Testes estatísticos'!$D$45)/2,"")</f>
        <v>3.4713214999999984</v>
      </c>
      <c r="AP212" s="7">
        <f>IF(41&gt;=34,('Testes estatísticos'!$D$39+'Testes estatísticos'!$D$46)/2,"")</f>
        <v>0.96538200000000174</v>
      </c>
      <c r="AQ212" s="7">
        <f>IF(42&gt;=34,('Testes estatísticos'!$D$39+'Testes estatísticos'!$D$47)/2,"")</f>
        <v>2.1077410000000008</v>
      </c>
      <c r="AR212" s="7">
        <f>IF(43&gt;=34,('Testes estatísticos'!$D$39+'Testes estatísticos'!$D$48)/2,"")</f>
        <v>1.0588270000000009</v>
      </c>
      <c r="AS212" s="7">
        <f>IF(44&gt;=34,('Testes estatísticos'!$D$39+'Testes estatísticos'!$D$49)/2,"")</f>
        <v>0.52770399999999995</v>
      </c>
      <c r="AT212" s="7">
        <f>IF(45&gt;=34,('Testes estatísticos'!$D$39+'Testes estatísticos'!$D$50)/2,"")</f>
        <v>1.3567825000000013</v>
      </c>
      <c r="AU212" s="7">
        <f>IF(46&gt;=34,('Testes estatísticos'!$D$39+'Testes estatísticos'!$D$51)/2,"")</f>
        <v>-1.6744135</v>
      </c>
      <c r="AV212" s="7">
        <f>IF(47&gt;=34,('Testes estatísticos'!$D$39+'Testes estatísticos'!$D$52)/2,"")</f>
        <v>3.3957595000000005</v>
      </c>
      <c r="AW212" s="7">
        <f>IF(48&gt;=34,('Testes estatísticos'!$D$39+'Testes estatísticos'!$D$53)/2,"")</f>
        <v>-1.0402714999999993</v>
      </c>
      <c r="AX212" s="7">
        <f>IF(49&gt;=34,('Testes estatísticos'!$D$39+'Testes estatísticos'!$D$54)/2,"")</f>
        <v>0.2195190000000018</v>
      </c>
      <c r="AY212" s="7">
        <f>IF(50&gt;=34,('Testes estatísticos'!$D$39+'Testes estatísticos'!$D$55)/2,"")</f>
        <v>1.8446835000000021</v>
      </c>
      <c r="AZ212" s="7">
        <f>IF(51&gt;=34,('Testes estatísticos'!$D$39+'Testes estatísticos'!$D$56)/2,"")</f>
        <v>1.8891530000000003</v>
      </c>
      <c r="BA212" s="7">
        <f>IF(52&gt;=34,('Testes estatísticos'!$D$39+'Testes estatísticos'!$D$57)/2,"")</f>
        <v>-1.5190629999999992</v>
      </c>
      <c r="BB212" s="7">
        <f>IF(53&gt;=34,('Testes estatísticos'!$D$39+'Testes estatísticos'!$D$58)/2,"")</f>
        <v>1.8896995000000025</v>
      </c>
      <c r="BC212" s="7">
        <f>IF(54&gt;=34,('Testes estatísticos'!$D$39+'Testes estatísticos'!$D$59)/2,"")</f>
        <v>0.97005700000000061</v>
      </c>
      <c r="BD212" s="7">
        <f>IF(55&gt;=34,('Testes estatísticos'!$D$39+'Testes estatísticos'!$D$60)/2,"")</f>
        <v>4.065728</v>
      </c>
      <c r="BE212" s="7">
        <f>IF(56&gt;=34,('Testes estatísticos'!$D$39+'Testes estatísticos'!$D$61)/2,"")</f>
        <v>1.4357595000000032</v>
      </c>
      <c r="BF212" s="7">
        <f>IF(57&gt;=34,('Testes estatísticos'!$D$39+'Testes estatísticos'!$D$62)/2,"")</f>
        <v>-1.9644305000000024</v>
      </c>
      <c r="BG212" s="7">
        <f>IF(58&gt;=34,('Testes estatísticos'!$D$39+'Testes estatísticos'!$D$63)/2,"")</f>
        <v>3.3014645000000016</v>
      </c>
      <c r="BH212" s="7">
        <f>IF(59&gt;=34,('Testes estatísticos'!$D$39+'Testes estatísticos'!$D$64)/2,"")</f>
        <v>-2.542148000000001</v>
      </c>
      <c r="BI212" s="7">
        <f>IF(60&gt;=34,('Testes estatísticos'!$D$39+'Testes estatísticos'!$D$65)/2,"")</f>
        <v>-0.79455699999999752</v>
      </c>
      <c r="BJ212" s="7">
        <f>IF(61&gt;=34,('Testes estatísticos'!$D$39+'Testes estatísticos'!$D$66)/2,"")</f>
        <v>1.8404980000000002</v>
      </c>
      <c r="BK212" s="7">
        <f>IF(62&gt;=34,('Testes estatísticos'!$D$39+'Testes estatísticos'!$D$67)/2,"")</f>
        <v>1.331703000000001</v>
      </c>
      <c r="BL212" s="7">
        <f>IF(63&gt;=34,('Testes estatísticos'!$D$39+'Testes estatísticos'!$D$68)/2,"")</f>
        <v>2.2310175000000001</v>
      </c>
      <c r="BM212" s="7">
        <f>IF(64&gt;=34,('Testes estatísticos'!$D$39+'Testes estatísticos'!$D$69)/2,"")</f>
        <v>2.2818594999999995</v>
      </c>
      <c r="BN212" s="7">
        <f>IF(65&gt;=34,('Testes estatísticos'!$D$39+'Testes estatísticos'!$D$70)/2,"")</f>
        <v>0.13605300000000042</v>
      </c>
      <c r="BO212" s="7">
        <f>IF(66&gt;=34,('Testes estatísticos'!$D$39+'Testes estatísticos'!$D$71)/2,"")</f>
        <v>1.0319055000000006</v>
      </c>
      <c r="BP212" s="7">
        <f>IF(67&gt;=34,('Testes estatísticos'!$D$39+'Testes estatísticos'!$D$72)/2,"")</f>
        <v>-1.8585534999999993</v>
      </c>
      <c r="BQ212" s="7">
        <f>IF(68&gt;=34,('Testes estatísticos'!$D$39+'Testes estatísticos'!$D$73)/2,"")</f>
        <v>2.8046794999999989</v>
      </c>
      <c r="BR212" s="7">
        <f>IF(69&gt;=34,('Testes estatísticos'!$D$39+'Testes estatísticos'!$D$74)/2,"")</f>
        <v>3.4368614999999991</v>
      </c>
      <c r="BS212" s="7">
        <f>IF(70&gt;=34,('Testes estatísticos'!$D$39+'Testes estatísticos'!$D$75)/2,"")</f>
        <v>2.4323969999999981</v>
      </c>
      <c r="BT212" s="7">
        <f>IF(71&gt;=34,('Testes estatísticos'!$D$39+'Testes estatísticos'!$D$76)/2,"")</f>
        <v>4.0067619999999984</v>
      </c>
      <c r="BU212" s="7">
        <f>IF(72&gt;=34,('Testes estatísticos'!$D$39+'Testes estatísticos'!$D$77)/2,"")</f>
        <v>-1.5929350000000007</v>
      </c>
      <c r="BV212" s="7">
        <f>IF(73&gt;=34,('Testes estatísticos'!$D$39+'Testes estatísticos'!$D$78)/2,"")</f>
        <v>0.48053949999999901</v>
      </c>
      <c r="BW212" s="7">
        <f>IF(74&gt;=34,('Testes estatísticos'!$D$39+'Testes estatísticos'!$D$79)/2,"")</f>
        <v>-0.2027789999999996</v>
      </c>
      <c r="BX212" s="7">
        <f>IF(75&gt;=34,('Testes estatísticos'!$D$39+'Testes estatísticos'!$D$80)/2,"")</f>
        <v>-0.22455700000000078</v>
      </c>
      <c r="BY212" s="7">
        <f>IF(76&gt;=34,('Testes estatísticos'!$D$39+'Testes estatísticos'!$D$81)/2,"")</f>
        <v>3.9069010000000013</v>
      </c>
      <c r="BZ212" s="7">
        <f>IF(77&gt;=34,('Testes estatísticos'!$D$39+'Testes estatísticos'!$D$82)/2,"")</f>
        <v>-1.3546884999999982</v>
      </c>
      <c r="CA212" s="7">
        <f>IF(78&gt;=34,('Testes estatísticos'!$D$39+'Testes estatísticos'!$D$83)/2,"")</f>
        <v>0.40557050000000316</v>
      </c>
      <c r="CB212" s="7">
        <f>IF(79&gt;=34,('Testes estatísticos'!$D$39+'Testes estatísticos'!$D$84)/2,"")</f>
        <v>0.45729299999999995</v>
      </c>
      <c r="CC212" s="7">
        <f>IF(80&gt;=34,('Testes estatísticos'!$D$39+'Testes estatísticos'!$D$85)/2,"")</f>
        <v>-1.3497234999999996</v>
      </c>
      <c r="CD212" s="7">
        <f>IF(81&gt;=34,('Testes estatísticos'!$D$39+'Testes estatísticos'!$D$86)/2,"")</f>
        <v>-1.3998685000000002</v>
      </c>
      <c r="CE212" s="7">
        <f>IF(82&gt;=34,('Testes estatísticos'!$D$39+'Testes estatísticos'!$D$87)/2,"")</f>
        <v>0.6779219999999988</v>
      </c>
      <c r="CF212" s="7">
        <f>IF(83&gt;=34,('Testes estatísticos'!$D$39+'Testes estatísticos'!$D$88)/2,"")</f>
        <v>0.14911499999999833</v>
      </c>
      <c r="CG212" s="7">
        <f>IF(84&gt;=34,('Testes estatísticos'!$D$39+'Testes estatísticos'!$D$89)/2,"")</f>
        <v>-0.18279199999999918</v>
      </c>
      <c r="CH212" s="7">
        <f>IF(85&gt;=34,('Testes estatísticos'!$D$39+'Testes estatísticos'!$D$90)/2,"")</f>
        <v>1.6327549999999995</v>
      </c>
      <c r="CI212" s="7">
        <f>IF(86&gt;=34,('Testes estatísticos'!$D$39+'Testes estatísticos'!$D$91)/2,"")</f>
        <v>-1.057404499999997</v>
      </c>
      <c r="CJ212" s="7">
        <f>IF(87&gt;=34,('Testes estatísticos'!$D$39+'Testes estatísticos'!$D$92)/2,"")</f>
        <v>0.18480200000000124</v>
      </c>
      <c r="CK212" s="7">
        <f>IF(88&gt;=34,('Testes estatísticos'!$D$39+'Testes estatísticos'!$D$93)/2,"")</f>
        <v>0.42888549999999981</v>
      </c>
      <c r="CL212" s="7">
        <f>IF(89&gt;=34,('Testes estatísticos'!$D$39+'Testes estatísticos'!$D$94)/2,"")</f>
        <v>-0.18270650000000188</v>
      </c>
      <c r="CM212" s="7">
        <f>IF(90&gt;=34,('Testes estatísticos'!$D$39+'Testes estatísticos'!$D$95)/2,"")</f>
        <v>-2.5168384999999986</v>
      </c>
      <c r="CN212" s="7">
        <f>IF(91&gt;=34,('Testes estatísticos'!$D$39+'Testes estatísticos'!$D$96)/2,"")</f>
        <v>2.1684500000002771E-2</v>
      </c>
      <c r="CO212" s="7">
        <f>IF(92&gt;=34,('Testes estatísticos'!$D$39+'Testes estatísticos'!$D$97)/2,"")</f>
        <v>-0.32481899999999797</v>
      </c>
      <c r="CP212" s="7">
        <f>IF(93&gt;=34,('Testes estatísticos'!$D$39+'Testes estatísticos'!$D$98)/2,"")</f>
        <v>-0.52957099999999713</v>
      </c>
      <c r="CQ212" s="7">
        <f>IF(94&gt;=34,('Testes estatísticos'!$D$39+'Testes estatísticos'!$D$99)/2,"")</f>
        <v>1.6515869999999993</v>
      </c>
      <c r="CR212" s="7">
        <f>IF(95&gt;=34,('Testes estatísticos'!$D$39+'Testes estatísticos'!$D$100)/2,"")</f>
        <v>-0.25420599999999993</v>
      </c>
      <c r="CS212" s="7">
        <f>IF(96&gt;=34,('Testes estatísticos'!$D$39+'Testes estatísticos'!$D$101)/2,"")</f>
        <v>-0.21021900000000215</v>
      </c>
      <c r="CT212" s="7">
        <f>IF(97&gt;=34,('Testes estatísticos'!$D$39+'Testes estatísticos'!$D$102)/2,"")</f>
        <v>2.2831499999998783E-2</v>
      </c>
      <c r="CU212" s="7">
        <f>IF(98&gt;=34,('Testes estatísticos'!$D$39+'Testes estatísticos'!$D$103)/2,"")</f>
        <v>8.0157500000002102E-2</v>
      </c>
      <c r="CV212" s="7">
        <f>IF(99&gt;=34,('Testes estatísticos'!$D$39+'Testes estatísticos'!$D$104)/2,"")</f>
        <v>-0.35466849999999894</v>
      </c>
      <c r="CW212" s="7">
        <f>IF(100&gt;=34,('Testes estatísticos'!$D$39+'Testes estatísticos'!$D$105)/2,"")</f>
        <v>-0.45413449999999855</v>
      </c>
      <c r="CX212" s="7">
        <f>IF(101&gt;=34,('Testes estatísticos'!$D$39+'Testes estatísticos'!$D$106)/2,"")</f>
        <v>6.8792000000001963E-2</v>
      </c>
      <c r="CY212" s="7">
        <f>IF(102&gt;=34,('Testes estatísticos'!$D$39+'Testes estatísticos'!$D$107)/2,"")</f>
        <v>1.3127000000000777E-2</v>
      </c>
      <c r="CZ212" s="7">
        <f>IF(103&gt;=34,('Testes estatísticos'!$D$39+'Testes estatísticos'!$D$108)/2,"")</f>
        <v>-0.51103949999999898</v>
      </c>
      <c r="DA212" s="7">
        <f>IF(104&gt;=34,('Testes estatísticos'!$D$39+'Testes estatísticos'!$D$109)/2,"")</f>
        <v>-0.24840549999999695</v>
      </c>
      <c r="DB212" s="7">
        <f>IF(105&gt;=34,('Testes estatísticos'!$D$39+'Testes estatísticos'!$D$110)/2,"")</f>
        <v>-0.21407449999999884</v>
      </c>
      <c r="DC212" s="7">
        <f>IF(106&gt;=34,('Testes estatísticos'!$D$39+'Testes estatísticos'!$D$111)/2,"")</f>
        <v>0.52884650000000022</v>
      </c>
      <c r="DD212" s="7">
        <f>IF(107&gt;=34,('Testes estatísticos'!$D$39+'Testes estatísticos'!$D$112)/2,"")</f>
        <v>4.0220175000000005</v>
      </c>
      <c r="DE212" s="7">
        <f>IF(108&gt;=34,('Testes estatísticos'!$D$39+'Testes estatísticos'!$D$113)/2,"")</f>
        <v>0.59938200000000208</v>
      </c>
      <c r="DF212" s="7">
        <f>IF(109&gt;=34,('Testes estatísticos'!$D$39+'Testes estatísticos'!$D$114)/2,"")</f>
        <v>0.56312500000000298</v>
      </c>
      <c r="DG212" s="7">
        <f>IF(110&gt;=34,('Testes estatísticos'!$D$39+'Testes estatísticos'!$D$115)/2,"")</f>
        <v>-4.9840145000000007</v>
      </c>
      <c r="DH212" s="7">
        <f>IF(111&gt;=34,('Testes estatísticos'!$D$39+'Testes estatísticos'!$D$116)/2,"")</f>
        <v>0.69681600000000188</v>
      </c>
      <c r="DI212" s="7">
        <f>IF(112&gt;=34,('Testes estatísticos'!$D$39+'Testes estatísticos'!$D$117)/2,"")</f>
        <v>6.1252560000000003</v>
      </c>
      <c r="DJ212" s="7">
        <f>IF(113&gt;=34,('Testes estatísticos'!$D$39+'Testes estatísticos'!$D$118)/2,"")</f>
        <v>0.66869900000000015</v>
      </c>
      <c r="DK212" s="7">
        <f>IF(114&gt;=34,('Testes estatísticos'!$D$39+'Testes estatísticos'!$D$119)/2,"")</f>
        <v>0.56694900000000104</v>
      </c>
      <c r="DL212" s="7">
        <f>IF(115&gt;=34,('Testes estatísticos'!$D$39+'Testes estatísticos'!$D$120)/2,"")</f>
        <v>0.61342650000000276</v>
      </c>
      <c r="DM212" s="7">
        <f>IF(116&gt;=34,('Testes estatísticos'!$D$39+'Testes estatísticos'!$D$121)/2,"")</f>
        <v>0.62202900000000128</v>
      </c>
      <c r="DN212" s="7">
        <f>IF(117&gt;=34,('Testes estatísticos'!$D$39+'Testes estatísticos'!$D$122)/2,"")</f>
        <v>0.64509699999999981</v>
      </c>
      <c r="DO212" s="7">
        <f>IF(118&gt;=34,('Testes estatísticos'!$D$39+'Testes estatísticos'!$D$123)/2,"")</f>
        <v>0.69500749999999911</v>
      </c>
      <c r="DP212" s="7">
        <f>IF(119&gt;=34,('Testes estatísticos'!$D$39+'Testes estatísticos'!$D$124)/2,"")</f>
        <v>0.6737959999999994</v>
      </c>
      <c r="DQ212" s="7">
        <f>IF(120&gt;=34,('Testes estatísticos'!$D$39+'Testes estatísticos'!$D$125)/2,"")</f>
        <v>3.7254105000000024</v>
      </c>
      <c r="DR212" s="7">
        <f>IF(121&gt;=34,('Testes estatísticos'!$D$39+'Testes estatísticos'!$D$126)/2,"")</f>
        <v>0.93639399999999995</v>
      </c>
      <c r="DS212" s="7">
        <f>IF(122&gt;=34,('Testes estatísticos'!$D$39+'Testes estatísticos'!$D$127)/2,"")</f>
        <v>-0.1290144999999967</v>
      </c>
      <c r="DT212" s="7">
        <f>IF(123&gt;=34,('Testes estatísticos'!$D$39+'Testes estatísticos'!$D$128)/2,"")</f>
        <v>5.9398549999999979</v>
      </c>
      <c r="DU212" s="7">
        <f>IF(124&gt;=34,('Testes estatísticos'!$D$39+'Testes estatísticos'!$D$129)/2,"")</f>
        <v>1.0440834999999993</v>
      </c>
      <c r="DV212" s="7">
        <f>IF(125&gt;=34,('Testes estatísticos'!$D$39+'Testes estatísticos'!$D$130)/2,"")</f>
        <v>2.2023909999999987</v>
      </c>
      <c r="DW212" s="7">
        <f>IF(126&gt;=34,('Testes estatísticos'!$D$39+'Testes estatísticos'!$D$131)/2,"")</f>
        <v>-0.20108499999999907</v>
      </c>
      <c r="DX212" s="7">
        <f>IF(127&gt;=34,('Testes estatísticos'!$D$39+'Testes estatísticos'!$D$132)/2,"")</f>
        <v>-2.2572764999999997</v>
      </c>
      <c r="DY212" s="7">
        <f>IF(128&gt;=34,('Testes estatísticos'!$D$39+'Testes estatísticos'!$D$133)/2,"")</f>
        <v>-2.5983659999999986</v>
      </c>
      <c r="DZ212" s="7">
        <f>IF(129&gt;=34,('Testes estatísticos'!$D$39+'Testes estatísticos'!$D$134)/2,"")</f>
        <v>-6.022155999999999</v>
      </c>
      <c r="EA212" s="7">
        <f>IF(130&gt;=34,('Testes estatísticos'!$D$39+'Testes estatísticos'!$D$135)/2,"")</f>
        <v>-0.2603859999999969</v>
      </c>
      <c r="EB212" s="7">
        <f>IF(131&gt;=34,('Testes estatísticos'!$D$39+'Testes estatísticos'!$D$136)/2,"")</f>
        <v>-0.17251300000000214</v>
      </c>
      <c r="EC212" s="7">
        <f>IF(132&gt;=34,('Testes estatísticos'!$D$39+'Testes estatísticos'!$D$137)/2,"")</f>
        <v>-1.6592495000000014</v>
      </c>
      <c r="ED212" s="7">
        <f>IF(133&gt;=34,('Testes estatísticos'!$D$39+'Testes estatísticos'!$D$138)/2,"")</f>
        <v>0.52968800000000016</v>
      </c>
      <c r="EE212" s="7">
        <f>IF(134&gt;=34,('Testes estatísticos'!$D$39+'Testes estatísticos'!$D$139)/2,"")</f>
        <v>-1.7675025000000026</v>
      </c>
      <c r="EF212" s="7">
        <f>IF(135&gt;=34,('Testes estatísticos'!$D$39+'Testes estatísticos'!$D$140)/2,"")</f>
        <v>1.4469300000000018</v>
      </c>
      <c r="EG212" s="7">
        <f>IF(136&gt;=34,('Testes estatísticos'!$D$39+'Testes estatísticos'!$D$141)/2,"")</f>
        <v>-0.24656000000000233</v>
      </c>
      <c r="EH212" s="7">
        <f>IF(137&gt;=34,('Testes estatísticos'!$D$39+'Testes estatísticos'!$D$142)/2,"")</f>
        <v>1.4581799999999987</v>
      </c>
      <c r="EI212" s="7">
        <f>IF(138&gt;=34,('Testes estatísticos'!$D$39+'Testes estatísticos'!$D$143)/2,"")</f>
        <v>-0.20683549999999684</v>
      </c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</row>
    <row r="213" spans="2:151" x14ac:dyDescent="0.3">
      <c r="B213" s="7" t="str">
        <f>IF(1&gt;=35,('Testes estatísticos'!$D$40+'Testes estatísticos'!$D$6)/2,"")</f>
        <v/>
      </c>
      <c r="C213" s="7" t="str">
        <f>IF(2&gt;=35,('Testes estatísticos'!$D$40+'Testes estatísticos'!$D$7)/2,"")</f>
        <v/>
      </c>
      <c r="D213" s="7" t="str">
        <f>IF(3&gt;=35,('Testes estatísticos'!$D$40+'Testes estatísticos'!$D$8)/2,"")</f>
        <v/>
      </c>
      <c r="E213" s="7" t="str">
        <f>IF(4&gt;=35,('Testes estatísticos'!$D$40+'Testes estatísticos'!$D$9)/2,"")</f>
        <v/>
      </c>
      <c r="F213" s="7" t="str">
        <f>IF(5&gt;=35,('Testes estatísticos'!$D$40+'Testes estatísticos'!$D$10)/2,"")</f>
        <v/>
      </c>
      <c r="G213" s="7" t="str">
        <f>IF(6&gt;=35,('Testes estatísticos'!$D$40+'Testes estatísticos'!$D$11)/2,"")</f>
        <v/>
      </c>
      <c r="H213" s="7" t="str">
        <f>IF(7&gt;=35,('Testes estatísticos'!$D$40+'Testes estatísticos'!$D$12)/2,"")</f>
        <v/>
      </c>
      <c r="I213" s="7" t="str">
        <f>IF(8&gt;=35,('Testes estatísticos'!$D$40+'Testes estatísticos'!$D$13)/2,"")</f>
        <v/>
      </c>
      <c r="J213" s="7" t="str">
        <f>IF(9&gt;=35,('Testes estatísticos'!$D$40+'Testes estatísticos'!$D$14)/2,"")</f>
        <v/>
      </c>
      <c r="K213" s="7" t="str">
        <f>IF(10&gt;=35,('Testes estatísticos'!$D$40+'Testes estatísticos'!$D$15)/2,"")</f>
        <v/>
      </c>
      <c r="L213" s="7" t="str">
        <f>IF(11&gt;=35,('Testes estatísticos'!$D$40+'Testes estatísticos'!$D$16)/2,"")</f>
        <v/>
      </c>
      <c r="M213" s="7" t="str">
        <f>IF(12&gt;=35,('Testes estatísticos'!$D$40+'Testes estatísticos'!$D$17)/2,"")</f>
        <v/>
      </c>
      <c r="N213" s="7" t="str">
        <f>IF(13&gt;=35,('Testes estatísticos'!$D$40+'Testes estatísticos'!$D$18)/2,"")</f>
        <v/>
      </c>
      <c r="O213" s="7" t="str">
        <f>IF(14&gt;=35,('Testes estatísticos'!$D$40+'Testes estatísticos'!$D$19)/2,"")</f>
        <v/>
      </c>
      <c r="P213" s="7" t="str">
        <f>IF(15&gt;=35,('Testes estatísticos'!$D$40+'Testes estatísticos'!$D$20)/2,"")</f>
        <v/>
      </c>
      <c r="Q213" s="7" t="str">
        <f>IF(16&gt;=35,('Testes estatísticos'!$D$40+'Testes estatísticos'!$D$21)/2,"")</f>
        <v/>
      </c>
      <c r="R213" s="7" t="str">
        <f>IF(17&gt;=35,('Testes estatísticos'!$D$40+'Testes estatísticos'!$D$22)/2,"")</f>
        <v/>
      </c>
      <c r="S213" s="7" t="str">
        <f>IF(18&gt;=35,('Testes estatísticos'!$D$40+'Testes estatísticos'!$D$23)/2,"")</f>
        <v/>
      </c>
      <c r="T213" s="7" t="str">
        <f>IF(19&gt;=35,('Testes estatísticos'!$D$40+'Testes estatísticos'!$D$24)/2,"")</f>
        <v/>
      </c>
      <c r="U213" s="7" t="str">
        <f>IF(20&gt;=35,('Testes estatísticos'!$D$40+'Testes estatísticos'!$D$25)/2,"")</f>
        <v/>
      </c>
      <c r="V213" s="7" t="str">
        <f>IF(21&gt;=35,('Testes estatísticos'!$D$40+'Testes estatísticos'!$D$26)/2,"")</f>
        <v/>
      </c>
      <c r="W213" s="7" t="str">
        <f>IF(22&gt;=35,('Testes estatísticos'!$D$40+'Testes estatísticos'!$D$27)/2,"")</f>
        <v/>
      </c>
      <c r="X213" s="7" t="str">
        <f>IF(23&gt;=35,('Testes estatísticos'!$D$40+'Testes estatísticos'!$D$28)/2,"")</f>
        <v/>
      </c>
      <c r="Y213" s="7" t="str">
        <f>IF(24&gt;=35,('Testes estatísticos'!$D$40+'Testes estatísticos'!$D$29)/2,"")</f>
        <v/>
      </c>
      <c r="Z213" s="7" t="str">
        <f>IF(25&gt;=35,('Testes estatísticos'!$D$40+'Testes estatísticos'!$D$30)/2,"")</f>
        <v/>
      </c>
      <c r="AA213" s="7" t="str">
        <f>IF(26&gt;=35,('Testes estatísticos'!$D$40+'Testes estatísticos'!$D$31)/2,"")</f>
        <v/>
      </c>
      <c r="AB213" s="7" t="str">
        <f>IF(27&gt;=35,('Testes estatísticos'!$D$40+'Testes estatísticos'!$D$32)/2,"")</f>
        <v/>
      </c>
      <c r="AC213" s="7" t="str">
        <f>IF(28&gt;=35,('Testes estatísticos'!$D$40+'Testes estatísticos'!$D$33)/2,"")</f>
        <v/>
      </c>
      <c r="AD213" s="7" t="str">
        <f>IF(29&gt;=35,('Testes estatísticos'!$D$40+'Testes estatísticos'!$D$34)/2,"")</f>
        <v/>
      </c>
      <c r="AE213" s="7" t="str">
        <f>IF(30&gt;=35,('Testes estatísticos'!$D$40+'Testes estatísticos'!$D$35)/2,"")</f>
        <v/>
      </c>
      <c r="AF213" s="7" t="str">
        <f>IF(31&gt;=35,('Testes estatísticos'!$D$40+'Testes estatísticos'!$D$36)/2,"")</f>
        <v/>
      </c>
      <c r="AG213" s="7" t="str">
        <f>IF(32&gt;=35,('Testes estatísticos'!$D$40+'Testes estatísticos'!$D$37)/2,"")</f>
        <v/>
      </c>
      <c r="AH213" s="7" t="str">
        <f>IF(33&gt;=35,('Testes estatísticos'!$D$40+'Testes estatísticos'!$D$38)/2,"")</f>
        <v/>
      </c>
      <c r="AI213" s="7" t="str">
        <f>IF(34&gt;=35,('Testes estatísticos'!$D$40+'Testes estatísticos'!$D$39)/2,"")</f>
        <v/>
      </c>
      <c r="AJ213" s="7">
        <f>IF(35&gt;=35,('Testes estatísticos'!$D$40+'Testes estatísticos'!$D$40)/2,"")</f>
        <v>-2.1103519999999989</v>
      </c>
      <c r="AK213" s="7">
        <f>IF(36&gt;=35,('Testes estatísticos'!$D$40+'Testes estatísticos'!$D$41)/2,"")</f>
        <v>0.1575924999999998</v>
      </c>
      <c r="AL213" s="7">
        <f>IF(37&gt;=35,('Testes estatísticos'!$D$40+'Testes estatísticos'!$D$42)/2,"")</f>
        <v>-2.1209685</v>
      </c>
      <c r="AM213" s="7">
        <f>IF(38&gt;=35,('Testes estatísticos'!$D$40+'Testes estatísticos'!$D$43)/2,"")</f>
        <v>-2.1081089999999989</v>
      </c>
      <c r="AN213" s="7">
        <f>IF(39&gt;=35,('Testes estatísticos'!$D$40+'Testes estatísticos'!$D$44)/2,"")</f>
        <v>-3.2451030000000003</v>
      </c>
      <c r="AO213" s="7">
        <f>IF(40&gt;=35,('Testes estatísticos'!$D$40+'Testes estatísticos'!$D$45)/2,"")</f>
        <v>0.7298234999999984</v>
      </c>
      <c r="AP213" s="7">
        <f>IF(41&gt;=35,('Testes estatísticos'!$D$40+'Testes estatísticos'!$D$46)/2,"")</f>
        <v>-1.7761159999999983</v>
      </c>
      <c r="AQ213" s="7">
        <f>IF(42&gt;=35,('Testes estatísticos'!$D$40+'Testes estatísticos'!$D$47)/2,"")</f>
        <v>-0.63375699999999924</v>
      </c>
      <c r="AR213" s="7">
        <f>IF(43&gt;=35,('Testes estatísticos'!$D$40+'Testes estatísticos'!$D$48)/2,"")</f>
        <v>-1.6826709999999991</v>
      </c>
      <c r="AS213" s="7">
        <f>IF(44&gt;=35,('Testes estatísticos'!$D$40+'Testes estatísticos'!$D$49)/2,"")</f>
        <v>-2.213794</v>
      </c>
      <c r="AT213" s="7">
        <f>IF(45&gt;=35,('Testes estatísticos'!$D$40+'Testes estatísticos'!$D$50)/2,"")</f>
        <v>-1.3847154999999987</v>
      </c>
      <c r="AU213" s="7">
        <f>IF(46&gt;=35,('Testes estatísticos'!$D$40+'Testes estatísticos'!$D$51)/2,"")</f>
        <v>-4.4159115</v>
      </c>
      <c r="AV213" s="7">
        <f>IF(47&gt;=35,('Testes estatísticos'!$D$40+'Testes estatísticos'!$D$52)/2,"")</f>
        <v>0.6542615000000005</v>
      </c>
      <c r="AW213" s="7">
        <f>IF(48&gt;=35,('Testes estatísticos'!$D$40+'Testes estatísticos'!$D$53)/2,"")</f>
        <v>-3.7817694999999993</v>
      </c>
      <c r="AX213" s="7">
        <f>IF(49&gt;=35,('Testes estatísticos'!$D$40+'Testes estatísticos'!$D$54)/2,"")</f>
        <v>-2.5219789999999982</v>
      </c>
      <c r="AY213" s="7">
        <f>IF(50&gt;=35,('Testes estatísticos'!$D$40+'Testes estatísticos'!$D$55)/2,"")</f>
        <v>-0.89681449999999785</v>
      </c>
      <c r="AZ213" s="7">
        <f>IF(51&gt;=35,('Testes estatísticos'!$D$40+'Testes estatísticos'!$D$56)/2,"")</f>
        <v>-0.85234499999999969</v>
      </c>
      <c r="BA213" s="7">
        <f>IF(52&gt;=35,('Testes estatísticos'!$D$40+'Testes estatísticos'!$D$57)/2,"")</f>
        <v>-4.2605609999999992</v>
      </c>
      <c r="BB213" s="7">
        <f>IF(53&gt;=35,('Testes estatísticos'!$D$40+'Testes estatísticos'!$D$58)/2,"")</f>
        <v>-0.85179849999999746</v>
      </c>
      <c r="BC213" s="7">
        <f>IF(54&gt;=35,('Testes estatísticos'!$D$40+'Testes estatísticos'!$D$59)/2,"")</f>
        <v>-1.7714409999999994</v>
      </c>
      <c r="BD213" s="7">
        <f>IF(55&gt;=35,('Testes estatísticos'!$D$40+'Testes estatísticos'!$D$60)/2,"")</f>
        <v>1.32423</v>
      </c>
      <c r="BE213" s="7">
        <f>IF(56&gt;=35,('Testes estatísticos'!$D$40+'Testes estatísticos'!$D$61)/2,"")</f>
        <v>-1.3057384999999968</v>
      </c>
      <c r="BF213" s="7">
        <f>IF(57&gt;=35,('Testes estatísticos'!$D$40+'Testes estatísticos'!$D$62)/2,"")</f>
        <v>-4.7059285000000024</v>
      </c>
      <c r="BG213" s="7">
        <f>IF(58&gt;=35,('Testes estatísticos'!$D$40+'Testes estatísticos'!$D$63)/2,"")</f>
        <v>0.55996650000000159</v>
      </c>
      <c r="BH213" s="7">
        <f>IF(59&gt;=35,('Testes estatísticos'!$D$40+'Testes estatísticos'!$D$64)/2,"")</f>
        <v>-5.283646000000001</v>
      </c>
      <c r="BI213" s="7">
        <f>IF(60&gt;=35,('Testes estatísticos'!$D$40+'Testes estatísticos'!$D$65)/2,"")</f>
        <v>-3.5360549999999975</v>
      </c>
      <c r="BJ213" s="7">
        <f>IF(61&gt;=35,('Testes estatísticos'!$D$40+'Testes estatísticos'!$D$66)/2,"")</f>
        <v>-0.9009999999999998</v>
      </c>
      <c r="BK213" s="7">
        <f>IF(62&gt;=35,('Testes estatísticos'!$D$40+'Testes estatísticos'!$D$67)/2,"")</f>
        <v>-1.409794999999999</v>
      </c>
      <c r="BL213" s="7">
        <f>IF(63&gt;=35,('Testes estatísticos'!$D$40+'Testes estatísticos'!$D$68)/2,"")</f>
        <v>-0.51048049999999989</v>
      </c>
      <c r="BM213" s="7">
        <f>IF(64&gt;=35,('Testes estatísticos'!$D$40+'Testes estatísticos'!$D$69)/2,"")</f>
        <v>-0.4596385000000005</v>
      </c>
      <c r="BN213" s="7">
        <f>IF(65&gt;=35,('Testes estatísticos'!$D$40+'Testes estatísticos'!$D$70)/2,"")</f>
        <v>-2.6054449999999996</v>
      </c>
      <c r="BO213" s="7">
        <f>IF(66&gt;=35,('Testes estatísticos'!$D$40+'Testes estatísticos'!$D$71)/2,"")</f>
        <v>-1.7095924999999994</v>
      </c>
      <c r="BP213" s="7">
        <f>IF(67&gt;=35,('Testes estatísticos'!$D$40+'Testes estatísticos'!$D$72)/2,"")</f>
        <v>-4.6000514999999993</v>
      </c>
      <c r="BQ213" s="7">
        <f>IF(68&gt;=35,('Testes estatísticos'!$D$40+'Testes estatísticos'!$D$73)/2,"")</f>
        <v>6.3181499999998891E-2</v>
      </c>
      <c r="BR213" s="7">
        <f>IF(69&gt;=35,('Testes estatísticos'!$D$40+'Testes estatísticos'!$D$74)/2,"")</f>
        <v>0.69536349999999914</v>
      </c>
      <c r="BS213" s="7">
        <f>IF(70&gt;=35,('Testes estatísticos'!$D$40+'Testes estatísticos'!$D$75)/2,"")</f>
        <v>-0.30910100000000185</v>
      </c>
      <c r="BT213" s="7">
        <f>IF(71&gt;=35,('Testes estatísticos'!$D$40+'Testes estatísticos'!$D$76)/2,"")</f>
        <v>1.2652639999999984</v>
      </c>
      <c r="BU213" s="7">
        <f>IF(72&gt;=35,('Testes estatísticos'!$D$40+'Testes estatísticos'!$D$77)/2,"")</f>
        <v>-4.3344330000000006</v>
      </c>
      <c r="BV213" s="7">
        <f>IF(73&gt;=35,('Testes estatísticos'!$D$40+'Testes estatísticos'!$D$78)/2,"")</f>
        <v>-2.260958500000001</v>
      </c>
      <c r="BW213" s="7">
        <f>IF(74&gt;=35,('Testes estatísticos'!$D$40+'Testes estatísticos'!$D$79)/2,"")</f>
        <v>-2.9442769999999996</v>
      </c>
      <c r="BX213" s="7">
        <f>IF(75&gt;=35,('Testes estatísticos'!$D$40+'Testes estatísticos'!$D$80)/2,"")</f>
        <v>-2.9660550000000008</v>
      </c>
      <c r="BY213" s="7">
        <f>IF(76&gt;=35,('Testes estatísticos'!$D$40+'Testes estatísticos'!$D$81)/2,"")</f>
        <v>1.1654030000000013</v>
      </c>
      <c r="BZ213" s="7">
        <f>IF(77&gt;=35,('Testes estatísticos'!$D$40+'Testes estatísticos'!$D$82)/2,"")</f>
        <v>-4.0961864999999982</v>
      </c>
      <c r="CA213" s="7">
        <f>IF(78&gt;=35,('Testes estatísticos'!$D$40+'Testes estatísticos'!$D$83)/2,"")</f>
        <v>-2.3359274999999968</v>
      </c>
      <c r="CB213" s="7">
        <f>IF(79&gt;=35,('Testes estatísticos'!$D$40+'Testes estatísticos'!$D$84)/2,"")</f>
        <v>-2.284205</v>
      </c>
      <c r="CC213" s="7">
        <f>IF(80&gt;=35,('Testes estatísticos'!$D$40+'Testes estatísticos'!$D$85)/2,"")</f>
        <v>-4.0912214999999996</v>
      </c>
      <c r="CD213" s="7">
        <f>IF(81&gt;=35,('Testes estatísticos'!$D$40+'Testes estatísticos'!$D$86)/2,"")</f>
        <v>-4.1413665000000002</v>
      </c>
      <c r="CE213" s="7">
        <f>IF(82&gt;=35,('Testes estatísticos'!$D$40+'Testes estatísticos'!$D$87)/2,"")</f>
        <v>-2.0635760000000012</v>
      </c>
      <c r="CF213" s="7">
        <f>IF(83&gt;=35,('Testes estatísticos'!$D$40+'Testes estatísticos'!$D$88)/2,"")</f>
        <v>-2.5923830000000017</v>
      </c>
      <c r="CG213" s="7">
        <f>IF(84&gt;=35,('Testes estatísticos'!$D$40+'Testes estatísticos'!$D$89)/2,"")</f>
        <v>-2.9242899999999992</v>
      </c>
      <c r="CH213" s="7">
        <f>IF(85&gt;=35,('Testes estatísticos'!$D$40+'Testes estatísticos'!$D$90)/2,"")</f>
        <v>-1.1087430000000005</v>
      </c>
      <c r="CI213" s="7">
        <f>IF(86&gt;=35,('Testes estatísticos'!$D$40+'Testes estatísticos'!$D$91)/2,"")</f>
        <v>-3.798902499999997</v>
      </c>
      <c r="CJ213" s="7">
        <f>IF(87&gt;=35,('Testes estatísticos'!$D$40+'Testes estatísticos'!$D$92)/2,"")</f>
        <v>-2.5566959999999987</v>
      </c>
      <c r="CK213" s="7">
        <f>IF(88&gt;=35,('Testes estatísticos'!$D$40+'Testes estatísticos'!$D$93)/2,"")</f>
        <v>-2.3126125000000002</v>
      </c>
      <c r="CL213" s="7">
        <f>IF(89&gt;=35,('Testes estatísticos'!$D$40+'Testes estatísticos'!$D$94)/2,"")</f>
        <v>-2.9242045000000019</v>
      </c>
      <c r="CM213" s="7">
        <f>IF(90&gt;=35,('Testes estatísticos'!$D$40+'Testes estatísticos'!$D$95)/2,"")</f>
        <v>-5.2583364999999986</v>
      </c>
      <c r="CN213" s="7">
        <f>IF(91&gt;=35,('Testes estatísticos'!$D$40+'Testes estatísticos'!$D$96)/2,"")</f>
        <v>-2.7198134999999972</v>
      </c>
      <c r="CO213" s="7">
        <f>IF(92&gt;=35,('Testes estatísticos'!$D$40+'Testes estatísticos'!$D$97)/2,"")</f>
        <v>-3.066316999999998</v>
      </c>
      <c r="CP213" s="7">
        <f>IF(93&gt;=35,('Testes estatísticos'!$D$40+'Testes estatísticos'!$D$98)/2,"")</f>
        <v>-3.2710689999999971</v>
      </c>
      <c r="CQ213" s="7">
        <f>IF(94&gt;=35,('Testes estatísticos'!$D$40+'Testes estatísticos'!$D$99)/2,"")</f>
        <v>-1.0899110000000007</v>
      </c>
      <c r="CR213" s="7">
        <f>IF(95&gt;=35,('Testes estatísticos'!$D$40+'Testes estatísticos'!$D$100)/2,"")</f>
        <v>-2.9957039999999999</v>
      </c>
      <c r="CS213" s="7">
        <f>IF(96&gt;=35,('Testes estatísticos'!$D$40+'Testes estatísticos'!$D$101)/2,"")</f>
        <v>-2.9517170000000021</v>
      </c>
      <c r="CT213" s="7">
        <f>IF(97&gt;=35,('Testes estatísticos'!$D$40+'Testes estatísticos'!$D$102)/2,"")</f>
        <v>-2.7186665000000012</v>
      </c>
      <c r="CU213" s="7">
        <f>IF(98&gt;=35,('Testes estatísticos'!$D$40+'Testes estatísticos'!$D$103)/2,"")</f>
        <v>-2.6613404999999979</v>
      </c>
      <c r="CV213" s="7">
        <f>IF(99&gt;=35,('Testes estatísticos'!$D$40+'Testes estatísticos'!$D$104)/2,"")</f>
        <v>-3.0961664999999989</v>
      </c>
      <c r="CW213" s="7">
        <f>IF(100&gt;=35,('Testes estatísticos'!$D$40+'Testes estatísticos'!$D$105)/2,"")</f>
        <v>-3.1956324999999985</v>
      </c>
      <c r="CX213" s="7">
        <f>IF(101&gt;=35,('Testes estatísticos'!$D$40+'Testes estatísticos'!$D$106)/2,"")</f>
        <v>-2.672705999999998</v>
      </c>
      <c r="CY213" s="7">
        <f>IF(102&gt;=35,('Testes estatísticos'!$D$40+'Testes estatísticos'!$D$107)/2,"")</f>
        <v>-2.7283709999999992</v>
      </c>
      <c r="CZ213" s="7">
        <f>IF(103&gt;=35,('Testes estatísticos'!$D$40+'Testes estatísticos'!$D$108)/2,"")</f>
        <v>-3.252537499999999</v>
      </c>
      <c r="DA213" s="7">
        <f>IF(104&gt;=35,('Testes estatísticos'!$D$40+'Testes estatísticos'!$D$109)/2,"")</f>
        <v>-2.9899034999999969</v>
      </c>
      <c r="DB213" s="7">
        <f>IF(105&gt;=35,('Testes estatísticos'!$D$40+'Testes estatísticos'!$D$110)/2,"")</f>
        <v>-2.9555724999999988</v>
      </c>
      <c r="DC213" s="7">
        <f>IF(106&gt;=35,('Testes estatísticos'!$D$40+'Testes estatísticos'!$D$111)/2,"")</f>
        <v>-2.2126514999999998</v>
      </c>
      <c r="DD213" s="7">
        <f>IF(107&gt;=35,('Testes estatísticos'!$D$40+'Testes estatísticos'!$D$112)/2,"")</f>
        <v>1.2805195000000005</v>
      </c>
      <c r="DE213" s="7">
        <f>IF(108&gt;=35,('Testes estatísticos'!$D$40+'Testes estatísticos'!$D$113)/2,"")</f>
        <v>-2.1421159999999979</v>
      </c>
      <c r="DF213" s="7">
        <f>IF(109&gt;=35,('Testes estatísticos'!$D$40+'Testes estatísticos'!$D$114)/2,"")</f>
        <v>-2.178372999999997</v>
      </c>
      <c r="DG213" s="7">
        <f>IF(110&gt;=35,('Testes estatísticos'!$D$40+'Testes estatísticos'!$D$115)/2,"")</f>
        <v>-7.7255125000000007</v>
      </c>
      <c r="DH213" s="7">
        <f>IF(111&gt;=35,('Testes estatísticos'!$D$40+'Testes estatísticos'!$D$116)/2,"")</f>
        <v>-2.0446819999999981</v>
      </c>
      <c r="DI213" s="7">
        <f>IF(112&gt;=35,('Testes estatísticos'!$D$40+'Testes estatísticos'!$D$117)/2,"")</f>
        <v>3.3837580000000003</v>
      </c>
      <c r="DJ213" s="7">
        <f>IF(113&gt;=35,('Testes estatísticos'!$D$40+'Testes estatísticos'!$D$118)/2,"")</f>
        <v>-2.0727989999999998</v>
      </c>
      <c r="DK213" s="7">
        <f>IF(114&gt;=35,('Testes estatísticos'!$D$40+'Testes estatísticos'!$D$119)/2,"")</f>
        <v>-2.174548999999999</v>
      </c>
      <c r="DL213" s="7">
        <f>IF(115&gt;=35,('Testes estatísticos'!$D$40+'Testes estatísticos'!$D$120)/2,"")</f>
        <v>-2.1280714999999972</v>
      </c>
      <c r="DM213" s="7">
        <f>IF(116&gt;=35,('Testes estatísticos'!$D$40+'Testes estatísticos'!$D$121)/2,"")</f>
        <v>-2.1194689999999987</v>
      </c>
      <c r="DN213" s="7">
        <f>IF(117&gt;=35,('Testes estatísticos'!$D$40+'Testes estatísticos'!$D$122)/2,"")</f>
        <v>-2.0964010000000002</v>
      </c>
      <c r="DO213" s="7">
        <f>IF(118&gt;=35,('Testes estatísticos'!$D$40+'Testes estatísticos'!$D$123)/2,"")</f>
        <v>-2.0464905000000009</v>
      </c>
      <c r="DP213" s="7">
        <f>IF(119&gt;=35,('Testes estatísticos'!$D$40+'Testes estatísticos'!$D$124)/2,"")</f>
        <v>-2.0677020000000006</v>
      </c>
      <c r="DQ213" s="7">
        <f>IF(120&gt;=35,('Testes estatísticos'!$D$40+'Testes estatísticos'!$D$125)/2,"")</f>
        <v>0.98391250000000241</v>
      </c>
      <c r="DR213" s="7">
        <f>IF(121&gt;=35,('Testes estatísticos'!$D$40+'Testes estatísticos'!$D$126)/2,"")</f>
        <v>-1.805104</v>
      </c>
      <c r="DS213" s="7">
        <f>IF(122&gt;=35,('Testes estatísticos'!$D$40+'Testes estatísticos'!$D$127)/2,"")</f>
        <v>-2.8705124999999967</v>
      </c>
      <c r="DT213" s="7">
        <f>IF(123&gt;=35,('Testes estatísticos'!$D$40+'Testes estatísticos'!$D$128)/2,"")</f>
        <v>3.1983569999999979</v>
      </c>
      <c r="DU213" s="7">
        <f>IF(124&gt;=35,('Testes estatísticos'!$D$40+'Testes estatísticos'!$D$129)/2,"")</f>
        <v>-1.6974145000000007</v>
      </c>
      <c r="DV213" s="7">
        <f>IF(125&gt;=35,('Testes estatísticos'!$D$40+'Testes estatísticos'!$D$130)/2,"")</f>
        <v>-0.53910700000000134</v>
      </c>
      <c r="DW213" s="7">
        <f>IF(126&gt;=35,('Testes estatísticos'!$D$40+'Testes estatísticos'!$D$131)/2,"")</f>
        <v>-2.9425829999999991</v>
      </c>
      <c r="DX213" s="7">
        <f>IF(127&gt;=35,('Testes estatísticos'!$D$40+'Testes estatísticos'!$D$132)/2,"")</f>
        <v>-4.9987744999999997</v>
      </c>
      <c r="DY213" s="7">
        <f>IF(128&gt;=35,('Testes estatísticos'!$D$40+'Testes estatísticos'!$D$133)/2,"")</f>
        <v>-5.3398639999999986</v>
      </c>
      <c r="DZ213" s="7">
        <f>IF(129&gt;=35,('Testes estatísticos'!$D$40+'Testes estatísticos'!$D$134)/2,"")</f>
        <v>-8.7636539999999989</v>
      </c>
      <c r="EA213" s="7">
        <f>IF(130&gt;=35,('Testes estatísticos'!$D$40+'Testes estatísticos'!$D$135)/2,"")</f>
        <v>-3.0018839999999969</v>
      </c>
      <c r="EB213" s="7">
        <f>IF(131&gt;=35,('Testes estatísticos'!$D$40+'Testes estatísticos'!$D$136)/2,"")</f>
        <v>-2.9140110000000021</v>
      </c>
      <c r="EC213" s="7">
        <f>IF(132&gt;=35,('Testes estatísticos'!$D$40+'Testes estatísticos'!$D$137)/2,"")</f>
        <v>-4.4007475000000014</v>
      </c>
      <c r="ED213" s="7">
        <f>IF(133&gt;=35,('Testes estatísticos'!$D$40+'Testes estatísticos'!$D$138)/2,"")</f>
        <v>-2.2118099999999998</v>
      </c>
      <c r="EE213" s="7">
        <f>IF(134&gt;=35,('Testes estatísticos'!$D$40+'Testes estatísticos'!$D$139)/2,"")</f>
        <v>-4.5090005000000026</v>
      </c>
      <c r="EF213" s="7">
        <f>IF(135&gt;=35,('Testes estatísticos'!$D$40+'Testes estatísticos'!$D$140)/2,"")</f>
        <v>-1.2945679999999982</v>
      </c>
      <c r="EG213" s="7">
        <f>IF(136&gt;=35,('Testes estatísticos'!$D$40+'Testes estatísticos'!$D$141)/2,"")</f>
        <v>-2.9880580000000023</v>
      </c>
      <c r="EH213" s="7">
        <f>IF(137&gt;=35,('Testes estatísticos'!$D$40+'Testes estatísticos'!$D$142)/2,"")</f>
        <v>-1.2833180000000013</v>
      </c>
      <c r="EI213" s="7">
        <f>IF(138&gt;=35,('Testes estatísticos'!$D$40+'Testes estatísticos'!$D$143)/2,"")</f>
        <v>-2.9483334999999968</v>
      </c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</row>
    <row r="214" spans="2:151" x14ac:dyDescent="0.3">
      <c r="B214" s="7" t="str">
        <f>IF(1&gt;=36,('Testes estatísticos'!$D$41+'Testes estatísticos'!$D$6)/2,"")</f>
        <v/>
      </c>
      <c r="C214" s="7" t="str">
        <f>IF(2&gt;=36,('Testes estatísticos'!$D$41+'Testes estatísticos'!$D$7)/2,"")</f>
        <v/>
      </c>
      <c r="D214" s="7" t="str">
        <f>IF(3&gt;=36,('Testes estatísticos'!$D$41+'Testes estatísticos'!$D$8)/2,"")</f>
        <v/>
      </c>
      <c r="E214" s="7" t="str">
        <f>IF(4&gt;=36,('Testes estatísticos'!$D$41+'Testes estatísticos'!$D$9)/2,"")</f>
        <v/>
      </c>
      <c r="F214" s="7" t="str">
        <f>IF(5&gt;=36,('Testes estatísticos'!$D$41+'Testes estatísticos'!$D$10)/2,"")</f>
        <v/>
      </c>
      <c r="G214" s="7" t="str">
        <f>IF(6&gt;=36,('Testes estatísticos'!$D$41+'Testes estatísticos'!$D$11)/2,"")</f>
        <v/>
      </c>
      <c r="H214" s="7" t="str">
        <f>IF(7&gt;=36,('Testes estatísticos'!$D$41+'Testes estatísticos'!$D$12)/2,"")</f>
        <v/>
      </c>
      <c r="I214" s="7" t="str">
        <f>IF(8&gt;=36,('Testes estatísticos'!$D$41+'Testes estatísticos'!$D$13)/2,"")</f>
        <v/>
      </c>
      <c r="J214" s="7" t="str">
        <f>IF(9&gt;=36,('Testes estatísticos'!$D$41+'Testes estatísticos'!$D$14)/2,"")</f>
        <v/>
      </c>
      <c r="K214" s="7" t="str">
        <f>IF(10&gt;=36,('Testes estatísticos'!$D$41+'Testes estatísticos'!$D$15)/2,"")</f>
        <v/>
      </c>
      <c r="L214" s="7" t="str">
        <f>IF(11&gt;=36,('Testes estatísticos'!$D$41+'Testes estatísticos'!$D$16)/2,"")</f>
        <v/>
      </c>
      <c r="M214" s="7" t="str">
        <f>IF(12&gt;=36,('Testes estatísticos'!$D$41+'Testes estatísticos'!$D$17)/2,"")</f>
        <v/>
      </c>
      <c r="N214" s="7" t="str">
        <f>IF(13&gt;=36,('Testes estatísticos'!$D$41+'Testes estatísticos'!$D$18)/2,"")</f>
        <v/>
      </c>
      <c r="O214" s="7" t="str">
        <f>IF(14&gt;=36,('Testes estatísticos'!$D$41+'Testes estatísticos'!$D$19)/2,"")</f>
        <v/>
      </c>
      <c r="P214" s="7" t="str">
        <f>IF(15&gt;=36,('Testes estatísticos'!$D$41+'Testes estatísticos'!$D$20)/2,"")</f>
        <v/>
      </c>
      <c r="Q214" s="7" t="str">
        <f>IF(16&gt;=36,('Testes estatísticos'!$D$41+'Testes estatísticos'!$D$21)/2,"")</f>
        <v/>
      </c>
      <c r="R214" s="7" t="str">
        <f>IF(17&gt;=36,('Testes estatísticos'!$D$41+'Testes estatísticos'!$D$22)/2,"")</f>
        <v/>
      </c>
      <c r="S214" s="7" t="str">
        <f>IF(18&gt;=36,('Testes estatísticos'!$D$41+'Testes estatísticos'!$D$23)/2,"")</f>
        <v/>
      </c>
      <c r="T214" s="7" t="str">
        <f>IF(19&gt;=36,('Testes estatísticos'!$D$41+'Testes estatísticos'!$D$24)/2,"")</f>
        <v/>
      </c>
      <c r="U214" s="7" t="str">
        <f>IF(20&gt;=36,('Testes estatísticos'!$D$41+'Testes estatísticos'!$D$25)/2,"")</f>
        <v/>
      </c>
      <c r="V214" s="7" t="str">
        <f>IF(21&gt;=36,('Testes estatísticos'!$D$41+'Testes estatísticos'!$D$26)/2,"")</f>
        <v/>
      </c>
      <c r="W214" s="7" t="str">
        <f>IF(22&gt;=36,('Testes estatísticos'!$D$41+'Testes estatísticos'!$D$27)/2,"")</f>
        <v/>
      </c>
      <c r="X214" s="7" t="str">
        <f>IF(23&gt;=36,('Testes estatísticos'!$D$41+'Testes estatísticos'!$D$28)/2,"")</f>
        <v/>
      </c>
      <c r="Y214" s="7" t="str">
        <f>IF(24&gt;=36,('Testes estatísticos'!$D$41+'Testes estatísticos'!$D$29)/2,"")</f>
        <v/>
      </c>
      <c r="Z214" s="7" t="str">
        <f>IF(25&gt;=36,('Testes estatísticos'!$D$41+'Testes estatísticos'!$D$30)/2,"")</f>
        <v/>
      </c>
      <c r="AA214" s="7" t="str">
        <f>IF(26&gt;=36,('Testes estatísticos'!$D$41+'Testes estatísticos'!$D$31)/2,"")</f>
        <v/>
      </c>
      <c r="AB214" s="7" t="str">
        <f>IF(27&gt;=36,('Testes estatísticos'!$D$41+'Testes estatísticos'!$D$32)/2,"")</f>
        <v/>
      </c>
      <c r="AC214" s="7" t="str">
        <f>IF(28&gt;=36,('Testes estatísticos'!$D$41+'Testes estatísticos'!$D$33)/2,"")</f>
        <v/>
      </c>
      <c r="AD214" s="7" t="str">
        <f>IF(29&gt;=36,('Testes estatísticos'!$D$41+'Testes estatísticos'!$D$34)/2,"")</f>
        <v/>
      </c>
      <c r="AE214" s="7" t="str">
        <f>IF(30&gt;=36,('Testes estatísticos'!$D$41+'Testes estatísticos'!$D$35)/2,"")</f>
        <v/>
      </c>
      <c r="AF214" s="7" t="str">
        <f>IF(31&gt;=36,('Testes estatísticos'!$D$41+'Testes estatísticos'!$D$36)/2,"")</f>
        <v/>
      </c>
      <c r="AG214" s="7" t="str">
        <f>IF(32&gt;=36,('Testes estatísticos'!$D$41+'Testes estatísticos'!$D$37)/2,"")</f>
        <v/>
      </c>
      <c r="AH214" s="7" t="str">
        <f>IF(33&gt;=36,('Testes estatísticos'!$D$41+'Testes estatísticos'!$D$38)/2,"")</f>
        <v/>
      </c>
      <c r="AI214" s="7" t="str">
        <f>IF(34&gt;=36,('Testes estatísticos'!$D$41+'Testes estatísticos'!$D$39)/2,"")</f>
        <v/>
      </c>
      <c r="AJ214" s="7" t="str">
        <f>IF(35&gt;=36,('Testes estatísticos'!$D$41+'Testes estatísticos'!$D$40)/2,"")</f>
        <v/>
      </c>
      <c r="AK214" s="7">
        <f>IF(36&gt;=36,('Testes estatísticos'!$D$41+'Testes estatísticos'!$D$41)/2,"")</f>
        <v>2.4255369999999985</v>
      </c>
      <c r="AL214" s="7">
        <f>IF(37&gt;=36,('Testes estatísticos'!$D$41+'Testes estatísticos'!$D$42)/2,"")</f>
        <v>0.14697599999999866</v>
      </c>
      <c r="AM214" s="7">
        <f>IF(38&gt;=36,('Testes estatísticos'!$D$41+'Testes estatísticos'!$D$43)/2,"")</f>
        <v>0.1598354999999998</v>
      </c>
      <c r="AN214" s="7">
        <f>IF(39&gt;=36,('Testes estatísticos'!$D$41+'Testes estatísticos'!$D$44)/2,"")</f>
        <v>-0.9771585000000016</v>
      </c>
      <c r="AO214" s="7">
        <f>IF(40&gt;=36,('Testes estatísticos'!$D$41+'Testes estatísticos'!$D$45)/2,"")</f>
        <v>2.9977679999999971</v>
      </c>
      <c r="AP214" s="7">
        <f>IF(41&gt;=36,('Testes estatísticos'!$D$41+'Testes estatísticos'!$D$46)/2,"")</f>
        <v>0.49182850000000045</v>
      </c>
      <c r="AQ214" s="7">
        <f>IF(42&gt;=36,('Testes estatísticos'!$D$41+'Testes estatísticos'!$D$47)/2,"")</f>
        <v>1.6341874999999995</v>
      </c>
      <c r="AR214" s="7">
        <f>IF(43&gt;=36,('Testes estatísticos'!$D$41+'Testes estatísticos'!$D$48)/2,"")</f>
        <v>0.58527349999999956</v>
      </c>
      <c r="AS214" s="7">
        <f>IF(44&gt;=36,('Testes estatísticos'!$D$41+'Testes estatísticos'!$D$49)/2,"")</f>
        <v>5.4150499999998658E-2</v>
      </c>
      <c r="AT214" s="7">
        <f>IF(45&gt;=36,('Testes estatísticos'!$D$41+'Testes estatísticos'!$D$50)/2,"")</f>
        <v>0.88322900000000004</v>
      </c>
      <c r="AU214" s="7">
        <f>IF(46&gt;=36,('Testes estatísticos'!$D$41+'Testes estatísticos'!$D$51)/2,"")</f>
        <v>-2.1479670000000013</v>
      </c>
      <c r="AV214" s="7">
        <f>IF(47&gt;=36,('Testes estatísticos'!$D$41+'Testes estatísticos'!$D$52)/2,"")</f>
        <v>2.9222059999999992</v>
      </c>
      <c r="AW214" s="7">
        <f>IF(48&gt;=36,('Testes estatísticos'!$D$41+'Testes estatísticos'!$D$53)/2,"")</f>
        <v>-1.5138250000000006</v>
      </c>
      <c r="AX214" s="7">
        <f>IF(49&gt;=36,('Testes estatísticos'!$D$41+'Testes estatísticos'!$D$54)/2,"")</f>
        <v>-0.2540344999999995</v>
      </c>
      <c r="AY214" s="7">
        <f>IF(50&gt;=36,('Testes estatísticos'!$D$41+'Testes estatísticos'!$D$55)/2,"")</f>
        <v>1.3711300000000008</v>
      </c>
      <c r="AZ214" s="7">
        <f>IF(51&gt;=36,('Testes estatísticos'!$D$41+'Testes estatísticos'!$D$56)/2,"")</f>
        <v>1.415599499999999</v>
      </c>
      <c r="BA214" s="7">
        <f>IF(52&gt;=36,('Testes estatísticos'!$D$41+'Testes estatísticos'!$D$57)/2,"")</f>
        <v>-1.9926165000000005</v>
      </c>
      <c r="BB214" s="7">
        <f>IF(53&gt;=36,('Testes estatísticos'!$D$41+'Testes estatísticos'!$D$58)/2,"")</f>
        <v>1.4161460000000012</v>
      </c>
      <c r="BC214" s="7">
        <f>IF(54&gt;=36,('Testes estatísticos'!$D$41+'Testes estatísticos'!$D$59)/2,"")</f>
        <v>0.49650349999999932</v>
      </c>
      <c r="BD214" s="7">
        <f>IF(55&gt;=36,('Testes estatísticos'!$D$41+'Testes estatísticos'!$D$60)/2,"")</f>
        <v>3.5921744999999987</v>
      </c>
      <c r="BE214" s="7">
        <f>IF(56&gt;=36,('Testes estatísticos'!$D$41+'Testes estatísticos'!$D$61)/2,"")</f>
        <v>0.96220600000000189</v>
      </c>
      <c r="BF214" s="7">
        <f>IF(57&gt;=36,('Testes estatísticos'!$D$41+'Testes estatísticos'!$D$62)/2,"")</f>
        <v>-2.4379840000000037</v>
      </c>
      <c r="BG214" s="7">
        <f>IF(58&gt;=36,('Testes estatísticos'!$D$41+'Testes estatísticos'!$D$63)/2,"")</f>
        <v>2.8279110000000003</v>
      </c>
      <c r="BH214" s="7">
        <f>IF(59&gt;=36,('Testes estatísticos'!$D$41+'Testes estatísticos'!$D$64)/2,"")</f>
        <v>-3.0157015000000023</v>
      </c>
      <c r="BI214" s="7">
        <f>IF(60&gt;=36,('Testes estatísticos'!$D$41+'Testes estatísticos'!$D$65)/2,"")</f>
        <v>-1.2681104999999988</v>
      </c>
      <c r="BJ214" s="7">
        <f>IF(61&gt;=36,('Testes estatísticos'!$D$41+'Testes estatísticos'!$D$66)/2,"")</f>
        <v>1.3669444999999989</v>
      </c>
      <c r="BK214" s="7">
        <f>IF(62&gt;=36,('Testes estatísticos'!$D$41+'Testes estatísticos'!$D$67)/2,"")</f>
        <v>0.85814949999999968</v>
      </c>
      <c r="BL214" s="7">
        <f>IF(63&gt;=36,('Testes estatísticos'!$D$41+'Testes estatísticos'!$D$68)/2,"")</f>
        <v>1.7574639999999988</v>
      </c>
      <c r="BM214" s="7">
        <f>IF(64&gt;=36,('Testes estatísticos'!$D$41+'Testes estatísticos'!$D$69)/2,"")</f>
        <v>1.8083059999999982</v>
      </c>
      <c r="BN214" s="7">
        <f>IF(65&gt;=36,('Testes estatísticos'!$D$41+'Testes estatísticos'!$D$70)/2,"")</f>
        <v>-0.33750050000000087</v>
      </c>
      <c r="BO214" s="7">
        <f>IF(66&gt;=36,('Testes estatísticos'!$D$41+'Testes estatísticos'!$D$71)/2,"")</f>
        <v>0.55835199999999929</v>
      </c>
      <c r="BP214" s="7">
        <f>IF(67&gt;=36,('Testes estatísticos'!$D$41+'Testes estatísticos'!$D$72)/2,"")</f>
        <v>-2.3321070000000006</v>
      </c>
      <c r="BQ214" s="7">
        <f>IF(68&gt;=36,('Testes estatísticos'!$D$41+'Testes estatísticos'!$D$73)/2,"")</f>
        <v>2.3311259999999976</v>
      </c>
      <c r="BR214" s="7">
        <f>IF(69&gt;=36,('Testes estatísticos'!$D$41+'Testes estatísticos'!$D$74)/2,"")</f>
        <v>2.9633079999999978</v>
      </c>
      <c r="BS214" s="7">
        <f>IF(70&gt;=36,('Testes estatísticos'!$D$41+'Testes estatísticos'!$D$75)/2,"")</f>
        <v>1.9588434999999969</v>
      </c>
      <c r="BT214" s="7">
        <f>IF(71&gt;=36,('Testes estatísticos'!$D$41+'Testes estatísticos'!$D$76)/2,"")</f>
        <v>3.5332084999999971</v>
      </c>
      <c r="BU214" s="7">
        <f>IF(72&gt;=36,('Testes estatísticos'!$D$41+'Testes estatísticos'!$D$77)/2,"")</f>
        <v>-2.0664885000000019</v>
      </c>
      <c r="BV214" s="7">
        <f>IF(73&gt;=36,('Testes estatísticos'!$D$41+'Testes estatísticos'!$D$78)/2,"")</f>
        <v>6.9859999999977163E-3</v>
      </c>
      <c r="BW214" s="7">
        <f>IF(74&gt;=36,('Testes estatísticos'!$D$41+'Testes estatísticos'!$D$79)/2,"")</f>
        <v>-0.67633250000000089</v>
      </c>
      <c r="BX214" s="7">
        <f>IF(75&gt;=36,('Testes estatísticos'!$D$41+'Testes estatísticos'!$D$80)/2,"")</f>
        <v>-0.69811050000000208</v>
      </c>
      <c r="BY214" s="7">
        <f>IF(76&gt;=36,('Testes estatísticos'!$D$41+'Testes estatísticos'!$D$81)/2,"")</f>
        <v>3.4333475</v>
      </c>
      <c r="BZ214" s="7">
        <f>IF(77&gt;=36,('Testes estatísticos'!$D$41+'Testes estatísticos'!$D$82)/2,"")</f>
        <v>-1.8282419999999995</v>
      </c>
      <c r="CA214" s="7">
        <f>IF(78&gt;=36,('Testes estatísticos'!$D$41+'Testes estatísticos'!$D$83)/2,"")</f>
        <v>-6.7982999999998128E-2</v>
      </c>
      <c r="CB214" s="7">
        <f>IF(79&gt;=36,('Testes estatísticos'!$D$41+'Testes estatísticos'!$D$84)/2,"")</f>
        <v>-1.6260500000001343E-2</v>
      </c>
      <c r="CC214" s="7">
        <f>IF(80&gt;=36,('Testes estatísticos'!$D$41+'Testes estatísticos'!$D$85)/2,"")</f>
        <v>-1.8232770000000009</v>
      </c>
      <c r="CD214" s="7">
        <f>IF(81&gt;=36,('Testes estatísticos'!$D$41+'Testes estatísticos'!$D$86)/2,"")</f>
        <v>-1.8734220000000015</v>
      </c>
      <c r="CE214" s="7">
        <f>IF(82&gt;=36,('Testes estatísticos'!$D$41+'Testes estatísticos'!$D$87)/2,"")</f>
        <v>0.20436849999999751</v>
      </c>
      <c r="CF214" s="7">
        <f>IF(83&gt;=36,('Testes estatísticos'!$D$41+'Testes estatísticos'!$D$88)/2,"")</f>
        <v>-0.32443850000000296</v>
      </c>
      <c r="CG214" s="7">
        <f>IF(84&gt;=36,('Testes estatísticos'!$D$41+'Testes estatísticos'!$D$89)/2,"")</f>
        <v>-0.65634550000000047</v>
      </c>
      <c r="CH214" s="7">
        <f>IF(85&gt;=36,('Testes estatísticos'!$D$41+'Testes estatísticos'!$D$90)/2,"")</f>
        <v>1.1592014999999982</v>
      </c>
      <c r="CI214" s="7">
        <f>IF(86&gt;=36,('Testes estatísticos'!$D$41+'Testes estatísticos'!$D$91)/2,"")</f>
        <v>-1.5309579999999983</v>
      </c>
      <c r="CJ214" s="7">
        <f>IF(87&gt;=36,('Testes estatísticos'!$D$41+'Testes estatísticos'!$D$92)/2,"")</f>
        <v>-0.28875150000000005</v>
      </c>
      <c r="CK214" s="7">
        <f>IF(88&gt;=36,('Testes estatísticos'!$D$41+'Testes estatísticos'!$D$93)/2,"")</f>
        <v>-4.4668000000001484E-2</v>
      </c>
      <c r="CL214" s="7">
        <f>IF(89&gt;=36,('Testes estatísticos'!$D$41+'Testes estatísticos'!$D$94)/2,"")</f>
        <v>-0.65626000000000317</v>
      </c>
      <c r="CM214" s="7">
        <f>IF(90&gt;=36,('Testes estatísticos'!$D$41+'Testes estatísticos'!$D$95)/2,"")</f>
        <v>-2.9903919999999999</v>
      </c>
      <c r="CN214" s="7">
        <f>IF(91&gt;=36,('Testes estatísticos'!$D$41+'Testes estatísticos'!$D$96)/2,"")</f>
        <v>-0.45186899999999852</v>
      </c>
      <c r="CO214" s="7">
        <f>IF(92&gt;=36,('Testes estatísticos'!$D$41+'Testes estatísticos'!$D$97)/2,"")</f>
        <v>-0.79837249999999926</v>
      </c>
      <c r="CP214" s="7">
        <f>IF(93&gt;=36,('Testes estatísticos'!$D$41+'Testes estatísticos'!$D$98)/2,"")</f>
        <v>-1.0031244999999984</v>
      </c>
      <c r="CQ214" s="7">
        <f>IF(94&gt;=36,('Testes estatísticos'!$D$41+'Testes estatísticos'!$D$99)/2,"")</f>
        <v>1.178033499999998</v>
      </c>
      <c r="CR214" s="7">
        <f>IF(95&gt;=36,('Testes estatísticos'!$D$41+'Testes estatísticos'!$D$100)/2,"")</f>
        <v>-0.72775950000000122</v>
      </c>
      <c r="CS214" s="7">
        <f>IF(96&gt;=36,('Testes estatísticos'!$D$41+'Testes estatísticos'!$D$101)/2,"")</f>
        <v>-0.68377250000000345</v>
      </c>
      <c r="CT214" s="7">
        <f>IF(97&gt;=36,('Testes estatísticos'!$D$41+'Testes estatísticos'!$D$102)/2,"")</f>
        <v>-0.45072200000000251</v>
      </c>
      <c r="CU214" s="7">
        <f>IF(98&gt;=36,('Testes estatísticos'!$D$41+'Testes estatísticos'!$D$103)/2,"")</f>
        <v>-0.39339599999999919</v>
      </c>
      <c r="CV214" s="7">
        <f>IF(99&gt;=36,('Testes estatísticos'!$D$41+'Testes estatísticos'!$D$104)/2,"")</f>
        <v>-0.82822200000000024</v>
      </c>
      <c r="CW214" s="7">
        <f>IF(100&gt;=36,('Testes estatísticos'!$D$41+'Testes estatísticos'!$D$105)/2,"")</f>
        <v>-0.92768799999999985</v>
      </c>
      <c r="CX214" s="7">
        <f>IF(101&gt;=36,('Testes estatísticos'!$D$41+'Testes estatísticos'!$D$106)/2,"")</f>
        <v>-0.40476149999999933</v>
      </c>
      <c r="CY214" s="7">
        <f>IF(102&gt;=36,('Testes estatísticos'!$D$41+'Testes estatísticos'!$D$107)/2,"")</f>
        <v>-0.46042650000000052</v>
      </c>
      <c r="CZ214" s="7">
        <f>IF(103&gt;=36,('Testes estatísticos'!$D$41+'Testes estatísticos'!$D$108)/2,"")</f>
        <v>-0.98459300000000027</v>
      </c>
      <c r="DA214" s="7">
        <f>IF(104&gt;=36,('Testes estatísticos'!$D$41+'Testes estatísticos'!$D$109)/2,"")</f>
        <v>-0.72195899999999824</v>
      </c>
      <c r="DB214" s="7">
        <f>IF(105&gt;=36,('Testes estatísticos'!$D$41+'Testes estatísticos'!$D$110)/2,"")</f>
        <v>-0.68762800000000013</v>
      </c>
      <c r="DC214" s="7">
        <f>IF(106&gt;=36,('Testes estatísticos'!$D$41+'Testes estatísticos'!$D$111)/2,"")</f>
        <v>5.5292999999998926E-2</v>
      </c>
      <c r="DD214" s="7">
        <f>IF(107&gt;=36,('Testes estatísticos'!$D$41+'Testes estatísticos'!$D$112)/2,"")</f>
        <v>3.5484639999999992</v>
      </c>
      <c r="DE214" s="7">
        <f>IF(108&gt;=36,('Testes estatísticos'!$D$41+'Testes estatísticos'!$D$113)/2,"")</f>
        <v>0.12582850000000079</v>
      </c>
      <c r="DF214" s="7">
        <f>IF(109&gt;=36,('Testes estatísticos'!$D$41+'Testes estatísticos'!$D$114)/2,"")</f>
        <v>8.9571500000001691E-2</v>
      </c>
      <c r="DG214" s="7">
        <f>IF(110&gt;=36,('Testes estatísticos'!$D$41+'Testes estatísticos'!$D$115)/2,"")</f>
        <v>-5.457568000000002</v>
      </c>
      <c r="DH214" s="7">
        <f>IF(111&gt;=36,('Testes estatísticos'!$D$41+'Testes estatísticos'!$D$116)/2,"")</f>
        <v>0.22326250000000059</v>
      </c>
      <c r="DI214" s="7">
        <f>IF(112&gt;=36,('Testes estatísticos'!$D$41+'Testes estatísticos'!$D$117)/2,"")</f>
        <v>5.651702499999999</v>
      </c>
      <c r="DJ214" s="7">
        <f>IF(113&gt;=36,('Testes estatísticos'!$D$41+'Testes estatísticos'!$D$118)/2,"")</f>
        <v>0.19514549999999886</v>
      </c>
      <c r="DK214" s="7">
        <f>IF(114&gt;=36,('Testes estatísticos'!$D$41+'Testes estatísticos'!$D$119)/2,"")</f>
        <v>9.3395499999999743E-2</v>
      </c>
      <c r="DL214" s="7">
        <f>IF(115&gt;=36,('Testes estatísticos'!$D$41+'Testes estatísticos'!$D$120)/2,"")</f>
        <v>0.13987300000000147</v>
      </c>
      <c r="DM214" s="7">
        <f>IF(116&gt;=36,('Testes estatísticos'!$D$41+'Testes estatísticos'!$D$121)/2,"")</f>
        <v>0.14847549999999998</v>
      </c>
      <c r="DN214" s="7">
        <f>IF(117&gt;=36,('Testes estatísticos'!$D$41+'Testes estatísticos'!$D$122)/2,"")</f>
        <v>0.17154349999999852</v>
      </c>
      <c r="DO214" s="7">
        <f>IF(118&gt;=36,('Testes estatísticos'!$D$41+'Testes estatísticos'!$D$123)/2,"")</f>
        <v>0.22145399999999782</v>
      </c>
      <c r="DP214" s="7">
        <f>IF(119&gt;=36,('Testes estatísticos'!$D$41+'Testes estatísticos'!$D$124)/2,"")</f>
        <v>0.2002424999999981</v>
      </c>
      <c r="DQ214" s="7">
        <f>IF(120&gt;=36,('Testes estatísticos'!$D$41+'Testes estatísticos'!$D$125)/2,"")</f>
        <v>3.2518570000000011</v>
      </c>
      <c r="DR214" s="7">
        <f>IF(121&gt;=36,('Testes estatísticos'!$D$41+'Testes estatísticos'!$D$126)/2,"")</f>
        <v>0.46284049999999866</v>
      </c>
      <c r="DS214" s="7">
        <f>IF(122&gt;=36,('Testes estatísticos'!$D$41+'Testes estatísticos'!$D$127)/2,"")</f>
        <v>-0.60256799999999799</v>
      </c>
      <c r="DT214" s="7">
        <f>IF(123&gt;=36,('Testes estatísticos'!$D$41+'Testes estatísticos'!$D$128)/2,"")</f>
        <v>5.4663014999999966</v>
      </c>
      <c r="DU214" s="7">
        <f>IF(124&gt;=36,('Testes estatísticos'!$D$41+'Testes estatísticos'!$D$129)/2,"")</f>
        <v>0.57052999999999798</v>
      </c>
      <c r="DV214" s="7">
        <f>IF(125&gt;=36,('Testes estatísticos'!$D$41+'Testes estatísticos'!$D$130)/2,"")</f>
        <v>1.7288374999999974</v>
      </c>
      <c r="DW214" s="7">
        <f>IF(126&gt;=36,('Testes estatísticos'!$D$41+'Testes estatísticos'!$D$131)/2,"")</f>
        <v>-0.67463850000000036</v>
      </c>
      <c r="DX214" s="7">
        <f>IF(127&gt;=36,('Testes estatísticos'!$D$41+'Testes estatísticos'!$D$132)/2,"")</f>
        <v>-2.730830000000001</v>
      </c>
      <c r="DY214" s="7">
        <f>IF(128&gt;=36,('Testes estatísticos'!$D$41+'Testes estatísticos'!$D$133)/2,"")</f>
        <v>-3.0719194999999999</v>
      </c>
      <c r="DZ214" s="7">
        <f>IF(129&gt;=36,('Testes estatísticos'!$D$41+'Testes estatísticos'!$D$134)/2,"")</f>
        <v>-6.4957095000000002</v>
      </c>
      <c r="EA214" s="7">
        <f>IF(130&gt;=36,('Testes estatísticos'!$D$41+'Testes estatísticos'!$D$135)/2,"")</f>
        <v>-0.73393949999999819</v>
      </c>
      <c r="EB214" s="7">
        <f>IF(131&gt;=36,('Testes estatísticos'!$D$41+'Testes estatísticos'!$D$136)/2,"")</f>
        <v>-0.64606650000000343</v>
      </c>
      <c r="EC214" s="7">
        <f>IF(132&gt;=36,('Testes estatísticos'!$D$41+'Testes estatísticos'!$D$137)/2,"")</f>
        <v>-2.1328030000000027</v>
      </c>
      <c r="ED214" s="7">
        <f>IF(133&gt;=36,('Testes estatísticos'!$D$41+'Testes estatísticos'!$D$138)/2,"")</f>
        <v>5.6134499999998866E-2</v>
      </c>
      <c r="EE214" s="7">
        <f>IF(134&gt;=36,('Testes estatísticos'!$D$41+'Testes estatísticos'!$D$139)/2,"")</f>
        <v>-2.2410560000000039</v>
      </c>
      <c r="EF214" s="7">
        <f>IF(135&gt;=36,('Testes estatísticos'!$D$41+'Testes estatísticos'!$D$140)/2,"")</f>
        <v>0.97337650000000053</v>
      </c>
      <c r="EG214" s="7">
        <f>IF(136&gt;=36,('Testes estatísticos'!$D$41+'Testes estatísticos'!$D$141)/2,"")</f>
        <v>-0.72011350000000363</v>
      </c>
      <c r="EH214" s="7">
        <f>IF(137&gt;=36,('Testes estatísticos'!$D$41+'Testes estatísticos'!$D$142)/2,"")</f>
        <v>0.98462649999999741</v>
      </c>
      <c r="EI214" s="7">
        <f>IF(138&gt;=36,('Testes estatísticos'!$D$41+'Testes estatísticos'!$D$143)/2,"")</f>
        <v>-0.68038899999999813</v>
      </c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</row>
    <row r="215" spans="2:151" x14ac:dyDescent="0.3">
      <c r="B215" s="7" t="str">
        <f>IF(1&gt;=37,('Testes estatísticos'!$D$42+'Testes estatísticos'!$D$6)/2,"")</f>
        <v/>
      </c>
      <c r="C215" s="7" t="str">
        <f>IF(2&gt;=37,('Testes estatísticos'!$D$42+'Testes estatísticos'!$D$7)/2,"")</f>
        <v/>
      </c>
      <c r="D215" s="7" t="str">
        <f>IF(3&gt;=37,('Testes estatísticos'!$D$42+'Testes estatísticos'!$D$8)/2,"")</f>
        <v/>
      </c>
      <c r="E215" s="7" t="str">
        <f>IF(4&gt;=37,('Testes estatísticos'!$D$42+'Testes estatísticos'!$D$9)/2,"")</f>
        <v/>
      </c>
      <c r="F215" s="7" t="str">
        <f>IF(5&gt;=37,('Testes estatísticos'!$D$42+'Testes estatísticos'!$D$10)/2,"")</f>
        <v/>
      </c>
      <c r="G215" s="7" t="str">
        <f>IF(6&gt;=37,('Testes estatísticos'!$D$42+'Testes estatísticos'!$D$11)/2,"")</f>
        <v/>
      </c>
      <c r="H215" s="7" t="str">
        <f>IF(7&gt;=37,('Testes estatísticos'!$D$42+'Testes estatísticos'!$D$12)/2,"")</f>
        <v/>
      </c>
      <c r="I215" s="7" t="str">
        <f>IF(8&gt;=37,('Testes estatísticos'!$D$42+'Testes estatísticos'!$D$13)/2,"")</f>
        <v/>
      </c>
      <c r="J215" s="7" t="str">
        <f>IF(9&gt;=37,('Testes estatísticos'!$D$42+'Testes estatísticos'!$D$14)/2,"")</f>
        <v/>
      </c>
      <c r="K215" s="7" t="str">
        <f>IF(10&gt;=37,('Testes estatísticos'!$D$42+'Testes estatísticos'!$D$15)/2,"")</f>
        <v/>
      </c>
      <c r="L215" s="7" t="str">
        <f>IF(11&gt;=37,('Testes estatísticos'!$D$42+'Testes estatísticos'!$D$16)/2,"")</f>
        <v/>
      </c>
      <c r="M215" s="7" t="str">
        <f>IF(12&gt;=37,('Testes estatísticos'!$D$42+'Testes estatísticos'!$D$17)/2,"")</f>
        <v/>
      </c>
      <c r="N215" s="7" t="str">
        <f>IF(13&gt;=37,('Testes estatísticos'!$D$42+'Testes estatísticos'!$D$18)/2,"")</f>
        <v/>
      </c>
      <c r="O215" s="7" t="str">
        <f>IF(14&gt;=37,('Testes estatísticos'!$D$42+'Testes estatísticos'!$D$19)/2,"")</f>
        <v/>
      </c>
      <c r="P215" s="7" t="str">
        <f>IF(15&gt;=37,('Testes estatísticos'!$D$42+'Testes estatísticos'!$D$20)/2,"")</f>
        <v/>
      </c>
      <c r="Q215" s="7" t="str">
        <f>IF(16&gt;=37,('Testes estatísticos'!$D$42+'Testes estatísticos'!$D$21)/2,"")</f>
        <v/>
      </c>
      <c r="R215" s="7" t="str">
        <f>IF(17&gt;=37,('Testes estatísticos'!$D$42+'Testes estatísticos'!$D$22)/2,"")</f>
        <v/>
      </c>
      <c r="S215" s="7" t="str">
        <f>IF(18&gt;=37,('Testes estatísticos'!$D$42+'Testes estatísticos'!$D$23)/2,"")</f>
        <v/>
      </c>
      <c r="T215" s="7" t="str">
        <f>IF(19&gt;=37,('Testes estatísticos'!$D$42+'Testes estatísticos'!$D$24)/2,"")</f>
        <v/>
      </c>
      <c r="U215" s="7" t="str">
        <f>IF(20&gt;=37,('Testes estatísticos'!$D$42+'Testes estatísticos'!$D$25)/2,"")</f>
        <v/>
      </c>
      <c r="V215" s="7" t="str">
        <f>IF(21&gt;=37,('Testes estatísticos'!$D$42+'Testes estatísticos'!$D$26)/2,"")</f>
        <v/>
      </c>
      <c r="W215" s="7" t="str">
        <f>IF(22&gt;=37,('Testes estatísticos'!$D$42+'Testes estatísticos'!$D$27)/2,"")</f>
        <v/>
      </c>
      <c r="X215" s="7" t="str">
        <f>IF(23&gt;=37,('Testes estatísticos'!$D$42+'Testes estatísticos'!$D$28)/2,"")</f>
        <v/>
      </c>
      <c r="Y215" s="7" t="str">
        <f>IF(24&gt;=37,('Testes estatísticos'!$D$42+'Testes estatísticos'!$D$29)/2,"")</f>
        <v/>
      </c>
      <c r="Z215" s="7" t="str">
        <f>IF(25&gt;=37,('Testes estatísticos'!$D$42+'Testes estatísticos'!$D$30)/2,"")</f>
        <v/>
      </c>
      <c r="AA215" s="7" t="str">
        <f>IF(26&gt;=37,('Testes estatísticos'!$D$42+'Testes estatísticos'!$D$31)/2,"")</f>
        <v/>
      </c>
      <c r="AB215" s="7" t="str">
        <f>IF(27&gt;=37,('Testes estatísticos'!$D$42+'Testes estatísticos'!$D$32)/2,"")</f>
        <v/>
      </c>
      <c r="AC215" s="7" t="str">
        <f>IF(28&gt;=37,('Testes estatísticos'!$D$42+'Testes estatísticos'!$D$33)/2,"")</f>
        <v/>
      </c>
      <c r="AD215" s="7" t="str">
        <f>IF(29&gt;=37,('Testes estatísticos'!$D$42+'Testes estatísticos'!$D$34)/2,"")</f>
        <v/>
      </c>
      <c r="AE215" s="7" t="str">
        <f>IF(30&gt;=37,('Testes estatísticos'!$D$42+'Testes estatísticos'!$D$35)/2,"")</f>
        <v/>
      </c>
      <c r="AF215" s="7" t="str">
        <f>IF(31&gt;=37,('Testes estatísticos'!$D$42+'Testes estatísticos'!$D$36)/2,"")</f>
        <v/>
      </c>
      <c r="AG215" s="7" t="str">
        <f>IF(32&gt;=37,('Testes estatísticos'!$D$42+'Testes estatísticos'!$D$37)/2,"")</f>
        <v/>
      </c>
      <c r="AH215" s="7" t="str">
        <f>IF(33&gt;=37,('Testes estatísticos'!$D$42+'Testes estatísticos'!$D$38)/2,"")</f>
        <v/>
      </c>
      <c r="AI215" s="7" t="str">
        <f>IF(34&gt;=37,('Testes estatísticos'!$D$42+'Testes estatísticos'!$D$39)/2,"")</f>
        <v/>
      </c>
      <c r="AJ215" s="7" t="str">
        <f>IF(35&gt;=37,('Testes estatísticos'!$D$42+'Testes estatísticos'!$D$40)/2,"")</f>
        <v/>
      </c>
      <c r="AK215" s="7" t="str">
        <f>IF(36&gt;=37,('Testes estatísticos'!$D$42+'Testes estatísticos'!$D$41)/2,"")</f>
        <v/>
      </c>
      <c r="AL215" s="7">
        <f>IF(37&gt;=37,('Testes estatísticos'!$D$42+'Testes estatísticos'!$D$42)/2,"")</f>
        <v>-2.1315850000000012</v>
      </c>
      <c r="AM215" s="7">
        <f>IF(38&gt;=37,('Testes estatísticos'!$D$42+'Testes estatísticos'!$D$43)/2,"")</f>
        <v>-2.1187255</v>
      </c>
      <c r="AN215" s="7">
        <f>IF(39&gt;=37,('Testes estatísticos'!$D$42+'Testes estatísticos'!$D$44)/2,"")</f>
        <v>-3.2557195000000014</v>
      </c>
      <c r="AO215" s="7">
        <f>IF(40&gt;=37,('Testes estatísticos'!$D$42+'Testes estatísticos'!$D$45)/2,"")</f>
        <v>0.71920699999999727</v>
      </c>
      <c r="AP215" s="7">
        <f>IF(41&gt;=37,('Testes estatísticos'!$D$42+'Testes estatísticos'!$D$46)/2,"")</f>
        <v>-1.7867324999999994</v>
      </c>
      <c r="AQ215" s="7">
        <f>IF(42&gt;=37,('Testes estatísticos'!$D$42+'Testes estatísticos'!$D$47)/2,"")</f>
        <v>-0.64437350000000038</v>
      </c>
      <c r="AR215" s="7">
        <f>IF(43&gt;=37,('Testes estatísticos'!$D$42+'Testes estatísticos'!$D$48)/2,"")</f>
        <v>-1.6932875000000003</v>
      </c>
      <c r="AS215" s="7">
        <f>IF(44&gt;=37,('Testes estatísticos'!$D$42+'Testes estatísticos'!$D$49)/2,"")</f>
        <v>-2.2244105000000012</v>
      </c>
      <c r="AT215" s="7">
        <f>IF(45&gt;=37,('Testes estatísticos'!$D$42+'Testes estatísticos'!$D$50)/2,"")</f>
        <v>-1.3953319999999998</v>
      </c>
      <c r="AU215" s="7">
        <f>IF(46&gt;=37,('Testes estatísticos'!$D$42+'Testes estatísticos'!$D$51)/2,"")</f>
        <v>-4.4265280000000011</v>
      </c>
      <c r="AV215" s="7">
        <f>IF(47&gt;=37,('Testes estatísticos'!$D$42+'Testes estatísticos'!$D$52)/2,"")</f>
        <v>0.64364499999999936</v>
      </c>
      <c r="AW215" s="7">
        <f>IF(48&gt;=37,('Testes estatísticos'!$D$42+'Testes estatísticos'!$D$53)/2,"")</f>
        <v>-3.7923860000000005</v>
      </c>
      <c r="AX215" s="7">
        <f>IF(49&gt;=37,('Testes estatísticos'!$D$42+'Testes estatísticos'!$D$54)/2,"")</f>
        <v>-2.5325954999999993</v>
      </c>
      <c r="AY215" s="7">
        <f>IF(50&gt;=37,('Testes estatísticos'!$D$42+'Testes estatísticos'!$D$55)/2,"")</f>
        <v>-0.90743099999999899</v>
      </c>
      <c r="AZ215" s="7">
        <f>IF(51&gt;=37,('Testes estatísticos'!$D$42+'Testes estatísticos'!$D$56)/2,"")</f>
        <v>-0.86296150000000083</v>
      </c>
      <c r="BA215" s="7">
        <f>IF(52&gt;=37,('Testes estatísticos'!$D$42+'Testes estatísticos'!$D$57)/2,"")</f>
        <v>-4.2711775000000003</v>
      </c>
      <c r="BB215" s="7">
        <f>IF(53&gt;=37,('Testes estatísticos'!$D$42+'Testes estatísticos'!$D$58)/2,"")</f>
        <v>-0.8624149999999986</v>
      </c>
      <c r="BC215" s="7">
        <f>IF(54&gt;=37,('Testes estatísticos'!$D$42+'Testes estatísticos'!$D$59)/2,"")</f>
        <v>-1.7820575000000005</v>
      </c>
      <c r="BD215" s="7">
        <f>IF(55&gt;=37,('Testes estatísticos'!$D$42+'Testes estatísticos'!$D$60)/2,"")</f>
        <v>1.3136134999999989</v>
      </c>
      <c r="BE215" s="7">
        <f>IF(56&gt;=37,('Testes estatísticos'!$D$42+'Testes estatísticos'!$D$61)/2,"")</f>
        <v>-1.3163549999999979</v>
      </c>
      <c r="BF215" s="7">
        <f>IF(57&gt;=37,('Testes estatísticos'!$D$42+'Testes estatísticos'!$D$62)/2,"")</f>
        <v>-4.7165450000000035</v>
      </c>
      <c r="BG215" s="7">
        <f>IF(58&gt;=37,('Testes estatísticos'!$D$42+'Testes estatísticos'!$D$63)/2,"")</f>
        <v>0.54935000000000045</v>
      </c>
      <c r="BH215" s="7">
        <f>IF(59&gt;=37,('Testes estatísticos'!$D$42+'Testes estatísticos'!$D$64)/2,"")</f>
        <v>-5.2942625000000021</v>
      </c>
      <c r="BI215" s="7">
        <f>IF(60&gt;=37,('Testes estatísticos'!$D$42+'Testes estatísticos'!$D$65)/2,"")</f>
        <v>-3.5466714999999986</v>
      </c>
      <c r="BJ215" s="7">
        <f>IF(61&gt;=37,('Testes estatísticos'!$D$42+'Testes estatísticos'!$D$66)/2,"")</f>
        <v>-0.91161650000000094</v>
      </c>
      <c r="BK215" s="7">
        <f>IF(62&gt;=37,('Testes estatísticos'!$D$42+'Testes estatísticos'!$D$67)/2,"")</f>
        <v>-1.4204115000000002</v>
      </c>
      <c r="BL215" s="7">
        <f>IF(63&gt;=37,('Testes estatísticos'!$D$42+'Testes estatísticos'!$D$68)/2,"")</f>
        <v>-0.52109700000000103</v>
      </c>
      <c r="BM215" s="7">
        <f>IF(64&gt;=37,('Testes estatísticos'!$D$42+'Testes estatísticos'!$D$69)/2,"")</f>
        <v>-0.47025500000000164</v>
      </c>
      <c r="BN215" s="7">
        <f>IF(65&gt;=37,('Testes estatísticos'!$D$42+'Testes estatísticos'!$D$70)/2,"")</f>
        <v>-2.6160615000000007</v>
      </c>
      <c r="BO215" s="7">
        <f>IF(66&gt;=37,('Testes estatísticos'!$D$42+'Testes estatísticos'!$D$71)/2,"")</f>
        <v>-1.7202090000000005</v>
      </c>
      <c r="BP215" s="7">
        <f>IF(67&gt;=37,('Testes estatísticos'!$D$42+'Testes estatísticos'!$D$72)/2,"")</f>
        <v>-4.6106680000000004</v>
      </c>
      <c r="BQ215" s="7">
        <f>IF(68&gt;=37,('Testes estatísticos'!$D$42+'Testes estatísticos'!$D$73)/2,"")</f>
        <v>5.2564999999997752E-2</v>
      </c>
      <c r="BR215" s="7">
        <f>IF(69&gt;=37,('Testes estatísticos'!$D$42+'Testes estatísticos'!$D$74)/2,"")</f>
        <v>0.684746999999998</v>
      </c>
      <c r="BS215" s="7">
        <f>IF(70&gt;=37,('Testes estatísticos'!$D$42+'Testes estatísticos'!$D$75)/2,"")</f>
        <v>-0.31971750000000299</v>
      </c>
      <c r="BT215" s="7">
        <f>IF(71&gt;=37,('Testes estatísticos'!$D$42+'Testes estatísticos'!$D$76)/2,"")</f>
        <v>1.2546474999999973</v>
      </c>
      <c r="BU215" s="7">
        <f>IF(72&gt;=37,('Testes estatísticos'!$D$42+'Testes estatísticos'!$D$77)/2,"")</f>
        <v>-4.3450495000000018</v>
      </c>
      <c r="BV215" s="7">
        <f>IF(73&gt;=37,('Testes estatísticos'!$D$42+'Testes estatísticos'!$D$78)/2,"")</f>
        <v>-2.2715750000000021</v>
      </c>
      <c r="BW215" s="7">
        <f>IF(74&gt;=37,('Testes estatísticos'!$D$42+'Testes estatísticos'!$D$79)/2,"")</f>
        <v>-2.9548935000000007</v>
      </c>
      <c r="BX215" s="7">
        <f>IF(75&gt;=37,('Testes estatísticos'!$D$42+'Testes estatísticos'!$D$80)/2,"")</f>
        <v>-2.9766715000000019</v>
      </c>
      <c r="BY215" s="7">
        <f>IF(76&gt;=37,('Testes estatísticos'!$D$42+'Testes estatísticos'!$D$81)/2,"")</f>
        <v>1.1547865000000002</v>
      </c>
      <c r="BZ215" s="7">
        <f>IF(77&gt;=37,('Testes estatísticos'!$D$42+'Testes estatísticos'!$D$82)/2,"")</f>
        <v>-4.1068029999999993</v>
      </c>
      <c r="CA215" s="7">
        <f>IF(78&gt;=37,('Testes estatísticos'!$D$42+'Testes estatísticos'!$D$83)/2,"")</f>
        <v>-2.346543999999998</v>
      </c>
      <c r="CB215" s="7">
        <f>IF(79&gt;=37,('Testes estatísticos'!$D$42+'Testes estatísticos'!$D$84)/2,"")</f>
        <v>-2.2948215000000012</v>
      </c>
      <c r="CC215" s="7">
        <f>IF(80&gt;=37,('Testes estatísticos'!$D$42+'Testes estatísticos'!$D$85)/2,"")</f>
        <v>-4.1018380000000008</v>
      </c>
      <c r="CD215" s="7">
        <f>IF(81&gt;=37,('Testes estatísticos'!$D$42+'Testes estatísticos'!$D$86)/2,"")</f>
        <v>-4.1519830000000013</v>
      </c>
      <c r="CE215" s="7">
        <f>IF(82&gt;=37,('Testes estatísticos'!$D$42+'Testes estatísticos'!$D$87)/2,"")</f>
        <v>-2.0741925000000023</v>
      </c>
      <c r="CF215" s="7">
        <f>IF(83&gt;=37,('Testes estatísticos'!$D$42+'Testes estatísticos'!$D$88)/2,"")</f>
        <v>-2.6029995000000028</v>
      </c>
      <c r="CG215" s="7">
        <f>IF(84&gt;=37,('Testes estatísticos'!$D$42+'Testes estatísticos'!$D$89)/2,"")</f>
        <v>-2.9349065000000003</v>
      </c>
      <c r="CH215" s="7">
        <f>IF(85&gt;=37,('Testes estatísticos'!$D$42+'Testes estatísticos'!$D$90)/2,"")</f>
        <v>-1.1193595000000016</v>
      </c>
      <c r="CI215" s="7">
        <f>IF(86&gt;=37,('Testes estatísticos'!$D$42+'Testes estatísticos'!$D$91)/2,"")</f>
        <v>-3.8095189999999981</v>
      </c>
      <c r="CJ215" s="7">
        <f>IF(87&gt;=37,('Testes estatísticos'!$D$42+'Testes estatísticos'!$D$92)/2,"")</f>
        <v>-2.5673124999999999</v>
      </c>
      <c r="CK215" s="7">
        <f>IF(88&gt;=37,('Testes estatísticos'!$D$42+'Testes estatísticos'!$D$93)/2,"")</f>
        <v>-2.3232290000000013</v>
      </c>
      <c r="CL215" s="7">
        <f>IF(89&gt;=37,('Testes estatísticos'!$D$42+'Testes estatísticos'!$D$94)/2,"")</f>
        <v>-2.934821000000003</v>
      </c>
      <c r="CM215" s="7">
        <f>IF(90&gt;=37,('Testes estatísticos'!$D$42+'Testes estatísticos'!$D$95)/2,"")</f>
        <v>-5.2689529999999998</v>
      </c>
      <c r="CN215" s="7">
        <f>IF(91&gt;=37,('Testes estatísticos'!$D$42+'Testes estatísticos'!$D$96)/2,"")</f>
        <v>-2.7304299999999984</v>
      </c>
      <c r="CO215" s="7">
        <f>IF(92&gt;=37,('Testes estatísticos'!$D$42+'Testes estatísticos'!$D$97)/2,"")</f>
        <v>-3.0769334999999991</v>
      </c>
      <c r="CP215" s="7">
        <f>IF(93&gt;=37,('Testes estatísticos'!$D$42+'Testes estatísticos'!$D$98)/2,"")</f>
        <v>-3.2816854999999983</v>
      </c>
      <c r="CQ215" s="7">
        <f>IF(94&gt;=37,('Testes estatísticos'!$D$42+'Testes estatísticos'!$D$99)/2,"")</f>
        <v>-1.1005275000000019</v>
      </c>
      <c r="CR215" s="7">
        <f>IF(95&gt;=37,('Testes estatísticos'!$D$42+'Testes estatísticos'!$D$100)/2,"")</f>
        <v>-3.0063205000000011</v>
      </c>
      <c r="CS215" s="7">
        <f>IF(96&gt;=37,('Testes estatísticos'!$D$42+'Testes estatísticos'!$D$101)/2,"")</f>
        <v>-2.9623335000000033</v>
      </c>
      <c r="CT215" s="7">
        <f>IF(97&gt;=37,('Testes estatísticos'!$D$42+'Testes estatísticos'!$D$102)/2,"")</f>
        <v>-2.7292830000000023</v>
      </c>
      <c r="CU215" s="7">
        <f>IF(98&gt;=37,('Testes estatísticos'!$D$42+'Testes estatísticos'!$D$103)/2,"")</f>
        <v>-2.671956999999999</v>
      </c>
      <c r="CV215" s="7">
        <f>IF(99&gt;=37,('Testes estatísticos'!$D$42+'Testes estatísticos'!$D$104)/2,"")</f>
        <v>-3.1067830000000001</v>
      </c>
      <c r="CW215" s="7">
        <f>IF(100&gt;=37,('Testes estatísticos'!$D$42+'Testes estatísticos'!$D$105)/2,"")</f>
        <v>-3.2062489999999997</v>
      </c>
      <c r="CX215" s="7">
        <f>IF(101&gt;=37,('Testes estatísticos'!$D$42+'Testes estatísticos'!$D$106)/2,"")</f>
        <v>-2.6833224999999992</v>
      </c>
      <c r="CY215" s="7">
        <f>IF(102&gt;=37,('Testes estatísticos'!$D$42+'Testes estatísticos'!$D$107)/2,"")</f>
        <v>-2.7389875000000004</v>
      </c>
      <c r="CZ215" s="7">
        <f>IF(103&gt;=37,('Testes estatísticos'!$D$42+'Testes estatísticos'!$D$108)/2,"")</f>
        <v>-3.2631540000000001</v>
      </c>
      <c r="DA215" s="7">
        <f>IF(104&gt;=37,('Testes estatísticos'!$D$42+'Testes estatísticos'!$D$109)/2,"")</f>
        <v>-3.0005199999999981</v>
      </c>
      <c r="DB215" s="7">
        <f>IF(105&gt;=37,('Testes estatísticos'!$D$42+'Testes estatísticos'!$D$110)/2,"")</f>
        <v>-2.966189</v>
      </c>
      <c r="DC215" s="7">
        <f>IF(106&gt;=37,('Testes estatísticos'!$D$42+'Testes estatísticos'!$D$111)/2,"")</f>
        <v>-2.2232680000000009</v>
      </c>
      <c r="DD215" s="7">
        <f>IF(107&gt;=37,('Testes estatísticos'!$D$42+'Testes estatísticos'!$D$112)/2,"")</f>
        <v>1.2699029999999993</v>
      </c>
      <c r="DE215" s="7">
        <f>IF(108&gt;=37,('Testes estatísticos'!$D$42+'Testes estatísticos'!$D$113)/2,"")</f>
        <v>-2.152732499999999</v>
      </c>
      <c r="DF215" s="7">
        <f>IF(109&gt;=37,('Testes estatísticos'!$D$42+'Testes estatísticos'!$D$114)/2,"")</f>
        <v>-2.1889894999999981</v>
      </c>
      <c r="DG215" s="7">
        <f>IF(110&gt;=37,('Testes estatísticos'!$D$42+'Testes estatísticos'!$D$115)/2,"")</f>
        <v>-7.7361290000000018</v>
      </c>
      <c r="DH215" s="7">
        <f>IF(111&gt;=37,('Testes estatísticos'!$D$42+'Testes estatísticos'!$D$116)/2,"")</f>
        <v>-2.0552984999999993</v>
      </c>
      <c r="DI215" s="7">
        <f>IF(112&gt;=37,('Testes estatísticos'!$D$42+'Testes estatísticos'!$D$117)/2,"")</f>
        <v>3.3731414999999991</v>
      </c>
      <c r="DJ215" s="7">
        <f>IF(113&gt;=37,('Testes estatísticos'!$D$42+'Testes estatísticos'!$D$118)/2,"")</f>
        <v>-2.083415500000001</v>
      </c>
      <c r="DK215" s="7">
        <f>IF(114&gt;=37,('Testes estatísticos'!$D$42+'Testes estatísticos'!$D$119)/2,"")</f>
        <v>-2.1851655000000001</v>
      </c>
      <c r="DL215" s="7">
        <f>IF(115&gt;=37,('Testes estatísticos'!$D$42+'Testes estatísticos'!$D$120)/2,"")</f>
        <v>-2.1386879999999984</v>
      </c>
      <c r="DM215" s="7">
        <f>IF(116&gt;=37,('Testes estatísticos'!$D$42+'Testes estatísticos'!$D$121)/2,"")</f>
        <v>-2.1300854999999999</v>
      </c>
      <c r="DN215" s="7">
        <f>IF(117&gt;=37,('Testes estatísticos'!$D$42+'Testes estatísticos'!$D$122)/2,"")</f>
        <v>-2.1070175000000013</v>
      </c>
      <c r="DO215" s="7">
        <f>IF(118&gt;=37,('Testes estatísticos'!$D$42+'Testes estatísticos'!$D$123)/2,"")</f>
        <v>-2.057107000000002</v>
      </c>
      <c r="DP215" s="7">
        <f>IF(119&gt;=37,('Testes estatísticos'!$D$42+'Testes estatísticos'!$D$124)/2,"")</f>
        <v>-2.0783185000000017</v>
      </c>
      <c r="DQ215" s="7">
        <f>IF(120&gt;=37,('Testes estatísticos'!$D$42+'Testes estatísticos'!$D$125)/2,"")</f>
        <v>0.97329600000000127</v>
      </c>
      <c r="DR215" s="7">
        <f>IF(121&gt;=37,('Testes estatísticos'!$D$42+'Testes estatísticos'!$D$126)/2,"")</f>
        <v>-1.8157205000000012</v>
      </c>
      <c r="DS215" s="7">
        <f>IF(122&gt;=37,('Testes estatísticos'!$D$42+'Testes estatísticos'!$D$127)/2,"")</f>
        <v>-2.8811289999999978</v>
      </c>
      <c r="DT215" s="7">
        <f>IF(123&gt;=37,('Testes estatísticos'!$D$42+'Testes estatísticos'!$D$128)/2,"")</f>
        <v>3.1877404999999968</v>
      </c>
      <c r="DU215" s="7">
        <f>IF(124&gt;=37,('Testes estatísticos'!$D$42+'Testes estatísticos'!$D$129)/2,"")</f>
        <v>-1.7080310000000019</v>
      </c>
      <c r="DV215" s="7">
        <f>IF(125&gt;=37,('Testes estatísticos'!$D$42+'Testes estatísticos'!$D$130)/2,"")</f>
        <v>-0.54972350000000247</v>
      </c>
      <c r="DW215" s="7">
        <f>IF(126&gt;=37,('Testes estatísticos'!$D$42+'Testes estatísticos'!$D$131)/2,"")</f>
        <v>-2.9531995000000002</v>
      </c>
      <c r="DX215" s="7">
        <f>IF(127&gt;=37,('Testes estatísticos'!$D$42+'Testes estatísticos'!$D$132)/2,"")</f>
        <v>-5.0093910000000008</v>
      </c>
      <c r="DY215" s="7">
        <f>IF(128&gt;=37,('Testes estatísticos'!$D$42+'Testes estatísticos'!$D$133)/2,"")</f>
        <v>-5.3504804999999998</v>
      </c>
      <c r="DZ215" s="7">
        <f>IF(129&gt;=37,('Testes estatísticos'!$D$42+'Testes estatísticos'!$D$134)/2,"")</f>
        <v>-8.7742705000000001</v>
      </c>
      <c r="EA215" s="7">
        <f>IF(130&gt;=37,('Testes estatísticos'!$D$42+'Testes estatísticos'!$D$135)/2,"")</f>
        <v>-3.012500499999998</v>
      </c>
      <c r="EB215" s="7">
        <f>IF(131&gt;=37,('Testes estatísticos'!$D$42+'Testes estatísticos'!$D$136)/2,"")</f>
        <v>-2.9246275000000033</v>
      </c>
      <c r="EC215" s="7">
        <f>IF(132&gt;=37,('Testes estatísticos'!$D$42+'Testes estatísticos'!$D$137)/2,"")</f>
        <v>-4.4113640000000025</v>
      </c>
      <c r="ED215" s="7">
        <f>IF(133&gt;=37,('Testes estatísticos'!$D$42+'Testes estatísticos'!$D$138)/2,"")</f>
        <v>-2.222426500000001</v>
      </c>
      <c r="EE215" s="7">
        <f>IF(134&gt;=37,('Testes estatísticos'!$D$42+'Testes estatísticos'!$D$139)/2,"")</f>
        <v>-4.5196170000000038</v>
      </c>
      <c r="EF215" s="7">
        <f>IF(135&gt;=37,('Testes estatísticos'!$D$42+'Testes estatísticos'!$D$140)/2,"")</f>
        <v>-1.3051844999999993</v>
      </c>
      <c r="EG215" s="7">
        <f>IF(136&gt;=37,('Testes estatísticos'!$D$42+'Testes estatísticos'!$D$141)/2,"")</f>
        <v>-2.9986745000000035</v>
      </c>
      <c r="EH215" s="7">
        <f>IF(137&gt;=37,('Testes estatísticos'!$D$42+'Testes estatísticos'!$D$142)/2,"")</f>
        <v>-1.2939345000000024</v>
      </c>
      <c r="EI215" s="7">
        <f>IF(138&gt;=37,('Testes estatísticos'!$D$42+'Testes estatísticos'!$D$143)/2,"")</f>
        <v>-2.958949999999998</v>
      </c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</row>
    <row r="216" spans="2:151" x14ac:dyDescent="0.3">
      <c r="B216" s="7" t="str">
        <f>IF(1&gt;=38,('Testes estatísticos'!$D$43+'Testes estatísticos'!$D$6)/2,"")</f>
        <v/>
      </c>
      <c r="C216" s="7" t="str">
        <f>IF(2&gt;=38,('Testes estatísticos'!$D$43+'Testes estatísticos'!$D$7)/2,"")</f>
        <v/>
      </c>
      <c r="D216" s="7" t="str">
        <f>IF(3&gt;=38,('Testes estatísticos'!$D$43+'Testes estatísticos'!$D$8)/2,"")</f>
        <v/>
      </c>
      <c r="E216" s="7" t="str">
        <f>IF(4&gt;=38,('Testes estatísticos'!$D$43+'Testes estatísticos'!$D$9)/2,"")</f>
        <v/>
      </c>
      <c r="F216" s="7" t="str">
        <f>IF(5&gt;=38,('Testes estatísticos'!$D$43+'Testes estatísticos'!$D$10)/2,"")</f>
        <v/>
      </c>
      <c r="G216" s="7" t="str">
        <f>IF(6&gt;=38,('Testes estatísticos'!$D$43+'Testes estatísticos'!$D$11)/2,"")</f>
        <v/>
      </c>
      <c r="H216" s="7" t="str">
        <f>IF(7&gt;=38,('Testes estatísticos'!$D$43+'Testes estatísticos'!$D$12)/2,"")</f>
        <v/>
      </c>
      <c r="I216" s="7" t="str">
        <f>IF(8&gt;=38,('Testes estatísticos'!$D$43+'Testes estatísticos'!$D$13)/2,"")</f>
        <v/>
      </c>
      <c r="J216" s="7" t="str">
        <f>IF(9&gt;=38,('Testes estatísticos'!$D$43+'Testes estatísticos'!$D$14)/2,"")</f>
        <v/>
      </c>
      <c r="K216" s="7" t="str">
        <f>IF(10&gt;=38,('Testes estatísticos'!$D$43+'Testes estatísticos'!$D$15)/2,"")</f>
        <v/>
      </c>
      <c r="L216" s="7" t="str">
        <f>IF(11&gt;=38,('Testes estatísticos'!$D$43+'Testes estatísticos'!$D$16)/2,"")</f>
        <v/>
      </c>
      <c r="M216" s="7" t="str">
        <f>IF(12&gt;=38,('Testes estatísticos'!$D$43+'Testes estatísticos'!$D$17)/2,"")</f>
        <v/>
      </c>
      <c r="N216" s="7" t="str">
        <f>IF(13&gt;=38,('Testes estatísticos'!$D$43+'Testes estatísticos'!$D$18)/2,"")</f>
        <v/>
      </c>
      <c r="O216" s="7" t="str">
        <f>IF(14&gt;=38,('Testes estatísticos'!$D$43+'Testes estatísticos'!$D$19)/2,"")</f>
        <v/>
      </c>
      <c r="P216" s="7" t="str">
        <f>IF(15&gt;=38,('Testes estatísticos'!$D$43+'Testes estatísticos'!$D$20)/2,"")</f>
        <v/>
      </c>
      <c r="Q216" s="7" t="str">
        <f>IF(16&gt;=38,('Testes estatísticos'!$D$43+'Testes estatísticos'!$D$21)/2,"")</f>
        <v/>
      </c>
      <c r="R216" s="7" t="str">
        <f>IF(17&gt;=38,('Testes estatísticos'!$D$43+'Testes estatísticos'!$D$22)/2,"")</f>
        <v/>
      </c>
      <c r="S216" s="7" t="str">
        <f>IF(18&gt;=38,('Testes estatísticos'!$D$43+'Testes estatísticos'!$D$23)/2,"")</f>
        <v/>
      </c>
      <c r="T216" s="7" t="str">
        <f>IF(19&gt;=38,('Testes estatísticos'!$D$43+'Testes estatísticos'!$D$24)/2,"")</f>
        <v/>
      </c>
      <c r="U216" s="7" t="str">
        <f>IF(20&gt;=38,('Testes estatísticos'!$D$43+'Testes estatísticos'!$D$25)/2,"")</f>
        <v/>
      </c>
      <c r="V216" s="7" t="str">
        <f>IF(21&gt;=38,('Testes estatísticos'!$D$43+'Testes estatísticos'!$D$26)/2,"")</f>
        <v/>
      </c>
      <c r="W216" s="7" t="str">
        <f>IF(22&gt;=38,('Testes estatísticos'!$D$43+'Testes estatísticos'!$D$27)/2,"")</f>
        <v/>
      </c>
      <c r="X216" s="7" t="str">
        <f>IF(23&gt;=38,('Testes estatísticos'!$D$43+'Testes estatísticos'!$D$28)/2,"")</f>
        <v/>
      </c>
      <c r="Y216" s="7" t="str">
        <f>IF(24&gt;=38,('Testes estatísticos'!$D$43+'Testes estatísticos'!$D$29)/2,"")</f>
        <v/>
      </c>
      <c r="Z216" s="7" t="str">
        <f>IF(25&gt;=38,('Testes estatísticos'!$D$43+'Testes estatísticos'!$D$30)/2,"")</f>
        <v/>
      </c>
      <c r="AA216" s="7" t="str">
        <f>IF(26&gt;=38,('Testes estatísticos'!$D$43+'Testes estatísticos'!$D$31)/2,"")</f>
        <v/>
      </c>
      <c r="AB216" s="7" t="str">
        <f>IF(27&gt;=38,('Testes estatísticos'!$D$43+'Testes estatísticos'!$D$32)/2,"")</f>
        <v/>
      </c>
      <c r="AC216" s="7" t="str">
        <f>IF(28&gt;=38,('Testes estatísticos'!$D$43+'Testes estatísticos'!$D$33)/2,"")</f>
        <v/>
      </c>
      <c r="AD216" s="7" t="str">
        <f>IF(29&gt;=38,('Testes estatísticos'!$D$43+'Testes estatísticos'!$D$34)/2,"")</f>
        <v/>
      </c>
      <c r="AE216" s="7" t="str">
        <f>IF(30&gt;=38,('Testes estatísticos'!$D$43+'Testes estatísticos'!$D$35)/2,"")</f>
        <v/>
      </c>
      <c r="AF216" s="7" t="str">
        <f>IF(31&gt;=38,('Testes estatísticos'!$D$43+'Testes estatísticos'!$D$36)/2,"")</f>
        <v/>
      </c>
      <c r="AG216" s="7" t="str">
        <f>IF(32&gt;=38,('Testes estatísticos'!$D$43+'Testes estatísticos'!$D$37)/2,"")</f>
        <v/>
      </c>
      <c r="AH216" s="7" t="str">
        <f>IF(33&gt;=38,('Testes estatísticos'!$D$43+'Testes estatísticos'!$D$38)/2,"")</f>
        <v/>
      </c>
      <c r="AI216" s="7" t="str">
        <f>IF(34&gt;=38,('Testes estatísticos'!$D$43+'Testes estatísticos'!$D$39)/2,"")</f>
        <v/>
      </c>
      <c r="AJ216" s="7" t="str">
        <f>IF(35&gt;=38,('Testes estatísticos'!$D$43+'Testes estatísticos'!$D$40)/2,"")</f>
        <v/>
      </c>
      <c r="AK216" s="7" t="str">
        <f>IF(36&gt;=38,('Testes estatísticos'!$D$43+'Testes estatísticos'!$D$41)/2,"")</f>
        <v/>
      </c>
      <c r="AL216" s="7" t="str">
        <f>IF(37&gt;=38,('Testes estatísticos'!$D$43+'Testes estatísticos'!$D$42)/2,"")</f>
        <v/>
      </c>
      <c r="AM216" s="7">
        <f>IF(38&gt;=38,('Testes estatísticos'!$D$43+'Testes estatísticos'!$D$43)/2,"")</f>
        <v>-2.1058659999999989</v>
      </c>
      <c r="AN216" s="7">
        <f>IF(39&gt;=38,('Testes estatísticos'!$D$43+'Testes estatísticos'!$D$44)/2,"")</f>
        <v>-3.2428600000000003</v>
      </c>
      <c r="AO216" s="7">
        <f>IF(40&gt;=38,('Testes estatísticos'!$D$43+'Testes estatísticos'!$D$45)/2,"")</f>
        <v>0.7320664999999984</v>
      </c>
      <c r="AP216" s="7">
        <f>IF(41&gt;=38,('Testes estatísticos'!$D$43+'Testes estatísticos'!$D$46)/2,"")</f>
        <v>-1.7738729999999983</v>
      </c>
      <c r="AQ216" s="7">
        <f>IF(42&gt;=38,('Testes estatísticos'!$D$43+'Testes estatísticos'!$D$47)/2,"")</f>
        <v>-0.63151399999999924</v>
      </c>
      <c r="AR216" s="7">
        <f>IF(43&gt;=38,('Testes estatísticos'!$D$43+'Testes estatísticos'!$D$48)/2,"")</f>
        <v>-1.6804279999999991</v>
      </c>
      <c r="AS216" s="7">
        <f>IF(44&gt;=38,('Testes estatísticos'!$D$43+'Testes estatísticos'!$D$49)/2,"")</f>
        <v>-2.211551</v>
      </c>
      <c r="AT216" s="7">
        <f>IF(45&gt;=38,('Testes estatísticos'!$D$43+'Testes estatísticos'!$D$50)/2,"")</f>
        <v>-1.3824724999999987</v>
      </c>
      <c r="AU216" s="7">
        <f>IF(46&gt;=38,('Testes estatísticos'!$D$43+'Testes estatísticos'!$D$51)/2,"")</f>
        <v>-4.4136685</v>
      </c>
      <c r="AV216" s="7">
        <f>IF(47&gt;=38,('Testes estatísticos'!$D$43+'Testes estatísticos'!$D$52)/2,"")</f>
        <v>0.65650450000000049</v>
      </c>
      <c r="AW216" s="7">
        <f>IF(48&gt;=38,('Testes estatísticos'!$D$43+'Testes estatísticos'!$D$53)/2,"")</f>
        <v>-3.7795264999999993</v>
      </c>
      <c r="AX216" s="7">
        <f>IF(49&gt;=38,('Testes estatísticos'!$D$43+'Testes estatísticos'!$D$54)/2,"")</f>
        <v>-2.5197359999999982</v>
      </c>
      <c r="AY216" s="7">
        <f>IF(50&gt;=38,('Testes estatísticos'!$D$43+'Testes estatísticos'!$D$55)/2,"")</f>
        <v>-0.89457149999999785</v>
      </c>
      <c r="AZ216" s="7">
        <f>IF(51&gt;=38,('Testes estatísticos'!$D$43+'Testes estatísticos'!$D$56)/2,"")</f>
        <v>-0.85010199999999969</v>
      </c>
      <c r="BA216" s="7">
        <f>IF(52&gt;=38,('Testes estatísticos'!$D$43+'Testes estatísticos'!$D$57)/2,"")</f>
        <v>-4.2583179999999992</v>
      </c>
      <c r="BB216" s="7">
        <f>IF(53&gt;=38,('Testes estatísticos'!$D$43+'Testes estatísticos'!$D$58)/2,"")</f>
        <v>-0.84955549999999747</v>
      </c>
      <c r="BC216" s="7">
        <f>IF(54&gt;=38,('Testes estatísticos'!$D$43+'Testes estatísticos'!$D$59)/2,"")</f>
        <v>-1.7691979999999994</v>
      </c>
      <c r="BD216" s="7">
        <f>IF(55&gt;=38,('Testes estatísticos'!$D$43+'Testes estatísticos'!$D$60)/2,"")</f>
        <v>1.326473</v>
      </c>
      <c r="BE216" s="7">
        <f>IF(56&gt;=38,('Testes estatísticos'!$D$43+'Testes estatísticos'!$D$61)/2,"")</f>
        <v>-1.3034954999999968</v>
      </c>
      <c r="BF216" s="7">
        <f>IF(57&gt;=38,('Testes estatísticos'!$D$43+'Testes estatísticos'!$D$62)/2,"")</f>
        <v>-4.7036855000000024</v>
      </c>
      <c r="BG216" s="7">
        <f>IF(58&gt;=38,('Testes estatísticos'!$D$43+'Testes estatísticos'!$D$63)/2,"")</f>
        <v>0.56220950000000158</v>
      </c>
      <c r="BH216" s="7">
        <f>IF(59&gt;=38,('Testes estatísticos'!$D$43+'Testes estatísticos'!$D$64)/2,"")</f>
        <v>-5.281403000000001</v>
      </c>
      <c r="BI216" s="7">
        <f>IF(60&gt;=38,('Testes estatísticos'!$D$43+'Testes estatísticos'!$D$65)/2,"")</f>
        <v>-3.5338119999999975</v>
      </c>
      <c r="BJ216" s="7">
        <f>IF(61&gt;=38,('Testes estatísticos'!$D$43+'Testes estatísticos'!$D$66)/2,"")</f>
        <v>-0.89875699999999981</v>
      </c>
      <c r="BK216" s="7">
        <f>IF(62&gt;=38,('Testes estatísticos'!$D$43+'Testes estatísticos'!$D$67)/2,"")</f>
        <v>-1.407551999999999</v>
      </c>
      <c r="BL216" s="7">
        <f>IF(63&gt;=38,('Testes estatísticos'!$D$43+'Testes estatísticos'!$D$68)/2,"")</f>
        <v>-0.5082374999999999</v>
      </c>
      <c r="BM216" s="7">
        <f>IF(64&gt;=38,('Testes estatísticos'!$D$43+'Testes estatísticos'!$D$69)/2,"")</f>
        <v>-0.45739550000000051</v>
      </c>
      <c r="BN216" s="7">
        <f>IF(65&gt;=38,('Testes estatísticos'!$D$43+'Testes estatísticos'!$D$70)/2,"")</f>
        <v>-2.6032019999999996</v>
      </c>
      <c r="BO216" s="7">
        <f>IF(66&gt;=38,('Testes estatísticos'!$D$43+'Testes estatísticos'!$D$71)/2,"")</f>
        <v>-1.7073494999999994</v>
      </c>
      <c r="BP216" s="7">
        <f>IF(67&gt;=38,('Testes estatísticos'!$D$43+'Testes estatísticos'!$D$72)/2,"")</f>
        <v>-4.5978084999999993</v>
      </c>
      <c r="BQ216" s="7">
        <f>IF(68&gt;=38,('Testes estatísticos'!$D$43+'Testes estatísticos'!$D$73)/2,"")</f>
        <v>6.5424499999998886E-2</v>
      </c>
      <c r="BR216" s="7">
        <f>IF(69&gt;=38,('Testes estatísticos'!$D$43+'Testes estatísticos'!$D$74)/2,"")</f>
        <v>0.69760649999999913</v>
      </c>
      <c r="BS216" s="7">
        <f>IF(70&gt;=38,('Testes estatísticos'!$D$43+'Testes estatísticos'!$D$75)/2,"")</f>
        <v>-0.30685800000000185</v>
      </c>
      <c r="BT216" s="7">
        <f>IF(71&gt;=38,('Testes estatísticos'!$D$43+'Testes estatísticos'!$D$76)/2,"")</f>
        <v>1.2675069999999984</v>
      </c>
      <c r="BU216" s="7">
        <f>IF(72&gt;=38,('Testes estatísticos'!$D$43+'Testes estatísticos'!$D$77)/2,"")</f>
        <v>-4.3321900000000007</v>
      </c>
      <c r="BV216" s="7">
        <f>IF(73&gt;=38,('Testes estatísticos'!$D$43+'Testes estatísticos'!$D$78)/2,"")</f>
        <v>-2.258715500000001</v>
      </c>
      <c r="BW216" s="7">
        <f>IF(74&gt;=38,('Testes estatísticos'!$D$43+'Testes estatísticos'!$D$79)/2,"")</f>
        <v>-2.9420339999999996</v>
      </c>
      <c r="BX216" s="7">
        <f>IF(75&gt;=38,('Testes estatísticos'!$D$43+'Testes estatísticos'!$D$80)/2,"")</f>
        <v>-2.9638120000000008</v>
      </c>
      <c r="BY216" s="7">
        <f>IF(76&gt;=38,('Testes estatísticos'!$D$43+'Testes estatísticos'!$D$81)/2,"")</f>
        <v>1.1676460000000013</v>
      </c>
      <c r="BZ216" s="7">
        <f>IF(77&gt;=38,('Testes estatísticos'!$D$43+'Testes estatísticos'!$D$82)/2,"")</f>
        <v>-4.0939434999999982</v>
      </c>
      <c r="CA216" s="7">
        <f>IF(78&gt;=38,('Testes estatísticos'!$D$43+'Testes estatísticos'!$D$83)/2,"")</f>
        <v>-2.3336844999999968</v>
      </c>
      <c r="CB216" s="7">
        <f>IF(79&gt;=38,('Testes estatísticos'!$D$43+'Testes estatísticos'!$D$84)/2,"")</f>
        <v>-2.281962</v>
      </c>
      <c r="CC216" s="7">
        <f>IF(80&gt;=38,('Testes estatísticos'!$D$43+'Testes estatísticos'!$D$85)/2,"")</f>
        <v>-4.0889784999999996</v>
      </c>
      <c r="CD216" s="7">
        <f>IF(81&gt;=38,('Testes estatísticos'!$D$43+'Testes estatísticos'!$D$86)/2,"")</f>
        <v>-4.1391235000000002</v>
      </c>
      <c r="CE216" s="7">
        <f>IF(82&gt;=38,('Testes estatísticos'!$D$43+'Testes estatísticos'!$D$87)/2,"")</f>
        <v>-2.0613330000000012</v>
      </c>
      <c r="CF216" s="7">
        <f>IF(83&gt;=38,('Testes estatísticos'!$D$43+'Testes estatísticos'!$D$88)/2,"")</f>
        <v>-2.5901400000000017</v>
      </c>
      <c r="CG216" s="7">
        <f>IF(84&gt;=38,('Testes estatísticos'!$D$43+'Testes estatísticos'!$D$89)/2,"")</f>
        <v>-2.9220469999999992</v>
      </c>
      <c r="CH216" s="7">
        <f>IF(85&gt;=38,('Testes estatísticos'!$D$43+'Testes estatísticos'!$D$90)/2,"")</f>
        <v>-1.1065000000000005</v>
      </c>
      <c r="CI216" s="7">
        <f>IF(86&gt;=38,('Testes estatísticos'!$D$43+'Testes estatísticos'!$D$91)/2,"")</f>
        <v>-3.796659499999997</v>
      </c>
      <c r="CJ216" s="7">
        <f>IF(87&gt;=38,('Testes estatísticos'!$D$43+'Testes estatísticos'!$D$92)/2,"")</f>
        <v>-2.5544529999999988</v>
      </c>
      <c r="CK216" s="7">
        <f>IF(88&gt;=38,('Testes estatísticos'!$D$43+'Testes estatísticos'!$D$93)/2,"")</f>
        <v>-2.3103695000000002</v>
      </c>
      <c r="CL216" s="7">
        <f>IF(89&gt;=38,('Testes estatísticos'!$D$43+'Testes estatísticos'!$D$94)/2,"")</f>
        <v>-2.9219615000000019</v>
      </c>
      <c r="CM216" s="7">
        <f>IF(90&gt;=38,('Testes estatísticos'!$D$43+'Testes estatísticos'!$D$95)/2,"")</f>
        <v>-5.2560934999999986</v>
      </c>
      <c r="CN216" s="7">
        <f>IF(91&gt;=38,('Testes estatísticos'!$D$43+'Testes estatísticos'!$D$96)/2,"")</f>
        <v>-2.7175704999999972</v>
      </c>
      <c r="CO216" s="7">
        <f>IF(92&gt;=38,('Testes estatísticos'!$D$43+'Testes estatísticos'!$D$97)/2,"")</f>
        <v>-3.064073999999998</v>
      </c>
      <c r="CP216" s="7">
        <f>IF(93&gt;=38,('Testes estatísticos'!$D$43+'Testes estatísticos'!$D$98)/2,"")</f>
        <v>-3.2688259999999971</v>
      </c>
      <c r="CQ216" s="7">
        <f>IF(94&gt;=38,('Testes estatísticos'!$D$43+'Testes estatísticos'!$D$99)/2,"")</f>
        <v>-1.0876680000000007</v>
      </c>
      <c r="CR216" s="7">
        <f>IF(95&gt;=38,('Testes estatísticos'!$D$43+'Testes estatísticos'!$D$100)/2,"")</f>
        <v>-2.9934609999999999</v>
      </c>
      <c r="CS216" s="7">
        <f>IF(96&gt;=38,('Testes estatísticos'!$D$43+'Testes estatísticos'!$D$101)/2,"")</f>
        <v>-2.9494740000000021</v>
      </c>
      <c r="CT216" s="7">
        <f>IF(97&gt;=38,('Testes estatísticos'!$D$43+'Testes estatísticos'!$D$102)/2,"")</f>
        <v>-2.7164235000000012</v>
      </c>
      <c r="CU216" s="7">
        <f>IF(98&gt;=38,('Testes estatísticos'!$D$43+'Testes estatísticos'!$D$103)/2,"")</f>
        <v>-2.6590974999999979</v>
      </c>
      <c r="CV216" s="7">
        <f>IF(99&gt;=38,('Testes estatísticos'!$D$43+'Testes estatísticos'!$D$104)/2,"")</f>
        <v>-3.0939234999999989</v>
      </c>
      <c r="CW216" s="7">
        <f>IF(100&gt;=38,('Testes estatísticos'!$D$43+'Testes estatísticos'!$D$105)/2,"")</f>
        <v>-3.1933894999999985</v>
      </c>
      <c r="CX216" s="7">
        <f>IF(101&gt;=38,('Testes estatísticos'!$D$43+'Testes estatísticos'!$D$106)/2,"")</f>
        <v>-2.670462999999998</v>
      </c>
      <c r="CY216" s="7">
        <f>IF(102&gt;=38,('Testes estatísticos'!$D$43+'Testes estatísticos'!$D$107)/2,"")</f>
        <v>-2.7261279999999992</v>
      </c>
      <c r="CZ216" s="7">
        <f>IF(103&gt;=38,('Testes estatísticos'!$D$43+'Testes estatísticos'!$D$108)/2,"")</f>
        <v>-3.250294499999999</v>
      </c>
      <c r="DA216" s="7">
        <f>IF(104&gt;=38,('Testes estatísticos'!$D$43+'Testes estatísticos'!$D$109)/2,"")</f>
        <v>-2.9876604999999969</v>
      </c>
      <c r="DB216" s="7">
        <f>IF(105&gt;=38,('Testes estatísticos'!$D$43+'Testes estatísticos'!$D$110)/2,"")</f>
        <v>-2.9533294999999988</v>
      </c>
      <c r="DC216" s="7">
        <f>IF(106&gt;=38,('Testes estatísticos'!$D$43+'Testes estatísticos'!$D$111)/2,"")</f>
        <v>-2.2104084999999998</v>
      </c>
      <c r="DD216" s="7">
        <f>IF(107&gt;=38,('Testes estatísticos'!$D$43+'Testes estatísticos'!$D$112)/2,"")</f>
        <v>1.2827625000000005</v>
      </c>
      <c r="DE216" s="7">
        <f>IF(108&gt;=38,('Testes estatísticos'!$D$43+'Testes estatísticos'!$D$113)/2,"")</f>
        <v>-2.1398729999999979</v>
      </c>
      <c r="DF216" s="7">
        <f>IF(109&gt;=38,('Testes estatísticos'!$D$43+'Testes estatísticos'!$D$114)/2,"")</f>
        <v>-2.176129999999997</v>
      </c>
      <c r="DG216" s="7">
        <f>IF(110&gt;=38,('Testes estatísticos'!$D$43+'Testes estatísticos'!$D$115)/2,"")</f>
        <v>-7.7232695000000007</v>
      </c>
      <c r="DH216" s="7">
        <f>IF(111&gt;=38,('Testes estatísticos'!$D$43+'Testes estatísticos'!$D$116)/2,"")</f>
        <v>-2.0424389999999981</v>
      </c>
      <c r="DI216" s="7">
        <f>IF(112&gt;=38,('Testes estatísticos'!$D$43+'Testes estatísticos'!$D$117)/2,"")</f>
        <v>3.3860010000000003</v>
      </c>
      <c r="DJ216" s="7">
        <f>IF(113&gt;=38,('Testes estatísticos'!$D$43+'Testes estatísticos'!$D$118)/2,"")</f>
        <v>-2.0705559999999998</v>
      </c>
      <c r="DK216" s="7">
        <f>IF(114&gt;=38,('Testes estatísticos'!$D$43+'Testes estatísticos'!$D$119)/2,"")</f>
        <v>-2.172305999999999</v>
      </c>
      <c r="DL216" s="7">
        <f>IF(115&gt;=38,('Testes estatísticos'!$D$43+'Testes estatísticos'!$D$120)/2,"")</f>
        <v>-2.1258284999999972</v>
      </c>
      <c r="DM216" s="7">
        <f>IF(116&gt;=38,('Testes estatísticos'!$D$43+'Testes estatísticos'!$D$121)/2,"")</f>
        <v>-2.1172259999999987</v>
      </c>
      <c r="DN216" s="7">
        <f>IF(117&gt;=38,('Testes estatísticos'!$D$43+'Testes estatísticos'!$D$122)/2,"")</f>
        <v>-2.0941580000000002</v>
      </c>
      <c r="DO216" s="7">
        <f>IF(118&gt;=38,('Testes estatísticos'!$D$43+'Testes estatísticos'!$D$123)/2,"")</f>
        <v>-2.0442475000000009</v>
      </c>
      <c r="DP216" s="7">
        <f>IF(119&gt;=38,('Testes estatísticos'!$D$43+'Testes estatísticos'!$D$124)/2,"")</f>
        <v>-2.0654590000000006</v>
      </c>
      <c r="DQ216" s="7">
        <f>IF(120&gt;=38,('Testes estatísticos'!$D$43+'Testes estatísticos'!$D$125)/2,"")</f>
        <v>0.98615550000000241</v>
      </c>
      <c r="DR216" s="7">
        <f>IF(121&gt;=38,('Testes estatísticos'!$D$43+'Testes estatísticos'!$D$126)/2,"")</f>
        <v>-1.802861</v>
      </c>
      <c r="DS216" s="7">
        <f>IF(122&gt;=38,('Testes estatísticos'!$D$43+'Testes estatísticos'!$D$127)/2,"")</f>
        <v>-2.8682694999999967</v>
      </c>
      <c r="DT216" s="7">
        <f>IF(123&gt;=38,('Testes estatísticos'!$D$43+'Testes estatísticos'!$D$128)/2,"")</f>
        <v>3.2005999999999979</v>
      </c>
      <c r="DU216" s="7">
        <f>IF(124&gt;=38,('Testes estatísticos'!$D$43+'Testes estatísticos'!$D$129)/2,"")</f>
        <v>-1.6951715000000007</v>
      </c>
      <c r="DV216" s="7">
        <f>IF(125&gt;=38,('Testes estatísticos'!$D$43+'Testes estatísticos'!$D$130)/2,"")</f>
        <v>-0.53686400000000134</v>
      </c>
      <c r="DW216" s="7">
        <f>IF(126&gt;=38,('Testes estatísticos'!$D$43+'Testes estatísticos'!$D$131)/2,"")</f>
        <v>-2.9403399999999991</v>
      </c>
      <c r="DX216" s="7">
        <f>IF(127&gt;=38,('Testes estatísticos'!$D$43+'Testes estatísticos'!$D$132)/2,"")</f>
        <v>-4.9965314999999997</v>
      </c>
      <c r="DY216" s="7">
        <f>IF(128&gt;=38,('Testes estatísticos'!$D$43+'Testes estatísticos'!$D$133)/2,"")</f>
        <v>-5.3376209999999986</v>
      </c>
      <c r="DZ216" s="7">
        <f>IF(129&gt;=38,('Testes estatísticos'!$D$43+'Testes estatísticos'!$D$134)/2,"")</f>
        <v>-8.7614109999999989</v>
      </c>
      <c r="EA216" s="7">
        <f>IF(130&gt;=38,('Testes estatísticos'!$D$43+'Testes estatísticos'!$D$135)/2,"")</f>
        <v>-2.9996409999999969</v>
      </c>
      <c r="EB216" s="7">
        <f>IF(131&gt;=38,('Testes estatísticos'!$D$43+'Testes estatísticos'!$D$136)/2,"")</f>
        <v>-2.9117680000000021</v>
      </c>
      <c r="EC216" s="7">
        <f>IF(132&gt;=38,('Testes estatísticos'!$D$43+'Testes estatísticos'!$D$137)/2,"")</f>
        <v>-4.3985045000000014</v>
      </c>
      <c r="ED216" s="7">
        <f>IF(133&gt;=38,('Testes estatísticos'!$D$43+'Testes estatísticos'!$D$138)/2,"")</f>
        <v>-2.2095669999999998</v>
      </c>
      <c r="EE216" s="7">
        <f>IF(134&gt;=38,('Testes estatísticos'!$D$43+'Testes estatísticos'!$D$139)/2,"")</f>
        <v>-4.5067575000000026</v>
      </c>
      <c r="EF216" s="7">
        <f>IF(135&gt;=38,('Testes estatísticos'!$D$43+'Testes estatísticos'!$D$140)/2,"")</f>
        <v>-1.2923249999999982</v>
      </c>
      <c r="EG216" s="7">
        <f>IF(136&gt;=38,('Testes estatísticos'!$D$43+'Testes estatísticos'!$D$141)/2,"")</f>
        <v>-2.9858150000000023</v>
      </c>
      <c r="EH216" s="7">
        <f>IF(137&gt;=38,('Testes estatísticos'!$D$43+'Testes estatísticos'!$D$142)/2,"")</f>
        <v>-1.2810750000000013</v>
      </c>
      <c r="EI216" s="7">
        <f>IF(138&gt;=38,('Testes estatísticos'!$D$43+'Testes estatísticos'!$D$143)/2,"")</f>
        <v>-2.9460904999999968</v>
      </c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</row>
    <row r="217" spans="2:151" x14ac:dyDescent="0.3">
      <c r="B217" s="7" t="str">
        <f>IF(1&gt;=39,('Testes estatísticos'!$D$44+'Testes estatísticos'!$D$6)/2,"")</f>
        <v/>
      </c>
      <c r="C217" s="7" t="str">
        <f>IF(2&gt;=39,('Testes estatísticos'!$D$44+'Testes estatísticos'!$D$7)/2,"")</f>
        <v/>
      </c>
      <c r="D217" s="7" t="str">
        <f>IF(3&gt;=39,('Testes estatísticos'!$D$44+'Testes estatísticos'!$D$8)/2,"")</f>
        <v/>
      </c>
      <c r="E217" s="7" t="str">
        <f>IF(4&gt;=39,('Testes estatísticos'!$D$44+'Testes estatísticos'!$D$9)/2,"")</f>
        <v/>
      </c>
      <c r="F217" s="7" t="str">
        <f>IF(5&gt;=39,('Testes estatísticos'!$D$44+'Testes estatísticos'!$D$10)/2,"")</f>
        <v/>
      </c>
      <c r="G217" s="7" t="str">
        <f>IF(6&gt;=39,('Testes estatísticos'!$D$44+'Testes estatísticos'!$D$11)/2,"")</f>
        <v/>
      </c>
      <c r="H217" s="7" t="str">
        <f>IF(7&gt;=39,('Testes estatísticos'!$D$44+'Testes estatísticos'!$D$12)/2,"")</f>
        <v/>
      </c>
      <c r="I217" s="7" t="str">
        <f>IF(8&gt;=39,('Testes estatísticos'!$D$44+'Testes estatísticos'!$D$13)/2,"")</f>
        <v/>
      </c>
      <c r="J217" s="7" t="str">
        <f>IF(9&gt;=39,('Testes estatísticos'!$D$44+'Testes estatísticos'!$D$14)/2,"")</f>
        <v/>
      </c>
      <c r="K217" s="7" t="str">
        <f>IF(10&gt;=39,('Testes estatísticos'!$D$44+'Testes estatísticos'!$D$15)/2,"")</f>
        <v/>
      </c>
      <c r="L217" s="7" t="str">
        <f>IF(11&gt;=39,('Testes estatísticos'!$D$44+'Testes estatísticos'!$D$16)/2,"")</f>
        <v/>
      </c>
      <c r="M217" s="7" t="str">
        <f>IF(12&gt;=39,('Testes estatísticos'!$D$44+'Testes estatísticos'!$D$17)/2,"")</f>
        <v/>
      </c>
      <c r="N217" s="7" t="str">
        <f>IF(13&gt;=39,('Testes estatísticos'!$D$44+'Testes estatísticos'!$D$18)/2,"")</f>
        <v/>
      </c>
      <c r="O217" s="7" t="str">
        <f>IF(14&gt;=39,('Testes estatísticos'!$D$44+'Testes estatísticos'!$D$19)/2,"")</f>
        <v/>
      </c>
      <c r="P217" s="7" t="str">
        <f>IF(15&gt;=39,('Testes estatísticos'!$D$44+'Testes estatísticos'!$D$20)/2,"")</f>
        <v/>
      </c>
      <c r="Q217" s="7" t="str">
        <f>IF(16&gt;=39,('Testes estatísticos'!$D$44+'Testes estatísticos'!$D$21)/2,"")</f>
        <v/>
      </c>
      <c r="R217" s="7" t="str">
        <f>IF(17&gt;=39,('Testes estatísticos'!$D$44+'Testes estatísticos'!$D$22)/2,"")</f>
        <v/>
      </c>
      <c r="S217" s="7" t="str">
        <f>IF(18&gt;=39,('Testes estatísticos'!$D$44+'Testes estatísticos'!$D$23)/2,"")</f>
        <v/>
      </c>
      <c r="T217" s="7" t="str">
        <f>IF(19&gt;=39,('Testes estatísticos'!$D$44+'Testes estatísticos'!$D$24)/2,"")</f>
        <v/>
      </c>
      <c r="U217" s="7" t="str">
        <f>IF(20&gt;=39,('Testes estatísticos'!$D$44+'Testes estatísticos'!$D$25)/2,"")</f>
        <v/>
      </c>
      <c r="V217" s="7" t="str">
        <f>IF(21&gt;=39,('Testes estatísticos'!$D$44+'Testes estatísticos'!$D$26)/2,"")</f>
        <v/>
      </c>
      <c r="W217" s="7" t="str">
        <f>IF(22&gt;=39,('Testes estatísticos'!$D$44+'Testes estatísticos'!$D$27)/2,"")</f>
        <v/>
      </c>
      <c r="X217" s="7" t="str">
        <f>IF(23&gt;=39,('Testes estatísticos'!$D$44+'Testes estatísticos'!$D$28)/2,"")</f>
        <v/>
      </c>
      <c r="Y217" s="7" t="str">
        <f>IF(24&gt;=39,('Testes estatísticos'!$D$44+'Testes estatísticos'!$D$29)/2,"")</f>
        <v/>
      </c>
      <c r="Z217" s="7" t="str">
        <f>IF(25&gt;=39,('Testes estatísticos'!$D$44+'Testes estatísticos'!$D$30)/2,"")</f>
        <v/>
      </c>
      <c r="AA217" s="7" t="str">
        <f>IF(26&gt;=39,('Testes estatísticos'!$D$44+'Testes estatísticos'!$D$31)/2,"")</f>
        <v/>
      </c>
      <c r="AB217" s="7" t="str">
        <f>IF(27&gt;=39,('Testes estatísticos'!$D$44+'Testes estatísticos'!$D$32)/2,"")</f>
        <v/>
      </c>
      <c r="AC217" s="7" t="str">
        <f>IF(28&gt;=39,('Testes estatísticos'!$D$44+'Testes estatísticos'!$D$33)/2,"")</f>
        <v/>
      </c>
      <c r="AD217" s="7" t="str">
        <f>IF(29&gt;=39,('Testes estatísticos'!$D$44+'Testes estatísticos'!$D$34)/2,"")</f>
        <v/>
      </c>
      <c r="AE217" s="7" t="str">
        <f>IF(30&gt;=39,('Testes estatísticos'!$D$44+'Testes estatísticos'!$D$35)/2,"")</f>
        <v/>
      </c>
      <c r="AF217" s="7" t="str">
        <f>IF(31&gt;=39,('Testes estatísticos'!$D$44+'Testes estatísticos'!$D$36)/2,"")</f>
        <v/>
      </c>
      <c r="AG217" s="7" t="str">
        <f>IF(32&gt;=39,('Testes estatísticos'!$D$44+'Testes estatísticos'!$D$37)/2,"")</f>
        <v/>
      </c>
      <c r="AH217" s="7" t="str">
        <f>IF(33&gt;=39,('Testes estatísticos'!$D$44+'Testes estatísticos'!$D$38)/2,"")</f>
        <v/>
      </c>
      <c r="AI217" s="7" t="str">
        <f>IF(34&gt;=39,('Testes estatísticos'!$D$44+'Testes estatísticos'!$D$39)/2,"")</f>
        <v/>
      </c>
      <c r="AJ217" s="7" t="str">
        <f>IF(35&gt;=39,('Testes estatísticos'!$D$44+'Testes estatísticos'!$D$40)/2,"")</f>
        <v/>
      </c>
      <c r="AK217" s="7" t="str">
        <f>IF(36&gt;=39,('Testes estatísticos'!$D$44+'Testes estatísticos'!$D$41)/2,"")</f>
        <v/>
      </c>
      <c r="AL217" s="7" t="str">
        <f>IF(37&gt;=39,('Testes estatísticos'!$D$44+'Testes estatísticos'!$D$42)/2,"")</f>
        <v/>
      </c>
      <c r="AM217" s="7" t="str">
        <f>IF(38&gt;=39,('Testes estatísticos'!$D$44+'Testes estatísticos'!$D$43)/2,"")</f>
        <v/>
      </c>
      <c r="AN217" s="7">
        <f>IF(39&gt;=39,('Testes estatísticos'!$D$44+'Testes estatísticos'!$D$44)/2,"")</f>
        <v>-4.3798540000000017</v>
      </c>
      <c r="AO217" s="7">
        <f>IF(40&gt;=39,('Testes estatísticos'!$D$44+'Testes estatísticos'!$D$45)/2,"")</f>
        <v>-0.40492750000000299</v>
      </c>
      <c r="AP217" s="7">
        <f>IF(41&gt;=39,('Testes estatísticos'!$D$44+'Testes estatísticos'!$D$46)/2,"")</f>
        <v>-2.9108669999999996</v>
      </c>
      <c r="AQ217" s="7">
        <f>IF(42&gt;=39,('Testes estatísticos'!$D$44+'Testes estatísticos'!$D$47)/2,"")</f>
        <v>-1.7685080000000006</v>
      </c>
      <c r="AR217" s="7">
        <f>IF(43&gt;=39,('Testes estatísticos'!$D$44+'Testes estatísticos'!$D$48)/2,"")</f>
        <v>-2.8174220000000005</v>
      </c>
      <c r="AS217" s="7">
        <f>IF(44&gt;=39,('Testes estatísticos'!$D$44+'Testes estatísticos'!$D$49)/2,"")</f>
        <v>-3.3485450000000014</v>
      </c>
      <c r="AT217" s="7">
        <f>IF(45&gt;=39,('Testes estatísticos'!$D$44+'Testes estatísticos'!$D$50)/2,"")</f>
        <v>-2.5194665000000001</v>
      </c>
      <c r="AU217" s="7">
        <f>IF(46&gt;=39,('Testes estatísticos'!$D$44+'Testes estatísticos'!$D$51)/2,"")</f>
        <v>-5.5506625000000014</v>
      </c>
      <c r="AV217" s="7">
        <f>IF(47&gt;=39,('Testes estatísticos'!$D$44+'Testes estatísticos'!$D$52)/2,"")</f>
        <v>-0.4804895000000009</v>
      </c>
      <c r="AW217" s="7">
        <f>IF(48&gt;=39,('Testes estatísticos'!$D$44+'Testes estatísticos'!$D$53)/2,"")</f>
        <v>-4.9165205000000007</v>
      </c>
      <c r="AX217" s="7">
        <f>IF(49&gt;=39,('Testes estatísticos'!$D$44+'Testes estatísticos'!$D$54)/2,"")</f>
        <v>-3.6567299999999996</v>
      </c>
      <c r="AY217" s="7">
        <f>IF(50&gt;=39,('Testes estatísticos'!$D$44+'Testes estatísticos'!$D$55)/2,"")</f>
        <v>-2.0315654999999992</v>
      </c>
      <c r="AZ217" s="7">
        <f>IF(51&gt;=39,('Testes estatísticos'!$D$44+'Testes estatísticos'!$D$56)/2,"")</f>
        <v>-1.9870960000000011</v>
      </c>
      <c r="BA217" s="7">
        <f>IF(52&gt;=39,('Testes estatísticos'!$D$44+'Testes estatísticos'!$D$57)/2,"")</f>
        <v>-5.3953120000000006</v>
      </c>
      <c r="BB217" s="7">
        <f>IF(53&gt;=39,('Testes estatísticos'!$D$44+'Testes estatísticos'!$D$58)/2,"")</f>
        <v>-1.9865494999999989</v>
      </c>
      <c r="BC217" s="7">
        <f>IF(54&gt;=39,('Testes estatísticos'!$D$44+'Testes estatísticos'!$D$59)/2,"")</f>
        <v>-2.9061920000000008</v>
      </c>
      <c r="BD217" s="7">
        <f>IF(55&gt;=39,('Testes estatísticos'!$D$44+'Testes estatísticos'!$D$60)/2,"")</f>
        <v>0.18947899999999862</v>
      </c>
      <c r="BE217" s="7">
        <f>IF(56&gt;=39,('Testes estatísticos'!$D$44+'Testes estatísticos'!$D$61)/2,"")</f>
        <v>-2.4404894999999982</v>
      </c>
      <c r="BF217" s="7">
        <f>IF(57&gt;=39,('Testes estatísticos'!$D$44+'Testes estatísticos'!$D$62)/2,"")</f>
        <v>-5.8406795000000038</v>
      </c>
      <c r="BG217" s="7">
        <f>IF(58&gt;=39,('Testes estatísticos'!$D$44+'Testes estatísticos'!$D$63)/2,"")</f>
        <v>-0.57478449999999981</v>
      </c>
      <c r="BH217" s="7">
        <f>IF(59&gt;=39,('Testes estatísticos'!$D$44+'Testes estatísticos'!$D$64)/2,"")</f>
        <v>-6.4183970000000024</v>
      </c>
      <c r="BI217" s="7">
        <f>IF(60&gt;=39,('Testes estatísticos'!$D$44+'Testes estatísticos'!$D$65)/2,"")</f>
        <v>-4.6708059999999989</v>
      </c>
      <c r="BJ217" s="7">
        <f>IF(61&gt;=39,('Testes estatísticos'!$D$44+'Testes estatísticos'!$D$66)/2,"")</f>
        <v>-2.0357510000000012</v>
      </c>
      <c r="BK217" s="7">
        <f>IF(62&gt;=39,('Testes estatísticos'!$D$44+'Testes estatísticos'!$D$67)/2,"")</f>
        <v>-2.5445460000000004</v>
      </c>
      <c r="BL217" s="7">
        <f>IF(63&gt;=39,('Testes estatísticos'!$D$44+'Testes estatísticos'!$D$68)/2,"")</f>
        <v>-1.6452315000000013</v>
      </c>
      <c r="BM217" s="7">
        <f>IF(64&gt;=39,('Testes estatísticos'!$D$44+'Testes estatísticos'!$D$69)/2,"")</f>
        <v>-1.5943895000000019</v>
      </c>
      <c r="BN217" s="7">
        <f>IF(65&gt;=39,('Testes estatísticos'!$D$44+'Testes estatísticos'!$D$70)/2,"")</f>
        <v>-3.740196000000001</v>
      </c>
      <c r="BO217" s="7">
        <f>IF(66&gt;=39,('Testes estatísticos'!$D$44+'Testes estatísticos'!$D$71)/2,"")</f>
        <v>-2.8443435000000008</v>
      </c>
      <c r="BP217" s="7">
        <f>IF(67&gt;=39,('Testes estatísticos'!$D$44+'Testes estatísticos'!$D$72)/2,"")</f>
        <v>-5.7348025000000007</v>
      </c>
      <c r="BQ217" s="7">
        <f>IF(68&gt;=39,('Testes estatísticos'!$D$44+'Testes estatísticos'!$D$73)/2,"")</f>
        <v>-1.0715695000000025</v>
      </c>
      <c r="BR217" s="7">
        <f>IF(69&gt;=39,('Testes estatísticos'!$D$44+'Testes estatísticos'!$D$74)/2,"")</f>
        <v>-0.43938750000000226</v>
      </c>
      <c r="BS217" s="7">
        <f>IF(70&gt;=39,('Testes estatísticos'!$D$44+'Testes estatísticos'!$D$75)/2,"")</f>
        <v>-1.4438520000000032</v>
      </c>
      <c r="BT217" s="7">
        <f>IF(71&gt;=39,('Testes estatísticos'!$D$44+'Testes estatísticos'!$D$76)/2,"")</f>
        <v>0.13051299999999699</v>
      </c>
      <c r="BU217" s="7">
        <f>IF(72&gt;=39,('Testes estatísticos'!$D$44+'Testes estatísticos'!$D$77)/2,"")</f>
        <v>-5.469184000000002</v>
      </c>
      <c r="BV217" s="7">
        <f>IF(73&gt;=39,('Testes estatísticos'!$D$44+'Testes estatísticos'!$D$78)/2,"")</f>
        <v>-3.3957095000000024</v>
      </c>
      <c r="BW217" s="7">
        <f>IF(74&gt;=39,('Testes estatísticos'!$D$44+'Testes estatísticos'!$D$79)/2,"")</f>
        <v>-4.079028000000001</v>
      </c>
      <c r="BX217" s="7">
        <f>IF(75&gt;=39,('Testes estatísticos'!$D$44+'Testes estatísticos'!$D$80)/2,"")</f>
        <v>-4.1008060000000022</v>
      </c>
      <c r="BY217" s="7">
        <f>IF(76&gt;=39,('Testes estatísticos'!$D$44+'Testes estatísticos'!$D$81)/2,"")</f>
        <v>3.0651999999999902E-2</v>
      </c>
      <c r="BZ217" s="7">
        <f>IF(77&gt;=39,('Testes estatísticos'!$D$44+'Testes estatísticos'!$D$82)/2,"")</f>
        <v>-5.2309374999999996</v>
      </c>
      <c r="CA217" s="7">
        <f>IF(78&gt;=39,('Testes estatísticos'!$D$44+'Testes estatísticos'!$D$83)/2,"")</f>
        <v>-3.4706784999999982</v>
      </c>
      <c r="CB217" s="7">
        <f>IF(79&gt;=39,('Testes estatísticos'!$D$44+'Testes estatísticos'!$D$84)/2,"")</f>
        <v>-3.4189560000000014</v>
      </c>
      <c r="CC217" s="7">
        <f>IF(80&gt;=39,('Testes estatísticos'!$D$44+'Testes estatísticos'!$D$85)/2,"")</f>
        <v>-5.225972500000001</v>
      </c>
      <c r="CD217" s="7">
        <f>IF(81&gt;=39,('Testes estatísticos'!$D$44+'Testes estatísticos'!$D$86)/2,"")</f>
        <v>-5.2761175000000016</v>
      </c>
      <c r="CE217" s="7">
        <f>IF(82&gt;=39,('Testes estatísticos'!$D$44+'Testes estatísticos'!$D$87)/2,"")</f>
        <v>-3.1983270000000026</v>
      </c>
      <c r="CF217" s="7">
        <f>IF(83&gt;=39,('Testes estatísticos'!$D$44+'Testes estatísticos'!$D$88)/2,"")</f>
        <v>-3.7271340000000031</v>
      </c>
      <c r="CG217" s="7">
        <f>IF(84&gt;=39,('Testes estatísticos'!$D$44+'Testes estatísticos'!$D$89)/2,"")</f>
        <v>-4.0590410000000006</v>
      </c>
      <c r="CH217" s="7">
        <f>IF(85&gt;=39,('Testes estatísticos'!$D$44+'Testes estatísticos'!$D$90)/2,"")</f>
        <v>-2.2434940000000019</v>
      </c>
      <c r="CI217" s="7">
        <f>IF(86&gt;=39,('Testes estatísticos'!$D$44+'Testes estatísticos'!$D$91)/2,"")</f>
        <v>-4.9336534999999984</v>
      </c>
      <c r="CJ217" s="7">
        <f>IF(87&gt;=39,('Testes estatísticos'!$D$44+'Testes estatísticos'!$D$92)/2,"")</f>
        <v>-3.6914470000000001</v>
      </c>
      <c r="CK217" s="7">
        <f>IF(88&gt;=39,('Testes estatísticos'!$D$44+'Testes estatísticos'!$D$93)/2,"")</f>
        <v>-3.4473635000000016</v>
      </c>
      <c r="CL217" s="7">
        <f>IF(89&gt;=39,('Testes estatísticos'!$D$44+'Testes estatísticos'!$D$94)/2,"")</f>
        <v>-4.0589555000000033</v>
      </c>
      <c r="CM217" s="7">
        <f>IF(90&gt;=39,('Testes estatísticos'!$D$44+'Testes estatísticos'!$D$95)/2,"")</f>
        <v>-6.3930875</v>
      </c>
      <c r="CN217" s="7">
        <f>IF(91&gt;=39,('Testes estatísticos'!$D$44+'Testes estatísticos'!$D$96)/2,"")</f>
        <v>-3.8545644999999986</v>
      </c>
      <c r="CO217" s="7">
        <f>IF(92&gt;=39,('Testes estatísticos'!$D$44+'Testes estatísticos'!$D$97)/2,"")</f>
        <v>-4.2010679999999994</v>
      </c>
      <c r="CP217" s="7">
        <f>IF(93&gt;=39,('Testes estatísticos'!$D$44+'Testes estatísticos'!$D$98)/2,"")</f>
        <v>-4.4058199999999985</v>
      </c>
      <c r="CQ217" s="7">
        <f>IF(94&gt;=39,('Testes estatísticos'!$D$44+'Testes estatísticos'!$D$99)/2,"")</f>
        <v>-2.2246620000000021</v>
      </c>
      <c r="CR217" s="7">
        <f>IF(95&gt;=39,('Testes estatísticos'!$D$44+'Testes estatísticos'!$D$100)/2,"")</f>
        <v>-4.1304550000000013</v>
      </c>
      <c r="CS217" s="7">
        <f>IF(96&gt;=39,('Testes estatísticos'!$D$44+'Testes estatísticos'!$D$101)/2,"")</f>
        <v>-4.0864680000000035</v>
      </c>
      <c r="CT217" s="7">
        <f>IF(97&gt;=39,('Testes estatísticos'!$D$44+'Testes estatísticos'!$D$102)/2,"")</f>
        <v>-3.8534175000000026</v>
      </c>
      <c r="CU217" s="7">
        <f>IF(98&gt;=39,('Testes estatísticos'!$D$44+'Testes estatísticos'!$D$103)/2,"")</f>
        <v>-3.7960914999999993</v>
      </c>
      <c r="CV217" s="7">
        <f>IF(99&gt;=39,('Testes estatísticos'!$D$44+'Testes estatísticos'!$D$104)/2,"")</f>
        <v>-4.2309175000000003</v>
      </c>
      <c r="CW217" s="7">
        <f>IF(100&gt;=39,('Testes estatísticos'!$D$44+'Testes estatísticos'!$D$105)/2,"")</f>
        <v>-4.3303834999999999</v>
      </c>
      <c r="CX217" s="7">
        <f>IF(101&gt;=39,('Testes estatísticos'!$D$44+'Testes estatísticos'!$D$106)/2,"")</f>
        <v>-3.8074569999999994</v>
      </c>
      <c r="CY217" s="7">
        <f>IF(102&gt;=39,('Testes estatísticos'!$D$44+'Testes estatísticos'!$D$107)/2,"")</f>
        <v>-3.8631220000000006</v>
      </c>
      <c r="CZ217" s="7">
        <f>IF(103&gt;=39,('Testes estatísticos'!$D$44+'Testes estatísticos'!$D$108)/2,"")</f>
        <v>-4.3872885000000004</v>
      </c>
      <c r="DA217" s="7">
        <f>IF(104&gt;=39,('Testes estatísticos'!$D$44+'Testes estatísticos'!$D$109)/2,"")</f>
        <v>-4.1246544999999983</v>
      </c>
      <c r="DB217" s="7">
        <f>IF(105&gt;=39,('Testes estatísticos'!$D$44+'Testes estatísticos'!$D$110)/2,"")</f>
        <v>-4.0903235000000002</v>
      </c>
      <c r="DC217" s="7">
        <f>IF(106&gt;=39,('Testes estatísticos'!$D$44+'Testes estatísticos'!$D$111)/2,"")</f>
        <v>-3.3474025000000012</v>
      </c>
      <c r="DD217" s="7">
        <f>IF(107&gt;=39,('Testes estatísticos'!$D$44+'Testes estatísticos'!$D$112)/2,"")</f>
        <v>0.14576849999999908</v>
      </c>
      <c r="DE217" s="7">
        <f>IF(108&gt;=39,('Testes estatísticos'!$D$44+'Testes estatísticos'!$D$113)/2,"")</f>
        <v>-3.2768669999999993</v>
      </c>
      <c r="DF217" s="7">
        <f>IF(109&gt;=39,('Testes estatísticos'!$D$44+'Testes estatísticos'!$D$114)/2,"")</f>
        <v>-3.3131239999999984</v>
      </c>
      <c r="DG217" s="7">
        <f>IF(110&gt;=39,('Testes estatísticos'!$D$44+'Testes estatísticos'!$D$115)/2,"")</f>
        <v>-8.8602635000000021</v>
      </c>
      <c r="DH217" s="7">
        <f>IF(111&gt;=39,('Testes estatísticos'!$D$44+'Testes estatísticos'!$D$116)/2,"")</f>
        <v>-3.1794329999999995</v>
      </c>
      <c r="DI217" s="7">
        <f>IF(112&gt;=39,('Testes estatísticos'!$D$44+'Testes estatísticos'!$D$117)/2,"")</f>
        <v>2.2490069999999989</v>
      </c>
      <c r="DJ217" s="7">
        <f>IF(113&gt;=39,('Testes estatísticos'!$D$44+'Testes estatísticos'!$D$118)/2,"")</f>
        <v>-3.2075500000000012</v>
      </c>
      <c r="DK217" s="7">
        <f>IF(114&gt;=39,('Testes estatísticos'!$D$44+'Testes estatísticos'!$D$119)/2,"")</f>
        <v>-3.3093000000000004</v>
      </c>
      <c r="DL217" s="7">
        <f>IF(115&gt;=39,('Testes estatísticos'!$D$44+'Testes estatísticos'!$D$120)/2,"")</f>
        <v>-3.2628224999999986</v>
      </c>
      <c r="DM217" s="7">
        <f>IF(116&gt;=39,('Testes estatísticos'!$D$44+'Testes estatísticos'!$D$121)/2,"")</f>
        <v>-3.2542200000000001</v>
      </c>
      <c r="DN217" s="7">
        <f>IF(117&gt;=39,('Testes estatísticos'!$D$44+'Testes estatísticos'!$D$122)/2,"")</f>
        <v>-3.2311520000000016</v>
      </c>
      <c r="DO217" s="7">
        <f>IF(118&gt;=39,('Testes estatísticos'!$D$44+'Testes estatísticos'!$D$123)/2,"")</f>
        <v>-3.1812415000000023</v>
      </c>
      <c r="DP217" s="7">
        <f>IF(119&gt;=39,('Testes estatísticos'!$D$44+'Testes estatísticos'!$D$124)/2,"")</f>
        <v>-3.202453000000002</v>
      </c>
      <c r="DQ217" s="7">
        <f>IF(120&gt;=39,('Testes estatísticos'!$D$44+'Testes estatísticos'!$D$125)/2,"")</f>
        <v>-0.15083849999999899</v>
      </c>
      <c r="DR217" s="7">
        <f>IF(121&gt;=39,('Testes estatísticos'!$D$44+'Testes estatísticos'!$D$126)/2,"")</f>
        <v>-2.9398550000000014</v>
      </c>
      <c r="DS217" s="7">
        <f>IF(122&gt;=39,('Testes estatísticos'!$D$44+'Testes estatísticos'!$D$127)/2,"")</f>
        <v>-4.0052634999999981</v>
      </c>
      <c r="DT217" s="7">
        <f>IF(123&gt;=39,('Testes estatísticos'!$D$44+'Testes estatísticos'!$D$128)/2,"")</f>
        <v>2.0636059999999965</v>
      </c>
      <c r="DU217" s="7">
        <f>IF(124&gt;=39,('Testes estatísticos'!$D$44+'Testes estatísticos'!$D$129)/2,"")</f>
        <v>-2.8321655000000021</v>
      </c>
      <c r="DV217" s="7">
        <f>IF(125&gt;=39,('Testes estatísticos'!$D$44+'Testes estatísticos'!$D$130)/2,"")</f>
        <v>-1.6738580000000027</v>
      </c>
      <c r="DW217" s="7">
        <f>IF(126&gt;=39,('Testes estatísticos'!$D$44+'Testes estatísticos'!$D$131)/2,"")</f>
        <v>-4.0773340000000005</v>
      </c>
      <c r="DX217" s="7">
        <f>IF(127&gt;=39,('Testes estatísticos'!$D$44+'Testes estatísticos'!$D$132)/2,"")</f>
        <v>-6.1335255000000011</v>
      </c>
      <c r="DY217" s="7">
        <f>IF(128&gt;=39,('Testes estatísticos'!$D$44+'Testes estatísticos'!$D$133)/2,"")</f>
        <v>-6.474615</v>
      </c>
      <c r="DZ217" s="7">
        <f>IF(129&gt;=39,('Testes estatísticos'!$D$44+'Testes estatísticos'!$D$134)/2,"")</f>
        <v>-9.8984050000000003</v>
      </c>
      <c r="EA217" s="7">
        <f>IF(130&gt;=39,('Testes estatísticos'!$D$44+'Testes estatísticos'!$D$135)/2,"")</f>
        <v>-4.1366349999999983</v>
      </c>
      <c r="EB217" s="7">
        <f>IF(131&gt;=39,('Testes estatísticos'!$D$44+'Testes estatísticos'!$D$136)/2,"")</f>
        <v>-4.0487620000000035</v>
      </c>
      <c r="EC217" s="7">
        <f>IF(132&gt;=39,('Testes estatísticos'!$D$44+'Testes estatísticos'!$D$137)/2,"")</f>
        <v>-5.5354985000000028</v>
      </c>
      <c r="ED217" s="7">
        <f>IF(133&gt;=39,('Testes estatísticos'!$D$44+'Testes estatísticos'!$D$138)/2,"")</f>
        <v>-3.3465610000000012</v>
      </c>
      <c r="EE217" s="7">
        <f>IF(134&gt;=39,('Testes estatísticos'!$D$44+'Testes estatísticos'!$D$139)/2,"")</f>
        <v>-5.643751500000004</v>
      </c>
      <c r="EF217" s="7">
        <f>IF(135&gt;=39,('Testes estatísticos'!$D$44+'Testes estatísticos'!$D$140)/2,"")</f>
        <v>-2.4293189999999996</v>
      </c>
      <c r="EG217" s="7">
        <f>IF(136&gt;=39,('Testes estatísticos'!$D$44+'Testes estatísticos'!$D$141)/2,"")</f>
        <v>-4.1228090000000037</v>
      </c>
      <c r="EH217" s="7">
        <f>IF(137&gt;=39,('Testes estatísticos'!$D$44+'Testes estatísticos'!$D$142)/2,"")</f>
        <v>-2.4180690000000027</v>
      </c>
      <c r="EI217" s="7">
        <f>IF(138&gt;=39,('Testes estatísticos'!$D$44+'Testes estatísticos'!$D$143)/2,"")</f>
        <v>-4.0830844999999982</v>
      </c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</row>
    <row r="218" spans="2:151" x14ac:dyDescent="0.3">
      <c r="B218" s="7" t="str">
        <f>IF(1&gt;=40,('Testes estatísticos'!$D$45+'Testes estatísticos'!$D$6)/2,"")</f>
        <v/>
      </c>
      <c r="C218" s="7" t="str">
        <f>IF(2&gt;=40,('Testes estatísticos'!$D$45+'Testes estatísticos'!$D$7)/2,"")</f>
        <v/>
      </c>
      <c r="D218" s="7" t="str">
        <f>IF(3&gt;=40,('Testes estatísticos'!$D$45+'Testes estatísticos'!$D$8)/2,"")</f>
        <v/>
      </c>
      <c r="E218" s="7" t="str">
        <f>IF(4&gt;=40,('Testes estatísticos'!$D$45+'Testes estatísticos'!$D$9)/2,"")</f>
        <v/>
      </c>
      <c r="F218" s="7" t="str">
        <f>IF(5&gt;=40,('Testes estatísticos'!$D$45+'Testes estatísticos'!$D$10)/2,"")</f>
        <v/>
      </c>
      <c r="G218" s="7" t="str">
        <f>IF(6&gt;=40,('Testes estatísticos'!$D$45+'Testes estatísticos'!$D$11)/2,"")</f>
        <v/>
      </c>
      <c r="H218" s="7" t="str">
        <f>IF(7&gt;=40,('Testes estatísticos'!$D$45+'Testes estatísticos'!$D$12)/2,"")</f>
        <v/>
      </c>
      <c r="I218" s="7" t="str">
        <f>IF(8&gt;=40,('Testes estatísticos'!$D$45+'Testes estatísticos'!$D$13)/2,"")</f>
        <v/>
      </c>
      <c r="J218" s="7" t="str">
        <f>IF(9&gt;=40,('Testes estatísticos'!$D$45+'Testes estatísticos'!$D$14)/2,"")</f>
        <v/>
      </c>
      <c r="K218" s="7" t="str">
        <f>IF(10&gt;=40,('Testes estatísticos'!$D$45+'Testes estatísticos'!$D$15)/2,"")</f>
        <v/>
      </c>
      <c r="L218" s="7" t="str">
        <f>IF(11&gt;=40,('Testes estatísticos'!$D$45+'Testes estatísticos'!$D$16)/2,"")</f>
        <v/>
      </c>
      <c r="M218" s="7" t="str">
        <f>IF(12&gt;=40,('Testes estatísticos'!$D$45+'Testes estatísticos'!$D$17)/2,"")</f>
        <v/>
      </c>
      <c r="N218" s="7" t="str">
        <f>IF(13&gt;=40,('Testes estatísticos'!$D$45+'Testes estatísticos'!$D$18)/2,"")</f>
        <v/>
      </c>
      <c r="O218" s="7" t="str">
        <f>IF(14&gt;=40,('Testes estatísticos'!$D$45+'Testes estatísticos'!$D$19)/2,"")</f>
        <v/>
      </c>
      <c r="P218" s="7" t="str">
        <f>IF(15&gt;=40,('Testes estatísticos'!$D$45+'Testes estatísticos'!$D$20)/2,"")</f>
        <v/>
      </c>
      <c r="Q218" s="7" t="str">
        <f>IF(16&gt;=40,('Testes estatísticos'!$D$45+'Testes estatísticos'!$D$21)/2,"")</f>
        <v/>
      </c>
      <c r="R218" s="7" t="str">
        <f>IF(17&gt;=40,('Testes estatísticos'!$D$45+'Testes estatísticos'!$D$22)/2,"")</f>
        <v/>
      </c>
      <c r="S218" s="7" t="str">
        <f>IF(18&gt;=40,('Testes estatísticos'!$D$45+'Testes estatísticos'!$D$23)/2,"")</f>
        <v/>
      </c>
      <c r="T218" s="7" t="str">
        <f>IF(19&gt;=40,('Testes estatísticos'!$D$45+'Testes estatísticos'!$D$24)/2,"")</f>
        <v/>
      </c>
      <c r="U218" s="7" t="str">
        <f>IF(20&gt;=40,('Testes estatísticos'!$D$45+'Testes estatísticos'!$D$25)/2,"")</f>
        <v/>
      </c>
      <c r="V218" s="7" t="str">
        <f>IF(21&gt;=40,('Testes estatísticos'!$D$45+'Testes estatísticos'!$D$26)/2,"")</f>
        <v/>
      </c>
      <c r="W218" s="7" t="str">
        <f>IF(22&gt;=40,('Testes estatísticos'!$D$45+'Testes estatísticos'!$D$27)/2,"")</f>
        <v/>
      </c>
      <c r="X218" s="7" t="str">
        <f>IF(23&gt;=40,('Testes estatísticos'!$D$45+'Testes estatísticos'!$D$28)/2,"")</f>
        <v/>
      </c>
      <c r="Y218" s="7" t="str">
        <f>IF(24&gt;=40,('Testes estatísticos'!$D$45+'Testes estatísticos'!$D$29)/2,"")</f>
        <v/>
      </c>
      <c r="Z218" s="7" t="str">
        <f>IF(25&gt;=40,('Testes estatísticos'!$D$45+'Testes estatísticos'!$D$30)/2,"")</f>
        <v/>
      </c>
      <c r="AA218" s="7" t="str">
        <f>IF(26&gt;=40,('Testes estatísticos'!$D$45+'Testes estatísticos'!$D$31)/2,"")</f>
        <v/>
      </c>
      <c r="AB218" s="7" t="str">
        <f>IF(27&gt;=40,('Testes estatísticos'!$D$45+'Testes estatísticos'!$D$32)/2,"")</f>
        <v/>
      </c>
      <c r="AC218" s="7" t="str">
        <f>IF(28&gt;=40,('Testes estatísticos'!$D$45+'Testes estatísticos'!$D$33)/2,"")</f>
        <v/>
      </c>
      <c r="AD218" s="7" t="str">
        <f>IF(29&gt;=40,('Testes estatísticos'!$D$45+'Testes estatísticos'!$D$34)/2,"")</f>
        <v/>
      </c>
      <c r="AE218" s="7" t="str">
        <f>IF(30&gt;=40,('Testes estatísticos'!$D$45+'Testes estatísticos'!$D$35)/2,"")</f>
        <v/>
      </c>
      <c r="AF218" s="7" t="str">
        <f>IF(31&gt;=40,('Testes estatísticos'!$D$45+'Testes estatísticos'!$D$36)/2,"")</f>
        <v/>
      </c>
      <c r="AG218" s="7" t="str">
        <f>IF(32&gt;=40,('Testes estatísticos'!$D$45+'Testes estatísticos'!$D$37)/2,"")</f>
        <v/>
      </c>
      <c r="AH218" s="7" t="str">
        <f>IF(33&gt;=40,('Testes estatísticos'!$D$45+'Testes estatísticos'!$D$38)/2,"")</f>
        <v/>
      </c>
      <c r="AI218" s="7" t="str">
        <f>IF(34&gt;=40,('Testes estatísticos'!$D$45+'Testes estatísticos'!$D$39)/2,"")</f>
        <v/>
      </c>
      <c r="AJ218" s="7" t="str">
        <f>IF(35&gt;=40,('Testes estatísticos'!$D$45+'Testes estatísticos'!$D$40)/2,"")</f>
        <v/>
      </c>
      <c r="AK218" s="7" t="str">
        <f>IF(36&gt;=40,('Testes estatísticos'!$D$45+'Testes estatísticos'!$D$41)/2,"")</f>
        <v/>
      </c>
      <c r="AL218" s="7" t="str">
        <f>IF(37&gt;=40,('Testes estatísticos'!$D$45+'Testes estatísticos'!$D$42)/2,"")</f>
        <v/>
      </c>
      <c r="AM218" s="7" t="str">
        <f>IF(38&gt;=40,('Testes estatísticos'!$D$45+'Testes estatísticos'!$D$43)/2,"")</f>
        <v/>
      </c>
      <c r="AN218" s="7" t="str">
        <f>IF(39&gt;=40,('Testes estatísticos'!$D$45+'Testes estatísticos'!$D$44)/2,"")</f>
        <v/>
      </c>
      <c r="AO218" s="7">
        <f>IF(40&gt;=40,('Testes estatísticos'!$D$45+'Testes estatísticos'!$D$45)/2,"")</f>
        <v>3.5699989999999957</v>
      </c>
      <c r="AP218" s="7">
        <f>IF(41&gt;=40,('Testes estatísticos'!$D$45+'Testes estatísticos'!$D$46)/2,"")</f>
        <v>1.064059499999999</v>
      </c>
      <c r="AQ218" s="7">
        <f>IF(42&gt;=40,('Testes estatísticos'!$D$45+'Testes estatísticos'!$D$47)/2,"")</f>
        <v>2.2064184999999981</v>
      </c>
      <c r="AR218" s="7">
        <f>IF(43&gt;=40,('Testes estatísticos'!$D$45+'Testes estatísticos'!$D$48)/2,"")</f>
        <v>1.1575044999999982</v>
      </c>
      <c r="AS218" s="7">
        <f>IF(44&gt;=40,('Testes estatísticos'!$D$45+'Testes estatísticos'!$D$49)/2,"")</f>
        <v>0.62638149999999726</v>
      </c>
      <c r="AT218" s="7">
        <f>IF(45&gt;=40,('Testes estatísticos'!$D$45+'Testes estatísticos'!$D$50)/2,"")</f>
        <v>1.4554599999999986</v>
      </c>
      <c r="AU218" s="7">
        <f>IF(46&gt;=40,('Testes estatísticos'!$D$45+'Testes estatísticos'!$D$51)/2,"")</f>
        <v>-1.5757360000000027</v>
      </c>
      <c r="AV218" s="7">
        <f>IF(47&gt;=40,('Testes estatísticos'!$D$45+'Testes estatísticos'!$D$52)/2,"")</f>
        <v>3.4944369999999978</v>
      </c>
      <c r="AW218" s="7">
        <f>IF(48&gt;=40,('Testes estatísticos'!$D$45+'Testes estatísticos'!$D$53)/2,"")</f>
        <v>-0.94159400000000204</v>
      </c>
      <c r="AX218" s="7">
        <f>IF(49&gt;=40,('Testes estatísticos'!$D$45+'Testes estatísticos'!$D$54)/2,"")</f>
        <v>0.31819649999999911</v>
      </c>
      <c r="AY218" s="7">
        <f>IF(50&gt;=40,('Testes estatísticos'!$D$45+'Testes estatísticos'!$D$55)/2,"")</f>
        <v>1.9433609999999994</v>
      </c>
      <c r="AZ218" s="7">
        <f>IF(51&gt;=40,('Testes estatísticos'!$D$45+'Testes estatísticos'!$D$56)/2,"")</f>
        <v>1.9878304999999976</v>
      </c>
      <c r="BA218" s="7">
        <f>IF(52&gt;=40,('Testes estatísticos'!$D$45+'Testes estatísticos'!$D$57)/2,"")</f>
        <v>-1.4203855000000019</v>
      </c>
      <c r="BB218" s="7">
        <f>IF(53&gt;=40,('Testes estatísticos'!$D$45+'Testes estatísticos'!$D$58)/2,"")</f>
        <v>1.9883769999999998</v>
      </c>
      <c r="BC218" s="7">
        <f>IF(54&gt;=40,('Testes estatísticos'!$D$45+'Testes estatísticos'!$D$59)/2,"")</f>
        <v>1.0687344999999979</v>
      </c>
      <c r="BD218" s="7">
        <f>IF(55&gt;=40,('Testes estatísticos'!$D$45+'Testes estatísticos'!$D$60)/2,"")</f>
        <v>4.1644054999999973</v>
      </c>
      <c r="BE218" s="7">
        <f>IF(56&gt;=40,('Testes estatísticos'!$D$45+'Testes estatísticos'!$D$61)/2,"")</f>
        <v>1.5344370000000005</v>
      </c>
      <c r="BF218" s="7">
        <f>IF(57&gt;=40,('Testes estatísticos'!$D$45+'Testes estatísticos'!$D$62)/2,"")</f>
        <v>-1.8657530000000051</v>
      </c>
      <c r="BG218" s="7">
        <f>IF(58&gt;=40,('Testes estatísticos'!$D$45+'Testes estatísticos'!$D$63)/2,"")</f>
        <v>3.4001419999999989</v>
      </c>
      <c r="BH218" s="7">
        <f>IF(59&gt;=40,('Testes estatísticos'!$D$45+'Testes estatísticos'!$D$64)/2,"")</f>
        <v>-2.4434705000000037</v>
      </c>
      <c r="BI218" s="7">
        <f>IF(60&gt;=40,('Testes estatísticos'!$D$45+'Testes estatísticos'!$D$65)/2,"")</f>
        <v>-0.69587950000000021</v>
      </c>
      <c r="BJ218" s="7">
        <f>IF(61&gt;=40,('Testes estatísticos'!$D$45+'Testes estatísticos'!$D$66)/2,"")</f>
        <v>1.9391754999999975</v>
      </c>
      <c r="BK218" s="7">
        <f>IF(62&gt;=40,('Testes estatísticos'!$D$45+'Testes estatísticos'!$D$67)/2,"")</f>
        <v>1.4303804999999983</v>
      </c>
      <c r="BL218" s="7">
        <f>IF(63&gt;=40,('Testes estatísticos'!$D$45+'Testes estatísticos'!$D$68)/2,"")</f>
        <v>2.3296949999999974</v>
      </c>
      <c r="BM218" s="7">
        <f>IF(64&gt;=40,('Testes estatísticos'!$D$45+'Testes estatísticos'!$D$69)/2,"")</f>
        <v>2.3805369999999968</v>
      </c>
      <c r="BN218" s="7">
        <f>IF(65&gt;=40,('Testes estatísticos'!$D$45+'Testes estatísticos'!$D$70)/2,"")</f>
        <v>0.23473049999999773</v>
      </c>
      <c r="BO218" s="7">
        <f>IF(66&gt;=40,('Testes estatísticos'!$D$45+'Testes estatísticos'!$D$71)/2,"")</f>
        <v>1.1305829999999979</v>
      </c>
      <c r="BP218" s="7">
        <f>IF(67&gt;=40,('Testes estatísticos'!$D$45+'Testes estatísticos'!$D$72)/2,"")</f>
        <v>-1.759876000000002</v>
      </c>
      <c r="BQ218" s="7">
        <f>IF(68&gt;=40,('Testes estatísticos'!$D$45+'Testes estatísticos'!$D$73)/2,"")</f>
        <v>2.9033569999999962</v>
      </c>
      <c r="BR218" s="7">
        <f>IF(69&gt;=40,('Testes estatísticos'!$D$45+'Testes estatísticos'!$D$74)/2,"")</f>
        <v>3.5355389999999964</v>
      </c>
      <c r="BS218" s="7">
        <f>IF(70&gt;=40,('Testes estatísticos'!$D$45+'Testes estatísticos'!$D$75)/2,"")</f>
        <v>2.5310744999999955</v>
      </c>
      <c r="BT218" s="7">
        <f>IF(71&gt;=40,('Testes estatísticos'!$D$45+'Testes estatísticos'!$D$76)/2,"")</f>
        <v>4.1054394999999957</v>
      </c>
      <c r="BU218" s="7">
        <f>IF(72&gt;=40,('Testes estatísticos'!$D$45+'Testes estatísticos'!$D$77)/2,"")</f>
        <v>-1.4942575000000033</v>
      </c>
      <c r="BV218" s="7">
        <f>IF(73&gt;=40,('Testes estatísticos'!$D$45+'Testes estatísticos'!$D$78)/2,"")</f>
        <v>0.57921699999999632</v>
      </c>
      <c r="BW218" s="7">
        <f>IF(74&gt;=40,('Testes estatísticos'!$D$45+'Testes estatísticos'!$D$79)/2,"")</f>
        <v>-0.10410150000000229</v>
      </c>
      <c r="BX218" s="7">
        <f>IF(75&gt;=40,('Testes estatísticos'!$D$45+'Testes estatísticos'!$D$80)/2,"")</f>
        <v>-0.12587950000000347</v>
      </c>
      <c r="BY218" s="7">
        <f>IF(76&gt;=40,('Testes estatísticos'!$D$45+'Testes estatísticos'!$D$81)/2,"")</f>
        <v>4.0055784999999986</v>
      </c>
      <c r="BZ218" s="7">
        <f>IF(77&gt;=40,('Testes estatísticos'!$D$45+'Testes estatísticos'!$D$82)/2,"")</f>
        <v>-1.2560110000000009</v>
      </c>
      <c r="CA218" s="7">
        <f>IF(78&gt;=40,('Testes estatísticos'!$D$45+'Testes estatísticos'!$D$83)/2,"")</f>
        <v>0.50424800000000047</v>
      </c>
      <c r="CB218" s="7">
        <f>IF(79&gt;=40,('Testes estatísticos'!$D$45+'Testes estatísticos'!$D$84)/2,"")</f>
        <v>0.55597049999999726</v>
      </c>
      <c r="CC218" s="7">
        <f>IF(80&gt;=40,('Testes estatísticos'!$D$45+'Testes estatísticos'!$D$85)/2,"")</f>
        <v>-1.2510460000000023</v>
      </c>
      <c r="CD218" s="7">
        <f>IF(81&gt;=40,('Testes estatísticos'!$D$45+'Testes estatísticos'!$D$86)/2,"")</f>
        <v>-1.3011910000000029</v>
      </c>
      <c r="CE218" s="7">
        <f>IF(82&gt;=40,('Testes estatísticos'!$D$45+'Testes estatísticos'!$D$87)/2,"")</f>
        <v>0.77659949999999611</v>
      </c>
      <c r="CF218" s="7">
        <f>IF(83&gt;=40,('Testes estatísticos'!$D$45+'Testes estatísticos'!$D$88)/2,"")</f>
        <v>0.24779249999999564</v>
      </c>
      <c r="CG218" s="7">
        <f>IF(84&gt;=40,('Testes estatísticos'!$D$45+'Testes estatísticos'!$D$89)/2,"")</f>
        <v>-8.4114500000001868E-2</v>
      </c>
      <c r="CH218" s="7">
        <f>IF(85&gt;=40,('Testes estatísticos'!$D$45+'Testes estatísticos'!$D$90)/2,"")</f>
        <v>1.7314324999999968</v>
      </c>
      <c r="CI218" s="7">
        <f>IF(86&gt;=40,('Testes estatísticos'!$D$45+'Testes estatísticos'!$D$91)/2,"")</f>
        <v>-0.95872699999999966</v>
      </c>
      <c r="CJ218" s="7">
        <f>IF(87&gt;=40,('Testes estatísticos'!$D$45+'Testes estatísticos'!$D$92)/2,"")</f>
        <v>0.28347949999999855</v>
      </c>
      <c r="CK218" s="7">
        <f>IF(88&gt;=40,('Testes estatísticos'!$D$45+'Testes estatísticos'!$D$93)/2,"")</f>
        <v>0.52756299999999712</v>
      </c>
      <c r="CL218" s="7">
        <f>IF(89&gt;=40,('Testes estatísticos'!$D$45+'Testes estatísticos'!$D$94)/2,"")</f>
        <v>-8.4029000000004572E-2</v>
      </c>
      <c r="CM218" s="7">
        <f>IF(90&gt;=40,('Testes estatísticos'!$D$45+'Testes estatísticos'!$D$95)/2,"")</f>
        <v>-2.4181610000000013</v>
      </c>
      <c r="CN218" s="7">
        <f>IF(91&gt;=40,('Testes estatísticos'!$D$45+'Testes estatísticos'!$D$96)/2,"")</f>
        <v>0.12036200000000008</v>
      </c>
      <c r="CO218" s="7">
        <f>IF(92&gt;=40,('Testes estatísticos'!$D$45+'Testes estatísticos'!$D$97)/2,"")</f>
        <v>-0.22614150000000066</v>
      </c>
      <c r="CP218" s="7">
        <f>IF(93&gt;=40,('Testes estatísticos'!$D$45+'Testes estatísticos'!$D$98)/2,"")</f>
        <v>-0.43089349999999982</v>
      </c>
      <c r="CQ218" s="7">
        <f>IF(94&gt;=40,('Testes estatísticos'!$D$45+'Testes estatísticos'!$D$99)/2,"")</f>
        <v>1.7502644999999966</v>
      </c>
      <c r="CR218" s="7">
        <f>IF(95&gt;=40,('Testes estatísticos'!$D$45+'Testes estatísticos'!$D$100)/2,"")</f>
        <v>-0.15552850000000262</v>
      </c>
      <c r="CS218" s="7">
        <f>IF(96&gt;=40,('Testes estatísticos'!$D$45+'Testes estatísticos'!$D$101)/2,"")</f>
        <v>-0.11154150000000485</v>
      </c>
      <c r="CT218" s="7">
        <f>IF(97&gt;=40,('Testes estatísticos'!$D$45+'Testes estatísticos'!$D$102)/2,"")</f>
        <v>0.12150899999999609</v>
      </c>
      <c r="CU218" s="7">
        <f>IF(98&gt;=40,('Testes estatísticos'!$D$45+'Testes estatísticos'!$D$103)/2,"")</f>
        <v>0.17883499999999941</v>
      </c>
      <c r="CV218" s="7">
        <f>IF(99&gt;=40,('Testes estatísticos'!$D$45+'Testes estatísticos'!$D$104)/2,"")</f>
        <v>-0.25599100000000163</v>
      </c>
      <c r="CW218" s="7">
        <f>IF(100&gt;=40,('Testes estatísticos'!$D$45+'Testes estatísticos'!$D$105)/2,"")</f>
        <v>-0.35545700000000124</v>
      </c>
      <c r="CX218" s="7">
        <f>IF(101&gt;=40,('Testes estatísticos'!$D$45+'Testes estatísticos'!$D$106)/2,"")</f>
        <v>0.16746949999999927</v>
      </c>
      <c r="CY218" s="7">
        <f>IF(102&gt;=40,('Testes estatísticos'!$D$45+'Testes estatísticos'!$D$107)/2,"")</f>
        <v>0.11180449999999809</v>
      </c>
      <c r="CZ218" s="7">
        <f>IF(103&gt;=40,('Testes estatísticos'!$D$45+'Testes estatísticos'!$D$108)/2,"")</f>
        <v>-0.41236200000000167</v>
      </c>
      <c r="DA218" s="7">
        <f>IF(104&gt;=40,('Testes estatísticos'!$D$45+'Testes estatísticos'!$D$109)/2,"")</f>
        <v>-0.14972799999999964</v>
      </c>
      <c r="DB218" s="7">
        <f>IF(105&gt;=40,('Testes estatísticos'!$D$45+'Testes estatísticos'!$D$110)/2,"")</f>
        <v>-0.11539700000000153</v>
      </c>
      <c r="DC218" s="7">
        <f>IF(106&gt;=40,('Testes estatísticos'!$D$45+'Testes estatísticos'!$D$111)/2,"")</f>
        <v>0.62752399999999753</v>
      </c>
      <c r="DD218" s="7">
        <f>IF(107&gt;=40,('Testes estatísticos'!$D$45+'Testes estatísticos'!$D$112)/2,"")</f>
        <v>4.1206949999999978</v>
      </c>
      <c r="DE218" s="7">
        <f>IF(108&gt;=40,('Testes estatísticos'!$D$45+'Testes estatísticos'!$D$113)/2,"")</f>
        <v>0.69805949999999939</v>
      </c>
      <c r="DF218" s="7">
        <f>IF(109&gt;=40,('Testes estatísticos'!$D$45+'Testes estatísticos'!$D$114)/2,"")</f>
        <v>0.66180250000000029</v>
      </c>
      <c r="DG218" s="7">
        <f>IF(110&gt;=40,('Testes estatísticos'!$D$45+'Testes estatísticos'!$D$115)/2,"")</f>
        <v>-4.8853370000000034</v>
      </c>
      <c r="DH218" s="7">
        <f>IF(111&gt;=40,('Testes estatísticos'!$D$45+'Testes estatísticos'!$D$116)/2,"")</f>
        <v>0.79549349999999919</v>
      </c>
      <c r="DI218" s="7">
        <f>IF(112&gt;=40,('Testes estatísticos'!$D$45+'Testes estatísticos'!$D$117)/2,"")</f>
        <v>6.2239334999999976</v>
      </c>
      <c r="DJ218" s="7">
        <f>IF(113&gt;=40,('Testes estatísticos'!$D$45+'Testes estatísticos'!$D$118)/2,"")</f>
        <v>0.76737649999999746</v>
      </c>
      <c r="DK218" s="7">
        <f>IF(114&gt;=40,('Testes estatísticos'!$D$45+'Testes estatísticos'!$D$119)/2,"")</f>
        <v>0.66562649999999834</v>
      </c>
      <c r="DL218" s="7">
        <f>IF(115&gt;=40,('Testes estatísticos'!$D$45+'Testes estatísticos'!$D$120)/2,"")</f>
        <v>0.71210400000000007</v>
      </c>
      <c r="DM218" s="7">
        <f>IF(116&gt;=40,('Testes estatísticos'!$D$45+'Testes estatísticos'!$D$121)/2,"")</f>
        <v>0.72070649999999858</v>
      </c>
      <c r="DN218" s="7">
        <f>IF(117&gt;=40,('Testes estatísticos'!$D$45+'Testes estatísticos'!$D$122)/2,"")</f>
        <v>0.74377449999999712</v>
      </c>
      <c r="DO218" s="7">
        <f>IF(118&gt;=40,('Testes estatísticos'!$D$45+'Testes estatísticos'!$D$123)/2,"")</f>
        <v>0.79368499999999642</v>
      </c>
      <c r="DP218" s="7">
        <f>IF(119&gt;=40,('Testes estatísticos'!$D$45+'Testes estatísticos'!$D$124)/2,"")</f>
        <v>0.7724734999999967</v>
      </c>
      <c r="DQ218" s="7">
        <f>IF(120&gt;=40,('Testes estatísticos'!$D$45+'Testes estatísticos'!$D$125)/2,"")</f>
        <v>3.8240879999999997</v>
      </c>
      <c r="DR218" s="7">
        <f>IF(121&gt;=40,('Testes estatísticos'!$D$45+'Testes estatísticos'!$D$126)/2,"")</f>
        <v>1.0350714999999973</v>
      </c>
      <c r="DS218" s="7">
        <f>IF(122&gt;=40,('Testes estatísticos'!$D$45+'Testes estatísticos'!$D$127)/2,"")</f>
        <v>-3.0336999999999392E-2</v>
      </c>
      <c r="DT218" s="7">
        <f>IF(123&gt;=40,('Testes estatísticos'!$D$45+'Testes estatísticos'!$D$128)/2,"")</f>
        <v>6.0385324999999952</v>
      </c>
      <c r="DU218" s="7">
        <f>IF(124&gt;=40,('Testes estatísticos'!$D$45+'Testes estatísticos'!$D$129)/2,"")</f>
        <v>1.1427609999999966</v>
      </c>
      <c r="DV218" s="7">
        <f>IF(125&gt;=40,('Testes estatísticos'!$D$45+'Testes estatísticos'!$D$130)/2,"")</f>
        <v>2.301068499999996</v>
      </c>
      <c r="DW218" s="7">
        <f>IF(126&gt;=40,('Testes estatísticos'!$D$45+'Testes estatísticos'!$D$131)/2,"")</f>
        <v>-0.10240750000000176</v>
      </c>
      <c r="DX218" s="7">
        <f>IF(127&gt;=40,('Testes estatísticos'!$D$45+'Testes estatísticos'!$D$132)/2,"")</f>
        <v>-2.1585990000000024</v>
      </c>
      <c r="DY218" s="7">
        <f>IF(128&gt;=40,('Testes estatísticos'!$D$45+'Testes estatísticos'!$D$133)/2,"")</f>
        <v>-2.4996885000000013</v>
      </c>
      <c r="DZ218" s="7">
        <f>IF(129&gt;=40,('Testes estatísticos'!$D$45+'Testes estatísticos'!$D$134)/2,"")</f>
        <v>-5.9234785000000016</v>
      </c>
      <c r="EA218" s="7">
        <f>IF(130&gt;=40,('Testes estatísticos'!$D$45+'Testes estatísticos'!$D$135)/2,"")</f>
        <v>-0.16170849999999959</v>
      </c>
      <c r="EB218" s="7">
        <f>IF(131&gt;=40,('Testes estatísticos'!$D$45+'Testes estatísticos'!$D$136)/2,"")</f>
        <v>-7.3835500000004828E-2</v>
      </c>
      <c r="EC218" s="7">
        <f>IF(132&gt;=40,('Testes estatísticos'!$D$45+'Testes estatísticos'!$D$137)/2,"")</f>
        <v>-1.5605720000000041</v>
      </c>
      <c r="ED218" s="7">
        <f>IF(133&gt;=40,('Testes estatísticos'!$D$45+'Testes estatísticos'!$D$138)/2,"")</f>
        <v>0.62836549999999747</v>
      </c>
      <c r="EE218" s="7">
        <f>IF(134&gt;=40,('Testes estatísticos'!$D$45+'Testes estatísticos'!$D$139)/2,"")</f>
        <v>-1.6688250000000053</v>
      </c>
      <c r="EF218" s="7">
        <f>IF(135&gt;=40,('Testes estatísticos'!$D$45+'Testes estatísticos'!$D$140)/2,"")</f>
        <v>1.5456074999999991</v>
      </c>
      <c r="EG218" s="7">
        <f>IF(136&gt;=40,('Testes estatísticos'!$D$45+'Testes estatísticos'!$D$141)/2,"")</f>
        <v>-0.14788250000000502</v>
      </c>
      <c r="EH218" s="7">
        <f>IF(137&gt;=40,('Testes estatísticos'!$D$45+'Testes estatísticos'!$D$142)/2,"")</f>
        <v>1.556857499999996</v>
      </c>
      <c r="EI218" s="7">
        <f>IF(138&gt;=40,('Testes estatísticos'!$D$45+'Testes estatísticos'!$D$143)/2,"")</f>
        <v>-0.10815799999999953</v>
      </c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</row>
    <row r="219" spans="2:151" x14ac:dyDescent="0.3">
      <c r="B219" s="7" t="str">
        <f>IF(1&gt;=41,('Testes estatísticos'!$D$46+'Testes estatísticos'!$D$6)/2,"")</f>
        <v/>
      </c>
      <c r="C219" s="7" t="str">
        <f>IF(2&gt;=41,('Testes estatísticos'!$D$46+'Testes estatísticos'!$D$7)/2,"")</f>
        <v/>
      </c>
      <c r="D219" s="7" t="str">
        <f>IF(3&gt;=41,('Testes estatísticos'!$D$46+'Testes estatísticos'!$D$8)/2,"")</f>
        <v/>
      </c>
      <c r="E219" s="7" t="str">
        <f>IF(4&gt;=41,('Testes estatísticos'!$D$46+'Testes estatísticos'!$D$9)/2,"")</f>
        <v/>
      </c>
      <c r="F219" s="7" t="str">
        <f>IF(5&gt;=41,('Testes estatísticos'!$D$46+'Testes estatísticos'!$D$10)/2,"")</f>
        <v/>
      </c>
      <c r="G219" s="7" t="str">
        <f>IF(6&gt;=41,('Testes estatísticos'!$D$46+'Testes estatísticos'!$D$11)/2,"")</f>
        <v/>
      </c>
      <c r="H219" s="7" t="str">
        <f>IF(7&gt;=41,('Testes estatísticos'!$D$46+'Testes estatísticos'!$D$12)/2,"")</f>
        <v/>
      </c>
      <c r="I219" s="7" t="str">
        <f>IF(8&gt;=41,('Testes estatísticos'!$D$46+'Testes estatísticos'!$D$13)/2,"")</f>
        <v/>
      </c>
      <c r="J219" s="7" t="str">
        <f>IF(9&gt;=41,('Testes estatísticos'!$D$46+'Testes estatísticos'!$D$14)/2,"")</f>
        <v/>
      </c>
      <c r="K219" s="7" t="str">
        <f>IF(10&gt;=41,('Testes estatísticos'!$D$46+'Testes estatísticos'!$D$15)/2,"")</f>
        <v/>
      </c>
      <c r="L219" s="7" t="str">
        <f>IF(11&gt;=41,('Testes estatísticos'!$D$46+'Testes estatísticos'!$D$16)/2,"")</f>
        <v/>
      </c>
      <c r="M219" s="7" t="str">
        <f>IF(12&gt;=41,('Testes estatísticos'!$D$46+'Testes estatísticos'!$D$17)/2,"")</f>
        <v/>
      </c>
      <c r="N219" s="7" t="str">
        <f>IF(13&gt;=41,('Testes estatísticos'!$D$46+'Testes estatísticos'!$D$18)/2,"")</f>
        <v/>
      </c>
      <c r="O219" s="7" t="str">
        <f>IF(14&gt;=41,('Testes estatísticos'!$D$46+'Testes estatísticos'!$D$19)/2,"")</f>
        <v/>
      </c>
      <c r="P219" s="7" t="str">
        <f>IF(15&gt;=41,('Testes estatísticos'!$D$46+'Testes estatísticos'!$D$20)/2,"")</f>
        <v/>
      </c>
      <c r="Q219" s="7" t="str">
        <f>IF(16&gt;=41,('Testes estatísticos'!$D$46+'Testes estatísticos'!$D$21)/2,"")</f>
        <v/>
      </c>
      <c r="R219" s="7" t="str">
        <f>IF(17&gt;=41,('Testes estatísticos'!$D$46+'Testes estatísticos'!$D$22)/2,"")</f>
        <v/>
      </c>
      <c r="S219" s="7" t="str">
        <f>IF(18&gt;=41,('Testes estatísticos'!$D$46+'Testes estatísticos'!$D$23)/2,"")</f>
        <v/>
      </c>
      <c r="T219" s="7" t="str">
        <f>IF(19&gt;=41,('Testes estatísticos'!$D$46+'Testes estatísticos'!$D$24)/2,"")</f>
        <v/>
      </c>
      <c r="U219" s="7" t="str">
        <f>IF(20&gt;=41,('Testes estatísticos'!$D$46+'Testes estatísticos'!$D$25)/2,"")</f>
        <v/>
      </c>
      <c r="V219" s="7" t="str">
        <f>IF(21&gt;=41,('Testes estatísticos'!$D$46+'Testes estatísticos'!$D$26)/2,"")</f>
        <v/>
      </c>
      <c r="W219" s="7" t="str">
        <f>IF(22&gt;=41,('Testes estatísticos'!$D$46+'Testes estatísticos'!$D$27)/2,"")</f>
        <v/>
      </c>
      <c r="X219" s="7" t="str">
        <f>IF(23&gt;=41,('Testes estatísticos'!$D$46+'Testes estatísticos'!$D$28)/2,"")</f>
        <v/>
      </c>
      <c r="Y219" s="7" t="str">
        <f>IF(24&gt;=41,('Testes estatísticos'!$D$46+'Testes estatísticos'!$D$29)/2,"")</f>
        <v/>
      </c>
      <c r="Z219" s="7" t="str">
        <f>IF(25&gt;=41,('Testes estatísticos'!$D$46+'Testes estatísticos'!$D$30)/2,"")</f>
        <v/>
      </c>
      <c r="AA219" s="7" t="str">
        <f>IF(26&gt;=41,('Testes estatísticos'!$D$46+'Testes estatísticos'!$D$31)/2,"")</f>
        <v/>
      </c>
      <c r="AB219" s="7" t="str">
        <f>IF(27&gt;=41,('Testes estatísticos'!$D$46+'Testes estatísticos'!$D$32)/2,"")</f>
        <v/>
      </c>
      <c r="AC219" s="7" t="str">
        <f>IF(28&gt;=41,('Testes estatísticos'!$D$46+'Testes estatísticos'!$D$33)/2,"")</f>
        <v/>
      </c>
      <c r="AD219" s="7" t="str">
        <f>IF(29&gt;=41,('Testes estatísticos'!$D$46+'Testes estatísticos'!$D$34)/2,"")</f>
        <v/>
      </c>
      <c r="AE219" s="7" t="str">
        <f>IF(30&gt;=41,('Testes estatísticos'!$D$46+'Testes estatísticos'!$D$35)/2,"")</f>
        <v/>
      </c>
      <c r="AF219" s="7" t="str">
        <f>IF(31&gt;=41,('Testes estatísticos'!$D$46+'Testes estatísticos'!$D$36)/2,"")</f>
        <v/>
      </c>
      <c r="AG219" s="7" t="str">
        <f>IF(32&gt;=41,('Testes estatísticos'!$D$46+'Testes estatísticos'!$D$37)/2,"")</f>
        <v/>
      </c>
      <c r="AH219" s="7" t="str">
        <f>IF(33&gt;=41,('Testes estatísticos'!$D$46+'Testes estatísticos'!$D$38)/2,"")</f>
        <v/>
      </c>
      <c r="AI219" s="7" t="str">
        <f>IF(34&gt;=41,('Testes estatísticos'!$D$46+'Testes estatísticos'!$D$39)/2,"")</f>
        <v/>
      </c>
      <c r="AJ219" s="7" t="str">
        <f>IF(35&gt;=41,('Testes estatísticos'!$D$46+'Testes estatísticos'!$D$40)/2,"")</f>
        <v/>
      </c>
      <c r="AK219" s="7" t="str">
        <f>IF(36&gt;=41,('Testes estatísticos'!$D$46+'Testes estatísticos'!$D$41)/2,"")</f>
        <v/>
      </c>
      <c r="AL219" s="7" t="str">
        <f>IF(37&gt;=41,('Testes estatísticos'!$D$46+'Testes estatísticos'!$D$42)/2,"")</f>
        <v/>
      </c>
      <c r="AM219" s="7" t="str">
        <f>IF(38&gt;=41,('Testes estatísticos'!$D$46+'Testes estatísticos'!$D$43)/2,"")</f>
        <v/>
      </c>
      <c r="AN219" s="7" t="str">
        <f>IF(39&gt;=41,('Testes estatísticos'!$D$46+'Testes estatísticos'!$D$44)/2,"")</f>
        <v/>
      </c>
      <c r="AO219" s="7" t="str">
        <f>IF(40&gt;=41,('Testes estatísticos'!$D$46+'Testes estatísticos'!$D$45)/2,"")</f>
        <v/>
      </c>
      <c r="AP219" s="7">
        <f>IF(41&gt;=41,('Testes estatísticos'!$D$46+'Testes estatísticos'!$D$46)/2,"")</f>
        <v>-1.4418799999999976</v>
      </c>
      <c r="AQ219" s="7">
        <f>IF(42&gt;=41,('Testes estatísticos'!$D$46+'Testes estatísticos'!$D$47)/2,"")</f>
        <v>-0.29952099999999859</v>
      </c>
      <c r="AR219" s="7">
        <f>IF(43&gt;=41,('Testes estatísticos'!$D$46+'Testes estatísticos'!$D$48)/2,"")</f>
        <v>-1.3484349999999985</v>
      </c>
      <c r="AS219" s="7">
        <f>IF(44&gt;=41,('Testes estatísticos'!$D$46+'Testes estatísticos'!$D$49)/2,"")</f>
        <v>-1.8795579999999994</v>
      </c>
      <c r="AT219" s="7">
        <f>IF(45&gt;=41,('Testes estatísticos'!$D$46+'Testes estatísticos'!$D$50)/2,"")</f>
        <v>-1.050479499999998</v>
      </c>
      <c r="AU219" s="7">
        <f>IF(46&gt;=41,('Testes estatísticos'!$D$46+'Testes estatísticos'!$D$51)/2,"")</f>
        <v>-4.0816754999999993</v>
      </c>
      <c r="AV219" s="7">
        <f>IF(47&gt;=41,('Testes estatísticos'!$D$46+'Testes estatísticos'!$D$52)/2,"")</f>
        <v>0.98849750000000114</v>
      </c>
      <c r="AW219" s="7">
        <f>IF(48&gt;=41,('Testes estatísticos'!$D$46+'Testes estatísticos'!$D$53)/2,"")</f>
        <v>-3.4475334999999987</v>
      </c>
      <c r="AX219" s="7">
        <f>IF(49&gt;=41,('Testes estatísticos'!$D$46+'Testes estatísticos'!$D$54)/2,"")</f>
        <v>-2.1877429999999976</v>
      </c>
      <c r="AY219" s="7">
        <f>IF(50&gt;=41,('Testes estatísticos'!$D$46+'Testes estatísticos'!$D$55)/2,"")</f>
        <v>-0.56257849999999721</v>
      </c>
      <c r="AZ219" s="7">
        <f>IF(51&gt;=41,('Testes estatísticos'!$D$46+'Testes estatísticos'!$D$56)/2,"")</f>
        <v>-0.51810899999999904</v>
      </c>
      <c r="BA219" s="7">
        <f>IF(52&gt;=41,('Testes estatísticos'!$D$46+'Testes estatísticos'!$D$57)/2,"")</f>
        <v>-3.9263249999999985</v>
      </c>
      <c r="BB219" s="7">
        <f>IF(53&gt;=41,('Testes estatísticos'!$D$46+'Testes estatísticos'!$D$58)/2,"")</f>
        <v>-0.51756249999999682</v>
      </c>
      <c r="BC219" s="7">
        <f>IF(54&gt;=41,('Testes estatísticos'!$D$46+'Testes estatísticos'!$D$59)/2,"")</f>
        <v>-1.4372049999999987</v>
      </c>
      <c r="BD219" s="7">
        <f>IF(55&gt;=41,('Testes estatísticos'!$D$46+'Testes estatísticos'!$D$60)/2,"")</f>
        <v>1.6584660000000007</v>
      </c>
      <c r="BE219" s="7">
        <f>IF(56&gt;=41,('Testes estatísticos'!$D$46+'Testes estatísticos'!$D$61)/2,"")</f>
        <v>-0.97150249999999616</v>
      </c>
      <c r="BF219" s="7">
        <f>IF(57&gt;=41,('Testes estatísticos'!$D$46+'Testes estatísticos'!$D$62)/2,"")</f>
        <v>-4.3716925000000018</v>
      </c>
      <c r="BG219" s="7">
        <f>IF(58&gt;=41,('Testes estatísticos'!$D$46+'Testes estatísticos'!$D$63)/2,"")</f>
        <v>0.89420250000000223</v>
      </c>
      <c r="BH219" s="7">
        <f>IF(59&gt;=41,('Testes estatísticos'!$D$46+'Testes estatísticos'!$D$64)/2,"")</f>
        <v>-4.9494100000000003</v>
      </c>
      <c r="BI219" s="7">
        <f>IF(60&gt;=41,('Testes estatísticos'!$D$46+'Testes estatísticos'!$D$65)/2,"")</f>
        <v>-3.2018189999999969</v>
      </c>
      <c r="BJ219" s="7">
        <f>IF(61&gt;=41,('Testes estatísticos'!$D$46+'Testes estatísticos'!$D$66)/2,"")</f>
        <v>-0.56676399999999916</v>
      </c>
      <c r="BK219" s="7">
        <f>IF(62&gt;=41,('Testes estatísticos'!$D$46+'Testes estatísticos'!$D$67)/2,"")</f>
        <v>-1.0755589999999984</v>
      </c>
      <c r="BL219" s="7">
        <f>IF(63&gt;=41,('Testes estatísticos'!$D$46+'Testes estatísticos'!$D$68)/2,"")</f>
        <v>-0.17624449999999925</v>
      </c>
      <c r="BM219" s="7">
        <f>IF(64&gt;=41,('Testes estatísticos'!$D$46+'Testes estatísticos'!$D$69)/2,"")</f>
        <v>-0.12540249999999986</v>
      </c>
      <c r="BN219" s="7">
        <f>IF(65&gt;=41,('Testes estatísticos'!$D$46+'Testes estatísticos'!$D$70)/2,"")</f>
        <v>-2.2712089999999989</v>
      </c>
      <c r="BO219" s="7">
        <f>IF(66&gt;=41,('Testes estatísticos'!$D$46+'Testes estatísticos'!$D$71)/2,"")</f>
        <v>-1.3753564999999988</v>
      </c>
      <c r="BP219" s="7">
        <f>IF(67&gt;=41,('Testes estatísticos'!$D$46+'Testes estatísticos'!$D$72)/2,"")</f>
        <v>-4.2658154999999987</v>
      </c>
      <c r="BQ219" s="7">
        <f>IF(68&gt;=41,('Testes estatísticos'!$D$46+'Testes estatísticos'!$D$73)/2,"")</f>
        <v>0.39741749999999954</v>
      </c>
      <c r="BR219" s="7">
        <f>IF(69&gt;=41,('Testes estatísticos'!$D$46+'Testes estatísticos'!$D$74)/2,"")</f>
        <v>1.0295994999999998</v>
      </c>
      <c r="BS219" s="7">
        <f>IF(70&gt;=41,('Testes estatísticos'!$D$46+'Testes estatísticos'!$D$75)/2,"")</f>
        <v>2.5134999999998797E-2</v>
      </c>
      <c r="BT219" s="7">
        <f>IF(71&gt;=41,('Testes estatísticos'!$D$46+'Testes estatísticos'!$D$76)/2,"")</f>
        <v>1.599499999999999</v>
      </c>
      <c r="BU219" s="7">
        <f>IF(72&gt;=41,('Testes estatísticos'!$D$46+'Testes estatísticos'!$D$77)/2,"")</f>
        <v>-4.000197</v>
      </c>
      <c r="BV219" s="7">
        <f>IF(73&gt;=41,('Testes estatísticos'!$D$46+'Testes estatísticos'!$D$78)/2,"")</f>
        <v>-1.9267225000000003</v>
      </c>
      <c r="BW219" s="7">
        <f>IF(74&gt;=41,('Testes estatísticos'!$D$46+'Testes estatísticos'!$D$79)/2,"")</f>
        <v>-2.6100409999999989</v>
      </c>
      <c r="BX219" s="7">
        <f>IF(75&gt;=41,('Testes estatísticos'!$D$46+'Testes estatísticos'!$D$80)/2,"")</f>
        <v>-2.6318190000000001</v>
      </c>
      <c r="BY219" s="7">
        <f>IF(76&gt;=41,('Testes estatísticos'!$D$46+'Testes estatísticos'!$D$81)/2,"")</f>
        <v>1.4996390000000019</v>
      </c>
      <c r="BZ219" s="7">
        <f>IF(77&gt;=41,('Testes estatísticos'!$D$46+'Testes estatísticos'!$D$82)/2,"")</f>
        <v>-3.7619504999999975</v>
      </c>
      <c r="CA219" s="7">
        <f>IF(78&gt;=41,('Testes estatísticos'!$D$46+'Testes estatísticos'!$D$83)/2,"")</f>
        <v>-2.0016914999999962</v>
      </c>
      <c r="CB219" s="7">
        <f>IF(79&gt;=41,('Testes estatísticos'!$D$46+'Testes estatísticos'!$D$84)/2,"")</f>
        <v>-1.9499689999999994</v>
      </c>
      <c r="CC219" s="7">
        <f>IF(80&gt;=41,('Testes estatísticos'!$D$46+'Testes estatísticos'!$D$85)/2,"")</f>
        <v>-3.756985499999999</v>
      </c>
      <c r="CD219" s="7">
        <f>IF(81&gt;=41,('Testes estatísticos'!$D$46+'Testes estatísticos'!$D$86)/2,"")</f>
        <v>-3.8071304999999995</v>
      </c>
      <c r="CE219" s="7">
        <f>IF(82&gt;=41,('Testes estatísticos'!$D$46+'Testes estatísticos'!$D$87)/2,"")</f>
        <v>-1.7293400000000005</v>
      </c>
      <c r="CF219" s="7">
        <f>IF(83&gt;=41,('Testes estatísticos'!$D$46+'Testes estatísticos'!$D$88)/2,"")</f>
        <v>-2.258147000000001</v>
      </c>
      <c r="CG219" s="7">
        <f>IF(84&gt;=41,('Testes estatísticos'!$D$46+'Testes estatísticos'!$D$89)/2,"")</f>
        <v>-2.5900539999999985</v>
      </c>
      <c r="CH219" s="7">
        <f>IF(85&gt;=41,('Testes estatísticos'!$D$46+'Testes estatísticos'!$D$90)/2,"")</f>
        <v>-0.77450699999999983</v>
      </c>
      <c r="CI219" s="7">
        <f>IF(86&gt;=41,('Testes estatísticos'!$D$46+'Testes estatísticos'!$D$91)/2,"")</f>
        <v>-3.4646664999999963</v>
      </c>
      <c r="CJ219" s="7">
        <f>IF(87&gt;=41,('Testes estatísticos'!$D$46+'Testes estatísticos'!$D$92)/2,"")</f>
        <v>-2.2224599999999981</v>
      </c>
      <c r="CK219" s="7">
        <f>IF(88&gt;=41,('Testes estatísticos'!$D$46+'Testes estatísticos'!$D$93)/2,"")</f>
        <v>-1.9783764999999995</v>
      </c>
      <c r="CL219" s="7">
        <f>IF(89&gt;=41,('Testes estatísticos'!$D$46+'Testes estatísticos'!$D$94)/2,"")</f>
        <v>-2.5899685000000012</v>
      </c>
      <c r="CM219" s="7">
        <f>IF(90&gt;=41,('Testes estatísticos'!$D$46+'Testes estatísticos'!$D$95)/2,"")</f>
        <v>-4.924100499999998</v>
      </c>
      <c r="CN219" s="7">
        <f>IF(91&gt;=41,('Testes estatísticos'!$D$46+'Testes estatísticos'!$D$96)/2,"")</f>
        <v>-2.3855774999999966</v>
      </c>
      <c r="CO219" s="7">
        <f>IF(92&gt;=41,('Testes estatísticos'!$D$46+'Testes estatísticos'!$D$97)/2,"")</f>
        <v>-2.7320809999999973</v>
      </c>
      <c r="CP219" s="7">
        <f>IF(93&gt;=41,('Testes estatísticos'!$D$46+'Testes estatísticos'!$D$98)/2,"")</f>
        <v>-2.9368329999999965</v>
      </c>
      <c r="CQ219" s="7">
        <f>IF(94&gt;=41,('Testes estatísticos'!$D$46+'Testes estatísticos'!$D$99)/2,"")</f>
        <v>-0.7556750000000001</v>
      </c>
      <c r="CR219" s="7">
        <f>IF(95&gt;=41,('Testes estatísticos'!$D$46+'Testes estatísticos'!$D$100)/2,"")</f>
        <v>-2.6614679999999993</v>
      </c>
      <c r="CS219" s="7">
        <f>IF(96&gt;=41,('Testes estatísticos'!$D$46+'Testes estatísticos'!$D$101)/2,"")</f>
        <v>-2.6174810000000015</v>
      </c>
      <c r="CT219" s="7">
        <f>IF(97&gt;=41,('Testes estatísticos'!$D$46+'Testes estatísticos'!$D$102)/2,"")</f>
        <v>-2.3844305000000006</v>
      </c>
      <c r="CU219" s="7">
        <f>IF(98&gt;=41,('Testes estatísticos'!$D$46+'Testes estatísticos'!$D$103)/2,"")</f>
        <v>-2.3271044999999972</v>
      </c>
      <c r="CV219" s="7">
        <f>IF(99&gt;=41,('Testes estatísticos'!$D$46+'Testes estatísticos'!$D$104)/2,"")</f>
        <v>-2.7619304999999983</v>
      </c>
      <c r="CW219" s="7">
        <f>IF(100&gt;=41,('Testes estatísticos'!$D$46+'Testes estatísticos'!$D$105)/2,"")</f>
        <v>-2.8613964999999979</v>
      </c>
      <c r="CX219" s="7">
        <f>IF(101&gt;=41,('Testes estatísticos'!$D$46+'Testes estatísticos'!$D$106)/2,"")</f>
        <v>-2.3384699999999974</v>
      </c>
      <c r="CY219" s="7">
        <f>IF(102&gt;=41,('Testes estatísticos'!$D$46+'Testes estatísticos'!$D$107)/2,"")</f>
        <v>-2.3941349999999986</v>
      </c>
      <c r="CZ219" s="7">
        <f>IF(103&gt;=41,('Testes estatísticos'!$D$46+'Testes estatísticos'!$D$108)/2,"")</f>
        <v>-2.9183014999999983</v>
      </c>
      <c r="DA219" s="7">
        <f>IF(104&gt;=41,('Testes estatísticos'!$D$46+'Testes estatísticos'!$D$109)/2,"")</f>
        <v>-2.6556674999999963</v>
      </c>
      <c r="DB219" s="7">
        <f>IF(105&gt;=41,('Testes estatísticos'!$D$46+'Testes estatísticos'!$D$110)/2,"")</f>
        <v>-2.6213364999999982</v>
      </c>
      <c r="DC219" s="7">
        <f>IF(106&gt;=41,('Testes estatísticos'!$D$46+'Testes estatísticos'!$D$111)/2,"")</f>
        <v>-1.8784154999999991</v>
      </c>
      <c r="DD219" s="7">
        <f>IF(107&gt;=41,('Testes estatísticos'!$D$46+'Testes estatísticos'!$D$112)/2,"")</f>
        <v>1.6147555000000011</v>
      </c>
      <c r="DE219" s="7">
        <f>IF(108&gt;=41,('Testes estatísticos'!$D$46+'Testes estatísticos'!$D$113)/2,"")</f>
        <v>-1.8078799999999973</v>
      </c>
      <c r="DF219" s="7">
        <f>IF(109&gt;=41,('Testes estatísticos'!$D$46+'Testes estatísticos'!$D$114)/2,"")</f>
        <v>-1.8441369999999964</v>
      </c>
      <c r="DG219" s="7">
        <f>IF(110&gt;=41,('Testes estatísticos'!$D$46+'Testes estatísticos'!$D$115)/2,"")</f>
        <v>-7.3912765</v>
      </c>
      <c r="DH219" s="7">
        <f>IF(111&gt;=41,('Testes estatísticos'!$D$46+'Testes estatísticos'!$D$116)/2,"")</f>
        <v>-1.7104459999999975</v>
      </c>
      <c r="DI219" s="7">
        <f>IF(112&gt;=41,('Testes estatísticos'!$D$46+'Testes estatísticos'!$D$117)/2,"")</f>
        <v>3.7179940000000009</v>
      </c>
      <c r="DJ219" s="7">
        <f>IF(113&gt;=41,('Testes estatísticos'!$D$46+'Testes estatísticos'!$D$118)/2,"")</f>
        <v>-1.7385629999999992</v>
      </c>
      <c r="DK219" s="7">
        <f>IF(114&gt;=41,('Testes estatísticos'!$D$46+'Testes estatísticos'!$D$119)/2,"")</f>
        <v>-1.8403129999999983</v>
      </c>
      <c r="DL219" s="7">
        <f>IF(115&gt;=41,('Testes estatísticos'!$D$46+'Testes estatísticos'!$D$120)/2,"")</f>
        <v>-1.7938354999999966</v>
      </c>
      <c r="DM219" s="7">
        <f>IF(116&gt;=41,('Testes estatísticos'!$D$46+'Testes estatísticos'!$D$121)/2,"")</f>
        <v>-1.7852329999999981</v>
      </c>
      <c r="DN219" s="7">
        <f>IF(117&gt;=41,('Testes estatísticos'!$D$46+'Testes estatísticos'!$D$122)/2,"")</f>
        <v>-1.7621649999999995</v>
      </c>
      <c r="DO219" s="7">
        <f>IF(118&gt;=41,('Testes estatísticos'!$D$46+'Testes estatísticos'!$D$123)/2,"")</f>
        <v>-1.7122545000000002</v>
      </c>
      <c r="DP219" s="7">
        <f>IF(119&gt;=41,('Testes estatísticos'!$D$46+'Testes estatísticos'!$D$124)/2,"")</f>
        <v>-1.733466</v>
      </c>
      <c r="DQ219" s="7">
        <f>IF(120&gt;=41,('Testes estatísticos'!$D$46+'Testes estatísticos'!$D$125)/2,"")</f>
        <v>1.3181485000000031</v>
      </c>
      <c r="DR219" s="7">
        <f>IF(121&gt;=41,('Testes estatísticos'!$D$46+'Testes estatísticos'!$D$126)/2,"")</f>
        <v>-1.4708679999999994</v>
      </c>
      <c r="DS219" s="7">
        <f>IF(122&gt;=41,('Testes estatísticos'!$D$46+'Testes estatísticos'!$D$127)/2,"")</f>
        <v>-2.536276499999996</v>
      </c>
      <c r="DT219" s="7">
        <f>IF(123&gt;=41,('Testes estatísticos'!$D$46+'Testes estatísticos'!$D$128)/2,"")</f>
        <v>3.5325929999999985</v>
      </c>
      <c r="DU219" s="7">
        <f>IF(124&gt;=41,('Testes estatísticos'!$D$46+'Testes estatísticos'!$D$129)/2,"")</f>
        <v>-1.3631785000000001</v>
      </c>
      <c r="DV219" s="7">
        <f>IF(125&gt;=41,('Testes estatísticos'!$D$46+'Testes estatísticos'!$D$130)/2,"")</f>
        <v>-0.20487100000000069</v>
      </c>
      <c r="DW219" s="7">
        <f>IF(126&gt;=41,('Testes estatísticos'!$D$46+'Testes estatísticos'!$D$131)/2,"")</f>
        <v>-2.6083469999999984</v>
      </c>
      <c r="DX219" s="7">
        <f>IF(127&gt;=41,('Testes estatísticos'!$D$46+'Testes estatísticos'!$D$132)/2,"")</f>
        <v>-4.664538499999999</v>
      </c>
      <c r="DY219" s="7">
        <f>IF(128&gt;=41,('Testes estatísticos'!$D$46+'Testes estatísticos'!$D$133)/2,"")</f>
        <v>-5.005627999999998</v>
      </c>
      <c r="DZ219" s="7">
        <f>IF(129&gt;=41,('Testes estatísticos'!$D$46+'Testes estatísticos'!$D$134)/2,"")</f>
        <v>-8.4294179999999983</v>
      </c>
      <c r="EA219" s="7">
        <f>IF(130&gt;=41,('Testes estatísticos'!$D$46+'Testes estatísticos'!$D$135)/2,"")</f>
        <v>-2.6676479999999962</v>
      </c>
      <c r="EB219" s="7">
        <f>IF(131&gt;=41,('Testes estatísticos'!$D$46+'Testes estatísticos'!$D$136)/2,"")</f>
        <v>-2.5797750000000015</v>
      </c>
      <c r="EC219" s="7">
        <f>IF(132&gt;=41,('Testes estatísticos'!$D$46+'Testes estatísticos'!$D$137)/2,"")</f>
        <v>-4.0665115000000007</v>
      </c>
      <c r="ED219" s="7">
        <f>IF(133&gt;=41,('Testes estatísticos'!$D$46+'Testes estatísticos'!$D$138)/2,"")</f>
        <v>-1.8775739999999992</v>
      </c>
      <c r="EE219" s="7">
        <f>IF(134&gt;=41,('Testes estatísticos'!$D$46+'Testes estatísticos'!$D$139)/2,"")</f>
        <v>-4.174764500000002</v>
      </c>
      <c r="EF219" s="7">
        <f>IF(135&gt;=41,('Testes estatísticos'!$D$46+'Testes estatísticos'!$D$140)/2,"")</f>
        <v>-0.96033199999999752</v>
      </c>
      <c r="EG219" s="7">
        <f>IF(136&gt;=41,('Testes estatísticos'!$D$46+'Testes estatísticos'!$D$141)/2,"")</f>
        <v>-2.6538220000000017</v>
      </c>
      <c r="EH219" s="7">
        <f>IF(137&gt;=41,('Testes estatísticos'!$D$46+'Testes estatísticos'!$D$142)/2,"")</f>
        <v>-0.94908200000000065</v>
      </c>
      <c r="EI219" s="7">
        <f>IF(138&gt;=41,('Testes estatísticos'!$D$46+'Testes estatísticos'!$D$143)/2,"")</f>
        <v>-2.6140974999999962</v>
      </c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</row>
    <row r="220" spans="2:151" x14ac:dyDescent="0.3">
      <c r="B220" s="7" t="str">
        <f>IF(1&gt;=42,('Testes estatísticos'!$D$47+'Testes estatísticos'!$D$6)/2,"")</f>
        <v/>
      </c>
      <c r="C220" s="7" t="str">
        <f>IF(2&gt;=42,('Testes estatísticos'!$D$47+'Testes estatísticos'!$D$7)/2,"")</f>
        <v/>
      </c>
      <c r="D220" s="7" t="str">
        <f>IF(3&gt;=42,('Testes estatísticos'!$D$47+'Testes estatísticos'!$D$8)/2,"")</f>
        <v/>
      </c>
      <c r="E220" s="7" t="str">
        <f>IF(4&gt;=42,('Testes estatísticos'!$D$47+'Testes estatísticos'!$D$9)/2,"")</f>
        <v/>
      </c>
      <c r="F220" s="7" t="str">
        <f>IF(5&gt;=42,('Testes estatísticos'!$D$47+'Testes estatísticos'!$D$10)/2,"")</f>
        <v/>
      </c>
      <c r="G220" s="7" t="str">
        <f>IF(6&gt;=42,('Testes estatísticos'!$D$47+'Testes estatísticos'!$D$11)/2,"")</f>
        <v/>
      </c>
      <c r="H220" s="7" t="str">
        <f>IF(7&gt;=42,('Testes estatísticos'!$D$47+'Testes estatísticos'!$D$12)/2,"")</f>
        <v/>
      </c>
      <c r="I220" s="7" t="str">
        <f>IF(8&gt;=42,('Testes estatísticos'!$D$47+'Testes estatísticos'!$D$13)/2,"")</f>
        <v/>
      </c>
      <c r="J220" s="7" t="str">
        <f>IF(9&gt;=42,('Testes estatísticos'!$D$47+'Testes estatísticos'!$D$14)/2,"")</f>
        <v/>
      </c>
      <c r="K220" s="7" t="str">
        <f>IF(10&gt;=42,('Testes estatísticos'!$D$47+'Testes estatísticos'!$D$15)/2,"")</f>
        <v/>
      </c>
      <c r="L220" s="7" t="str">
        <f>IF(11&gt;=42,('Testes estatísticos'!$D$47+'Testes estatísticos'!$D$16)/2,"")</f>
        <v/>
      </c>
      <c r="M220" s="7" t="str">
        <f>IF(12&gt;=42,('Testes estatísticos'!$D$47+'Testes estatísticos'!$D$17)/2,"")</f>
        <v/>
      </c>
      <c r="N220" s="7" t="str">
        <f>IF(13&gt;=42,('Testes estatísticos'!$D$47+'Testes estatísticos'!$D$18)/2,"")</f>
        <v/>
      </c>
      <c r="O220" s="7" t="str">
        <f>IF(14&gt;=42,('Testes estatísticos'!$D$47+'Testes estatísticos'!$D$19)/2,"")</f>
        <v/>
      </c>
      <c r="P220" s="7" t="str">
        <f>IF(15&gt;=42,('Testes estatísticos'!$D$47+'Testes estatísticos'!$D$20)/2,"")</f>
        <v/>
      </c>
      <c r="Q220" s="7" t="str">
        <f>IF(16&gt;=42,('Testes estatísticos'!$D$47+'Testes estatísticos'!$D$21)/2,"")</f>
        <v/>
      </c>
      <c r="R220" s="7" t="str">
        <f>IF(17&gt;=42,('Testes estatísticos'!$D$47+'Testes estatísticos'!$D$22)/2,"")</f>
        <v/>
      </c>
      <c r="S220" s="7" t="str">
        <f>IF(18&gt;=42,('Testes estatísticos'!$D$47+'Testes estatísticos'!$D$23)/2,"")</f>
        <v/>
      </c>
      <c r="T220" s="7" t="str">
        <f>IF(19&gt;=42,('Testes estatísticos'!$D$47+'Testes estatísticos'!$D$24)/2,"")</f>
        <v/>
      </c>
      <c r="U220" s="7" t="str">
        <f>IF(20&gt;=42,('Testes estatísticos'!$D$47+'Testes estatísticos'!$D$25)/2,"")</f>
        <v/>
      </c>
      <c r="V220" s="7" t="str">
        <f>IF(21&gt;=42,('Testes estatísticos'!$D$47+'Testes estatísticos'!$D$26)/2,"")</f>
        <v/>
      </c>
      <c r="W220" s="7" t="str">
        <f>IF(22&gt;=42,('Testes estatísticos'!$D$47+'Testes estatísticos'!$D$27)/2,"")</f>
        <v/>
      </c>
      <c r="X220" s="7" t="str">
        <f>IF(23&gt;=42,('Testes estatísticos'!$D$47+'Testes estatísticos'!$D$28)/2,"")</f>
        <v/>
      </c>
      <c r="Y220" s="7" t="str">
        <f>IF(24&gt;=42,('Testes estatísticos'!$D$47+'Testes estatísticos'!$D$29)/2,"")</f>
        <v/>
      </c>
      <c r="Z220" s="7" t="str">
        <f>IF(25&gt;=42,('Testes estatísticos'!$D$47+'Testes estatísticos'!$D$30)/2,"")</f>
        <v/>
      </c>
      <c r="AA220" s="7" t="str">
        <f>IF(26&gt;=42,('Testes estatísticos'!$D$47+'Testes estatísticos'!$D$31)/2,"")</f>
        <v/>
      </c>
      <c r="AB220" s="7" t="str">
        <f>IF(27&gt;=42,('Testes estatísticos'!$D$47+'Testes estatísticos'!$D$32)/2,"")</f>
        <v/>
      </c>
      <c r="AC220" s="7" t="str">
        <f>IF(28&gt;=42,('Testes estatísticos'!$D$47+'Testes estatísticos'!$D$33)/2,"")</f>
        <v/>
      </c>
      <c r="AD220" s="7" t="str">
        <f>IF(29&gt;=42,('Testes estatísticos'!$D$47+'Testes estatísticos'!$D$34)/2,"")</f>
        <v/>
      </c>
      <c r="AE220" s="7" t="str">
        <f>IF(30&gt;=42,('Testes estatísticos'!$D$47+'Testes estatísticos'!$D$35)/2,"")</f>
        <v/>
      </c>
      <c r="AF220" s="7" t="str">
        <f>IF(31&gt;=42,('Testes estatísticos'!$D$47+'Testes estatísticos'!$D$36)/2,"")</f>
        <v/>
      </c>
      <c r="AG220" s="7" t="str">
        <f>IF(32&gt;=42,('Testes estatísticos'!$D$47+'Testes estatísticos'!$D$37)/2,"")</f>
        <v/>
      </c>
      <c r="AH220" s="7" t="str">
        <f>IF(33&gt;=42,('Testes estatísticos'!$D$47+'Testes estatísticos'!$D$38)/2,"")</f>
        <v/>
      </c>
      <c r="AI220" s="7" t="str">
        <f>IF(34&gt;=42,('Testes estatísticos'!$D$47+'Testes estatísticos'!$D$39)/2,"")</f>
        <v/>
      </c>
      <c r="AJ220" s="7" t="str">
        <f>IF(35&gt;=42,('Testes estatísticos'!$D$47+'Testes estatísticos'!$D$40)/2,"")</f>
        <v/>
      </c>
      <c r="AK220" s="7" t="str">
        <f>IF(36&gt;=42,('Testes estatísticos'!$D$47+'Testes estatísticos'!$D$41)/2,"")</f>
        <v/>
      </c>
      <c r="AL220" s="7" t="str">
        <f>IF(37&gt;=42,('Testes estatísticos'!$D$47+'Testes estatísticos'!$D$42)/2,"")</f>
        <v/>
      </c>
      <c r="AM220" s="7" t="str">
        <f>IF(38&gt;=42,('Testes estatísticos'!$D$47+'Testes estatísticos'!$D$43)/2,"")</f>
        <v/>
      </c>
      <c r="AN220" s="7" t="str">
        <f>IF(39&gt;=42,('Testes estatísticos'!$D$47+'Testes estatísticos'!$D$44)/2,"")</f>
        <v/>
      </c>
      <c r="AO220" s="7" t="str">
        <f>IF(40&gt;=42,('Testes estatísticos'!$D$47+'Testes estatísticos'!$D$45)/2,"")</f>
        <v/>
      </c>
      <c r="AP220" s="7" t="str">
        <f>IF(41&gt;=42,('Testes estatísticos'!$D$47+'Testes estatísticos'!$D$46)/2,"")</f>
        <v/>
      </c>
      <c r="AQ220" s="7">
        <f>IF(42&gt;=42,('Testes estatísticos'!$D$47+'Testes estatísticos'!$D$47)/2,"")</f>
        <v>0.84283800000000042</v>
      </c>
      <c r="AR220" s="7">
        <f>IF(43&gt;=42,('Testes estatísticos'!$D$47+'Testes estatísticos'!$D$48)/2,"")</f>
        <v>-0.20607599999999948</v>
      </c>
      <c r="AS220" s="7">
        <f>IF(44&gt;=42,('Testes estatísticos'!$D$47+'Testes estatísticos'!$D$49)/2,"")</f>
        <v>-0.73719900000000038</v>
      </c>
      <c r="AT220" s="7">
        <f>IF(45&gt;=42,('Testes estatísticos'!$D$47+'Testes estatísticos'!$D$50)/2,"")</f>
        <v>9.1879500000001002E-2</v>
      </c>
      <c r="AU220" s="7">
        <f>IF(46&gt;=42,('Testes estatísticos'!$D$47+'Testes estatísticos'!$D$51)/2,"")</f>
        <v>-2.9393165000000003</v>
      </c>
      <c r="AV220" s="7">
        <f>IF(47&gt;=42,('Testes estatísticos'!$D$47+'Testes estatísticos'!$D$52)/2,"")</f>
        <v>2.1308565000000002</v>
      </c>
      <c r="AW220" s="7">
        <f>IF(48&gt;=42,('Testes estatísticos'!$D$47+'Testes estatísticos'!$D$53)/2,"")</f>
        <v>-2.3051744999999997</v>
      </c>
      <c r="AX220" s="7">
        <f>IF(49&gt;=42,('Testes estatísticos'!$D$47+'Testes estatísticos'!$D$54)/2,"")</f>
        <v>-1.0453839999999985</v>
      </c>
      <c r="AY220" s="7">
        <f>IF(50&gt;=42,('Testes estatísticos'!$D$47+'Testes estatísticos'!$D$55)/2,"")</f>
        <v>0.57978050000000181</v>
      </c>
      <c r="AZ220" s="7">
        <f>IF(51&gt;=42,('Testes estatísticos'!$D$47+'Testes estatísticos'!$D$56)/2,"")</f>
        <v>0.62424999999999997</v>
      </c>
      <c r="BA220" s="7">
        <f>IF(52&gt;=42,('Testes estatísticos'!$D$47+'Testes estatísticos'!$D$57)/2,"")</f>
        <v>-2.7839659999999995</v>
      </c>
      <c r="BB220" s="7">
        <f>IF(53&gt;=42,('Testes estatísticos'!$D$47+'Testes estatísticos'!$D$58)/2,"")</f>
        <v>0.6247965000000022</v>
      </c>
      <c r="BC220" s="7">
        <f>IF(54&gt;=42,('Testes estatísticos'!$D$47+'Testes estatísticos'!$D$59)/2,"")</f>
        <v>-0.29484599999999972</v>
      </c>
      <c r="BD220" s="7">
        <f>IF(55&gt;=42,('Testes estatísticos'!$D$47+'Testes estatísticos'!$D$60)/2,"")</f>
        <v>2.8008249999999997</v>
      </c>
      <c r="BE220" s="7">
        <f>IF(56&gt;=42,('Testes estatísticos'!$D$47+'Testes estatísticos'!$D$61)/2,"")</f>
        <v>0.17085650000000285</v>
      </c>
      <c r="BF220" s="7">
        <f>IF(57&gt;=42,('Testes estatísticos'!$D$47+'Testes estatísticos'!$D$62)/2,"")</f>
        <v>-3.2293335000000027</v>
      </c>
      <c r="BG220" s="7">
        <f>IF(58&gt;=42,('Testes estatísticos'!$D$47+'Testes estatísticos'!$D$63)/2,"")</f>
        <v>2.0365615000000012</v>
      </c>
      <c r="BH220" s="7">
        <f>IF(59&gt;=42,('Testes estatísticos'!$D$47+'Testes estatísticos'!$D$64)/2,"")</f>
        <v>-3.8070510000000013</v>
      </c>
      <c r="BI220" s="7">
        <f>IF(60&gt;=42,('Testes estatísticos'!$D$47+'Testes estatísticos'!$D$65)/2,"")</f>
        <v>-2.0594599999999978</v>
      </c>
      <c r="BJ220" s="7">
        <f>IF(61&gt;=42,('Testes estatísticos'!$D$47+'Testes estatísticos'!$D$66)/2,"")</f>
        <v>0.57559499999999986</v>
      </c>
      <c r="BK220" s="7">
        <f>IF(62&gt;=42,('Testes estatísticos'!$D$47+'Testes estatísticos'!$D$67)/2,"")</f>
        <v>6.6800000000000637E-2</v>
      </c>
      <c r="BL220" s="7">
        <f>IF(63&gt;=42,('Testes estatísticos'!$D$47+'Testes estatísticos'!$D$68)/2,"")</f>
        <v>0.96611449999999977</v>
      </c>
      <c r="BM220" s="7">
        <f>IF(64&gt;=42,('Testes estatísticos'!$D$47+'Testes estatísticos'!$D$69)/2,"")</f>
        <v>1.0169564999999992</v>
      </c>
      <c r="BN220" s="7">
        <f>IF(65&gt;=42,('Testes estatísticos'!$D$47+'Testes estatísticos'!$D$70)/2,"")</f>
        <v>-1.1288499999999999</v>
      </c>
      <c r="BO220" s="7">
        <f>IF(66&gt;=42,('Testes estatísticos'!$D$47+'Testes estatísticos'!$D$71)/2,"")</f>
        <v>-0.23299749999999975</v>
      </c>
      <c r="BP220" s="7">
        <f>IF(67&gt;=42,('Testes estatísticos'!$D$47+'Testes estatísticos'!$D$72)/2,"")</f>
        <v>-3.1234564999999996</v>
      </c>
      <c r="BQ220" s="7">
        <f>IF(68&gt;=42,('Testes estatísticos'!$D$47+'Testes estatísticos'!$D$73)/2,"")</f>
        <v>1.5397764999999985</v>
      </c>
      <c r="BR220" s="7">
        <f>IF(69&gt;=42,('Testes estatísticos'!$D$47+'Testes estatísticos'!$D$74)/2,"")</f>
        <v>2.1719584999999988</v>
      </c>
      <c r="BS220" s="7">
        <f>IF(70&gt;=42,('Testes estatísticos'!$D$47+'Testes estatísticos'!$D$75)/2,"")</f>
        <v>1.1674939999999978</v>
      </c>
      <c r="BT220" s="7">
        <f>IF(71&gt;=42,('Testes estatísticos'!$D$47+'Testes estatísticos'!$D$76)/2,"")</f>
        <v>2.741858999999998</v>
      </c>
      <c r="BU220" s="7">
        <f>IF(72&gt;=42,('Testes estatísticos'!$D$47+'Testes estatísticos'!$D$77)/2,"")</f>
        <v>-2.857838000000001</v>
      </c>
      <c r="BV220" s="7">
        <f>IF(73&gt;=42,('Testes estatísticos'!$D$47+'Testes estatísticos'!$D$78)/2,"")</f>
        <v>-0.78436350000000132</v>
      </c>
      <c r="BW220" s="7">
        <f>IF(74&gt;=42,('Testes estatísticos'!$D$47+'Testes estatísticos'!$D$79)/2,"")</f>
        <v>-1.4676819999999999</v>
      </c>
      <c r="BX220" s="7">
        <f>IF(75&gt;=42,('Testes estatísticos'!$D$47+'Testes estatísticos'!$D$80)/2,"")</f>
        <v>-1.4894600000000011</v>
      </c>
      <c r="BY220" s="7">
        <f>IF(76&gt;=42,('Testes estatísticos'!$D$47+'Testes estatísticos'!$D$81)/2,"")</f>
        <v>2.641998000000001</v>
      </c>
      <c r="BZ220" s="7">
        <f>IF(77&gt;=42,('Testes estatísticos'!$D$47+'Testes estatísticos'!$D$82)/2,"")</f>
        <v>-2.6195914999999985</v>
      </c>
      <c r="CA220" s="7">
        <f>IF(78&gt;=42,('Testes estatísticos'!$D$47+'Testes estatísticos'!$D$83)/2,"")</f>
        <v>-0.85933249999999717</v>
      </c>
      <c r="CB220" s="7">
        <f>IF(79&gt;=42,('Testes estatísticos'!$D$47+'Testes estatísticos'!$D$84)/2,"")</f>
        <v>-0.80761000000000038</v>
      </c>
      <c r="CC220" s="7">
        <f>IF(80&gt;=42,('Testes estatísticos'!$D$47+'Testes estatísticos'!$D$85)/2,"")</f>
        <v>-2.6146265</v>
      </c>
      <c r="CD220" s="7">
        <f>IF(81&gt;=42,('Testes estatísticos'!$D$47+'Testes estatísticos'!$D$86)/2,"")</f>
        <v>-2.6647715000000005</v>
      </c>
      <c r="CE220" s="7">
        <f>IF(82&gt;=42,('Testes estatísticos'!$D$47+'Testes estatísticos'!$D$87)/2,"")</f>
        <v>-0.58698100000000153</v>
      </c>
      <c r="CF220" s="7">
        <f>IF(83&gt;=42,('Testes estatísticos'!$D$47+'Testes estatísticos'!$D$88)/2,"")</f>
        <v>-1.115788000000002</v>
      </c>
      <c r="CG220" s="7">
        <f>IF(84&gt;=42,('Testes estatísticos'!$D$47+'Testes estatísticos'!$D$89)/2,"")</f>
        <v>-1.4476949999999995</v>
      </c>
      <c r="CH220" s="7">
        <f>IF(85&gt;=42,('Testes estatísticos'!$D$47+'Testes estatísticos'!$D$90)/2,"")</f>
        <v>0.36785199999999918</v>
      </c>
      <c r="CI220" s="7">
        <f>IF(86&gt;=42,('Testes estatísticos'!$D$47+'Testes estatísticos'!$D$91)/2,"")</f>
        <v>-2.3223074999999973</v>
      </c>
      <c r="CJ220" s="7">
        <f>IF(87&gt;=42,('Testes estatísticos'!$D$47+'Testes estatísticos'!$D$92)/2,"")</f>
        <v>-1.0801009999999991</v>
      </c>
      <c r="CK220" s="7">
        <f>IF(88&gt;=42,('Testes estatísticos'!$D$47+'Testes estatísticos'!$D$93)/2,"")</f>
        <v>-0.83601750000000052</v>
      </c>
      <c r="CL220" s="7">
        <f>IF(89&gt;=42,('Testes estatísticos'!$D$47+'Testes estatísticos'!$D$94)/2,"")</f>
        <v>-1.4476095000000022</v>
      </c>
      <c r="CM220" s="7">
        <f>IF(90&gt;=42,('Testes estatísticos'!$D$47+'Testes estatísticos'!$D$95)/2,"")</f>
        <v>-3.781741499999999</v>
      </c>
      <c r="CN220" s="7">
        <f>IF(91&gt;=42,('Testes estatísticos'!$D$47+'Testes estatísticos'!$D$96)/2,"")</f>
        <v>-1.2432184999999976</v>
      </c>
      <c r="CO220" s="7">
        <f>IF(92&gt;=42,('Testes estatísticos'!$D$47+'Testes estatísticos'!$D$97)/2,"")</f>
        <v>-1.5897219999999983</v>
      </c>
      <c r="CP220" s="7">
        <f>IF(93&gt;=42,('Testes estatísticos'!$D$47+'Testes estatísticos'!$D$98)/2,"")</f>
        <v>-1.7944739999999975</v>
      </c>
      <c r="CQ220" s="7">
        <f>IF(94&gt;=42,('Testes estatísticos'!$D$47+'Testes estatísticos'!$D$99)/2,"")</f>
        <v>0.38668399999999892</v>
      </c>
      <c r="CR220" s="7">
        <f>IF(95&gt;=42,('Testes estatísticos'!$D$47+'Testes estatísticos'!$D$100)/2,"")</f>
        <v>-1.5191090000000003</v>
      </c>
      <c r="CS220" s="7">
        <f>IF(96&gt;=42,('Testes estatísticos'!$D$47+'Testes estatísticos'!$D$101)/2,"")</f>
        <v>-1.4751220000000025</v>
      </c>
      <c r="CT220" s="7">
        <f>IF(97&gt;=42,('Testes estatísticos'!$D$47+'Testes estatísticos'!$D$102)/2,"")</f>
        <v>-1.2420715000000015</v>
      </c>
      <c r="CU220" s="7">
        <f>IF(98&gt;=42,('Testes estatísticos'!$D$47+'Testes estatísticos'!$D$103)/2,"")</f>
        <v>-1.1847454999999982</v>
      </c>
      <c r="CV220" s="7">
        <f>IF(99&gt;=42,('Testes estatísticos'!$D$47+'Testes estatísticos'!$D$104)/2,"")</f>
        <v>-1.6195714999999993</v>
      </c>
      <c r="CW220" s="7">
        <f>IF(100&gt;=42,('Testes estatísticos'!$D$47+'Testes estatísticos'!$D$105)/2,"")</f>
        <v>-1.7190374999999989</v>
      </c>
      <c r="CX220" s="7">
        <f>IF(101&gt;=42,('Testes estatísticos'!$D$47+'Testes estatísticos'!$D$106)/2,"")</f>
        <v>-1.1961109999999984</v>
      </c>
      <c r="CY220" s="7">
        <f>IF(102&gt;=42,('Testes estatísticos'!$D$47+'Testes estatísticos'!$D$107)/2,"")</f>
        <v>-1.2517759999999996</v>
      </c>
      <c r="CZ220" s="7">
        <f>IF(103&gt;=42,('Testes estatísticos'!$D$47+'Testes estatísticos'!$D$108)/2,"")</f>
        <v>-1.7759424999999993</v>
      </c>
      <c r="DA220" s="7">
        <f>IF(104&gt;=42,('Testes estatísticos'!$D$47+'Testes estatísticos'!$D$109)/2,"")</f>
        <v>-1.5133084999999973</v>
      </c>
      <c r="DB220" s="7">
        <f>IF(105&gt;=42,('Testes estatísticos'!$D$47+'Testes estatísticos'!$D$110)/2,"")</f>
        <v>-1.4789774999999992</v>
      </c>
      <c r="DC220" s="7">
        <f>IF(106&gt;=42,('Testes estatísticos'!$D$47+'Testes estatísticos'!$D$111)/2,"")</f>
        <v>-0.73605650000000011</v>
      </c>
      <c r="DD220" s="7">
        <f>IF(107&gt;=42,('Testes estatísticos'!$D$47+'Testes estatísticos'!$D$112)/2,"")</f>
        <v>2.7571145000000001</v>
      </c>
      <c r="DE220" s="7">
        <f>IF(108&gt;=42,('Testes estatísticos'!$D$47+'Testes estatísticos'!$D$113)/2,"")</f>
        <v>-0.66552099999999825</v>
      </c>
      <c r="DF220" s="7">
        <f>IF(109&gt;=42,('Testes estatísticos'!$D$47+'Testes estatísticos'!$D$114)/2,"")</f>
        <v>-0.70177799999999735</v>
      </c>
      <c r="DG220" s="7">
        <f>IF(110&gt;=42,('Testes estatísticos'!$D$47+'Testes estatísticos'!$D$115)/2,"")</f>
        <v>-6.248917500000001</v>
      </c>
      <c r="DH220" s="7">
        <f>IF(111&gt;=42,('Testes estatísticos'!$D$47+'Testes estatísticos'!$D$116)/2,"")</f>
        <v>-0.56808699999999845</v>
      </c>
      <c r="DI220" s="7">
        <f>IF(112&gt;=42,('Testes estatísticos'!$D$47+'Testes estatísticos'!$D$117)/2,"")</f>
        <v>4.8603529999999999</v>
      </c>
      <c r="DJ220" s="7">
        <f>IF(113&gt;=42,('Testes estatísticos'!$D$47+'Testes estatísticos'!$D$118)/2,"")</f>
        <v>-0.59620400000000018</v>
      </c>
      <c r="DK220" s="7">
        <f>IF(114&gt;=42,('Testes estatísticos'!$D$47+'Testes estatísticos'!$D$119)/2,"")</f>
        <v>-0.6979539999999993</v>
      </c>
      <c r="DL220" s="7">
        <f>IF(115&gt;=42,('Testes estatísticos'!$D$47+'Testes estatísticos'!$D$120)/2,"")</f>
        <v>-0.65147649999999757</v>
      </c>
      <c r="DM220" s="7">
        <f>IF(116&gt;=42,('Testes estatísticos'!$D$47+'Testes estatísticos'!$D$121)/2,"")</f>
        <v>-0.64287399999999906</v>
      </c>
      <c r="DN220" s="7">
        <f>IF(117&gt;=42,('Testes estatísticos'!$D$47+'Testes estatísticos'!$D$122)/2,"")</f>
        <v>-0.61980600000000052</v>
      </c>
      <c r="DO220" s="7">
        <f>IF(118&gt;=42,('Testes estatísticos'!$D$47+'Testes estatísticos'!$D$123)/2,"")</f>
        <v>-0.56989550000000122</v>
      </c>
      <c r="DP220" s="7">
        <f>IF(119&gt;=42,('Testes estatísticos'!$D$47+'Testes estatísticos'!$D$124)/2,"")</f>
        <v>-0.59110700000000094</v>
      </c>
      <c r="DQ220" s="7">
        <f>IF(120&gt;=42,('Testes estatísticos'!$D$47+'Testes estatísticos'!$D$125)/2,"")</f>
        <v>2.4605075000000021</v>
      </c>
      <c r="DR220" s="7">
        <f>IF(121&gt;=42,('Testes estatísticos'!$D$47+'Testes estatísticos'!$D$126)/2,"")</f>
        <v>-0.32850900000000038</v>
      </c>
      <c r="DS220" s="7">
        <f>IF(122&gt;=42,('Testes estatísticos'!$D$47+'Testes estatísticos'!$D$127)/2,"")</f>
        <v>-1.393917499999997</v>
      </c>
      <c r="DT220" s="7">
        <f>IF(123&gt;=42,('Testes estatísticos'!$D$47+'Testes estatísticos'!$D$128)/2,"")</f>
        <v>4.6749519999999976</v>
      </c>
      <c r="DU220" s="7">
        <f>IF(124&gt;=42,('Testes estatísticos'!$D$47+'Testes estatísticos'!$D$129)/2,"")</f>
        <v>-0.22081950000000106</v>
      </c>
      <c r="DV220" s="7">
        <f>IF(125&gt;=42,('Testes estatísticos'!$D$47+'Testes estatísticos'!$D$130)/2,"")</f>
        <v>0.93748799999999832</v>
      </c>
      <c r="DW220" s="7">
        <f>IF(126&gt;=42,('Testes estatísticos'!$D$47+'Testes estatísticos'!$D$131)/2,"")</f>
        <v>-1.4659879999999994</v>
      </c>
      <c r="DX220" s="7">
        <f>IF(127&gt;=42,('Testes estatísticos'!$D$47+'Testes estatísticos'!$D$132)/2,"")</f>
        <v>-3.5221795</v>
      </c>
      <c r="DY220" s="7">
        <f>IF(128&gt;=42,('Testes estatísticos'!$D$47+'Testes estatísticos'!$D$133)/2,"")</f>
        <v>-3.863268999999999</v>
      </c>
      <c r="DZ220" s="7">
        <f>IF(129&gt;=42,('Testes estatísticos'!$D$47+'Testes estatísticos'!$D$134)/2,"")</f>
        <v>-7.2870589999999993</v>
      </c>
      <c r="EA220" s="7">
        <f>IF(130&gt;=42,('Testes estatísticos'!$D$47+'Testes estatísticos'!$D$135)/2,"")</f>
        <v>-1.5252889999999972</v>
      </c>
      <c r="EB220" s="7">
        <f>IF(131&gt;=42,('Testes estatísticos'!$D$47+'Testes estatísticos'!$D$136)/2,"")</f>
        <v>-1.4374160000000025</v>
      </c>
      <c r="EC220" s="7">
        <f>IF(132&gt;=42,('Testes estatísticos'!$D$47+'Testes estatísticos'!$D$137)/2,"")</f>
        <v>-2.9241525000000017</v>
      </c>
      <c r="ED220" s="7">
        <f>IF(133&gt;=42,('Testes estatísticos'!$D$47+'Testes estatísticos'!$D$138)/2,"")</f>
        <v>-0.73521500000000017</v>
      </c>
      <c r="EE220" s="7">
        <f>IF(134&gt;=42,('Testes estatísticos'!$D$47+'Testes estatísticos'!$D$139)/2,"")</f>
        <v>-3.032405500000003</v>
      </c>
      <c r="EF220" s="7">
        <f>IF(135&gt;=42,('Testes estatísticos'!$D$47+'Testes estatísticos'!$D$140)/2,"")</f>
        <v>0.18202700000000149</v>
      </c>
      <c r="EG220" s="7">
        <f>IF(136&gt;=42,('Testes estatísticos'!$D$47+'Testes estatísticos'!$D$141)/2,"")</f>
        <v>-1.5114630000000027</v>
      </c>
      <c r="EH220" s="7">
        <f>IF(137&gt;=42,('Testes estatísticos'!$D$47+'Testes estatísticos'!$D$142)/2,"")</f>
        <v>0.19327699999999837</v>
      </c>
      <c r="EI220" s="7">
        <f>IF(138&gt;=42,('Testes estatísticos'!$D$47+'Testes estatísticos'!$D$143)/2,"")</f>
        <v>-1.4717384999999972</v>
      </c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</row>
    <row r="221" spans="2:151" x14ac:dyDescent="0.3">
      <c r="B221" s="7" t="str">
        <f>IF(1&gt;=43,('Testes estatísticos'!$D$48+'Testes estatísticos'!$D$6)/2,"")</f>
        <v/>
      </c>
      <c r="C221" s="7" t="str">
        <f>IF(2&gt;=43,('Testes estatísticos'!$D$48+'Testes estatísticos'!$D$7)/2,"")</f>
        <v/>
      </c>
      <c r="D221" s="7" t="str">
        <f>IF(3&gt;=43,('Testes estatísticos'!$D$48+'Testes estatísticos'!$D$8)/2,"")</f>
        <v/>
      </c>
      <c r="E221" s="7" t="str">
        <f>IF(4&gt;=43,('Testes estatísticos'!$D$48+'Testes estatísticos'!$D$9)/2,"")</f>
        <v/>
      </c>
      <c r="F221" s="7" t="str">
        <f>IF(5&gt;=43,('Testes estatísticos'!$D$48+'Testes estatísticos'!$D$10)/2,"")</f>
        <v/>
      </c>
      <c r="G221" s="7" t="str">
        <f>IF(6&gt;=43,('Testes estatísticos'!$D$48+'Testes estatísticos'!$D$11)/2,"")</f>
        <v/>
      </c>
      <c r="H221" s="7" t="str">
        <f>IF(7&gt;=43,('Testes estatísticos'!$D$48+'Testes estatísticos'!$D$12)/2,"")</f>
        <v/>
      </c>
      <c r="I221" s="7" t="str">
        <f>IF(8&gt;=43,('Testes estatísticos'!$D$48+'Testes estatísticos'!$D$13)/2,"")</f>
        <v/>
      </c>
      <c r="J221" s="7" t="str">
        <f>IF(9&gt;=43,('Testes estatísticos'!$D$48+'Testes estatísticos'!$D$14)/2,"")</f>
        <v/>
      </c>
      <c r="K221" s="7" t="str">
        <f>IF(10&gt;=43,('Testes estatísticos'!$D$48+'Testes estatísticos'!$D$15)/2,"")</f>
        <v/>
      </c>
      <c r="L221" s="7" t="str">
        <f>IF(11&gt;=43,('Testes estatísticos'!$D$48+'Testes estatísticos'!$D$16)/2,"")</f>
        <v/>
      </c>
      <c r="M221" s="7" t="str">
        <f>IF(12&gt;=43,('Testes estatísticos'!$D$48+'Testes estatísticos'!$D$17)/2,"")</f>
        <v/>
      </c>
      <c r="N221" s="7" t="str">
        <f>IF(13&gt;=43,('Testes estatísticos'!$D$48+'Testes estatísticos'!$D$18)/2,"")</f>
        <v/>
      </c>
      <c r="O221" s="7" t="str">
        <f>IF(14&gt;=43,('Testes estatísticos'!$D$48+'Testes estatísticos'!$D$19)/2,"")</f>
        <v/>
      </c>
      <c r="P221" s="7" t="str">
        <f>IF(15&gt;=43,('Testes estatísticos'!$D$48+'Testes estatísticos'!$D$20)/2,"")</f>
        <v/>
      </c>
      <c r="Q221" s="7" t="str">
        <f>IF(16&gt;=43,('Testes estatísticos'!$D$48+'Testes estatísticos'!$D$21)/2,"")</f>
        <v/>
      </c>
      <c r="R221" s="7" t="str">
        <f>IF(17&gt;=43,('Testes estatísticos'!$D$48+'Testes estatísticos'!$D$22)/2,"")</f>
        <v/>
      </c>
      <c r="S221" s="7" t="str">
        <f>IF(18&gt;=43,('Testes estatísticos'!$D$48+'Testes estatísticos'!$D$23)/2,"")</f>
        <v/>
      </c>
      <c r="T221" s="7" t="str">
        <f>IF(19&gt;=43,('Testes estatísticos'!$D$48+'Testes estatísticos'!$D$24)/2,"")</f>
        <v/>
      </c>
      <c r="U221" s="7" t="str">
        <f>IF(20&gt;=43,('Testes estatísticos'!$D$48+'Testes estatísticos'!$D$25)/2,"")</f>
        <v/>
      </c>
      <c r="V221" s="7" t="str">
        <f>IF(21&gt;=43,('Testes estatísticos'!$D$48+'Testes estatísticos'!$D$26)/2,"")</f>
        <v/>
      </c>
      <c r="W221" s="7" t="str">
        <f>IF(22&gt;=43,('Testes estatísticos'!$D$48+'Testes estatísticos'!$D$27)/2,"")</f>
        <v/>
      </c>
      <c r="X221" s="7" t="str">
        <f>IF(23&gt;=43,('Testes estatísticos'!$D$48+'Testes estatísticos'!$D$28)/2,"")</f>
        <v/>
      </c>
      <c r="Y221" s="7" t="str">
        <f>IF(24&gt;=43,('Testes estatísticos'!$D$48+'Testes estatísticos'!$D$29)/2,"")</f>
        <v/>
      </c>
      <c r="Z221" s="7" t="str">
        <f>IF(25&gt;=43,('Testes estatísticos'!$D$48+'Testes estatísticos'!$D$30)/2,"")</f>
        <v/>
      </c>
      <c r="AA221" s="7" t="str">
        <f>IF(26&gt;=43,('Testes estatísticos'!$D$48+'Testes estatísticos'!$D$31)/2,"")</f>
        <v/>
      </c>
      <c r="AB221" s="7" t="str">
        <f>IF(27&gt;=43,('Testes estatísticos'!$D$48+'Testes estatísticos'!$D$32)/2,"")</f>
        <v/>
      </c>
      <c r="AC221" s="7" t="str">
        <f>IF(28&gt;=43,('Testes estatísticos'!$D$48+'Testes estatísticos'!$D$33)/2,"")</f>
        <v/>
      </c>
      <c r="AD221" s="7" t="str">
        <f>IF(29&gt;=43,('Testes estatísticos'!$D$48+'Testes estatísticos'!$D$34)/2,"")</f>
        <v/>
      </c>
      <c r="AE221" s="7" t="str">
        <f>IF(30&gt;=43,('Testes estatísticos'!$D$48+'Testes estatísticos'!$D$35)/2,"")</f>
        <v/>
      </c>
      <c r="AF221" s="7" t="str">
        <f>IF(31&gt;=43,('Testes estatísticos'!$D$48+'Testes estatísticos'!$D$36)/2,"")</f>
        <v/>
      </c>
      <c r="AG221" s="7" t="str">
        <f>IF(32&gt;=43,('Testes estatísticos'!$D$48+'Testes estatísticos'!$D$37)/2,"")</f>
        <v/>
      </c>
      <c r="AH221" s="7" t="str">
        <f>IF(33&gt;=43,('Testes estatísticos'!$D$48+'Testes estatísticos'!$D$38)/2,"")</f>
        <v/>
      </c>
      <c r="AI221" s="7" t="str">
        <f>IF(34&gt;=43,('Testes estatísticos'!$D$48+'Testes estatísticos'!$D$39)/2,"")</f>
        <v/>
      </c>
      <c r="AJ221" s="7" t="str">
        <f>IF(35&gt;=43,('Testes estatísticos'!$D$48+'Testes estatísticos'!$D$40)/2,"")</f>
        <v/>
      </c>
      <c r="AK221" s="7" t="str">
        <f>IF(36&gt;=43,('Testes estatísticos'!$D$48+'Testes estatísticos'!$D$41)/2,"")</f>
        <v/>
      </c>
      <c r="AL221" s="7" t="str">
        <f>IF(37&gt;=43,('Testes estatísticos'!$D$48+'Testes estatísticos'!$D$42)/2,"")</f>
        <v/>
      </c>
      <c r="AM221" s="7" t="str">
        <f>IF(38&gt;=43,('Testes estatísticos'!$D$48+'Testes estatísticos'!$D$43)/2,"")</f>
        <v/>
      </c>
      <c r="AN221" s="7" t="str">
        <f>IF(39&gt;=43,('Testes estatísticos'!$D$48+'Testes estatísticos'!$D$44)/2,"")</f>
        <v/>
      </c>
      <c r="AO221" s="7" t="str">
        <f>IF(40&gt;=43,('Testes estatísticos'!$D$48+'Testes estatísticos'!$D$45)/2,"")</f>
        <v/>
      </c>
      <c r="AP221" s="7" t="str">
        <f>IF(41&gt;=43,('Testes estatísticos'!$D$48+'Testes estatísticos'!$D$46)/2,"")</f>
        <v/>
      </c>
      <c r="AQ221" s="7" t="str">
        <f>IF(42&gt;=43,('Testes estatísticos'!$D$48+'Testes estatísticos'!$D$47)/2,"")</f>
        <v/>
      </c>
      <c r="AR221" s="7">
        <f>IF(43&gt;=43,('Testes estatísticos'!$D$48+'Testes estatísticos'!$D$48)/2,"")</f>
        <v>-1.2549899999999994</v>
      </c>
      <c r="AS221" s="7">
        <f>IF(44&gt;=43,('Testes estatísticos'!$D$48+'Testes estatísticos'!$D$49)/2,"")</f>
        <v>-1.7861130000000003</v>
      </c>
      <c r="AT221" s="7">
        <f>IF(45&gt;=43,('Testes estatísticos'!$D$48+'Testes estatísticos'!$D$50)/2,"")</f>
        <v>-0.9570344999999989</v>
      </c>
      <c r="AU221" s="7">
        <f>IF(46&gt;=43,('Testes estatísticos'!$D$48+'Testes estatísticos'!$D$51)/2,"")</f>
        <v>-3.9882305000000002</v>
      </c>
      <c r="AV221" s="7">
        <f>IF(47&gt;=43,('Testes estatísticos'!$D$48+'Testes estatísticos'!$D$52)/2,"")</f>
        <v>1.0819425000000003</v>
      </c>
      <c r="AW221" s="7">
        <f>IF(48&gt;=43,('Testes estatísticos'!$D$48+'Testes estatísticos'!$D$53)/2,"")</f>
        <v>-3.3540884999999996</v>
      </c>
      <c r="AX221" s="7">
        <f>IF(49&gt;=43,('Testes estatísticos'!$D$48+'Testes estatísticos'!$D$54)/2,"")</f>
        <v>-2.0942979999999984</v>
      </c>
      <c r="AY221" s="7">
        <f>IF(50&gt;=43,('Testes estatísticos'!$D$48+'Testes estatísticos'!$D$55)/2,"")</f>
        <v>-0.46913349999999809</v>
      </c>
      <c r="AZ221" s="7">
        <f>IF(51&gt;=43,('Testes estatísticos'!$D$48+'Testes estatísticos'!$D$56)/2,"")</f>
        <v>-0.42466399999999993</v>
      </c>
      <c r="BA221" s="7">
        <f>IF(52&gt;=43,('Testes estatísticos'!$D$48+'Testes estatísticos'!$D$57)/2,"")</f>
        <v>-3.8328799999999994</v>
      </c>
      <c r="BB221" s="7">
        <f>IF(53&gt;=43,('Testes estatísticos'!$D$48+'Testes estatísticos'!$D$58)/2,"")</f>
        <v>-0.4241174999999977</v>
      </c>
      <c r="BC221" s="7">
        <f>IF(54&gt;=43,('Testes estatísticos'!$D$48+'Testes estatísticos'!$D$59)/2,"")</f>
        <v>-1.3437599999999996</v>
      </c>
      <c r="BD221" s="7">
        <f>IF(55&gt;=43,('Testes estatísticos'!$D$48+'Testes estatísticos'!$D$60)/2,"")</f>
        <v>1.7519109999999998</v>
      </c>
      <c r="BE221" s="7">
        <f>IF(56&gt;=43,('Testes estatísticos'!$D$48+'Testes estatísticos'!$D$61)/2,"")</f>
        <v>-0.87805749999999705</v>
      </c>
      <c r="BF221" s="7">
        <f>IF(57&gt;=43,('Testes estatísticos'!$D$48+'Testes estatísticos'!$D$62)/2,"")</f>
        <v>-4.2782475000000026</v>
      </c>
      <c r="BG221" s="7">
        <f>IF(58&gt;=43,('Testes estatísticos'!$D$48+'Testes estatísticos'!$D$63)/2,"")</f>
        <v>0.98764750000000134</v>
      </c>
      <c r="BH221" s="7">
        <f>IF(59&gt;=43,('Testes estatísticos'!$D$48+'Testes estatísticos'!$D$64)/2,"")</f>
        <v>-4.8559650000000012</v>
      </c>
      <c r="BI221" s="7">
        <f>IF(60&gt;=43,('Testes estatísticos'!$D$48+'Testes estatísticos'!$D$65)/2,"")</f>
        <v>-3.1083739999999977</v>
      </c>
      <c r="BJ221" s="7">
        <f>IF(61&gt;=43,('Testes estatísticos'!$D$48+'Testes estatísticos'!$D$66)/2,"")</f>
        <v>-0.47331900000000005</v>
      </c>
      <c r="BK221" s="7">
        <f>IF(62&gt;=43,('Testes estatísticos'!$D$48+'Testes estatísticos'!$D$67)/2,"")</f>
        <v>-0.98211399999999927</v>
      </c>
      <c r="BL221" s="7">
        <f>IF(63&gt;=43,('Testes estatísticos'!$D$48+'Testes estatísticos'!$D$68)/2,"")</f>
        <v>-8.2799500000000137E-2</v>
      </c>
      <c r="BM221" s="7">
        <f>IF(64&gt;=43,('Testes estatísticos'!$D$48+'Testes estatísticos'!$D$69)/2,"")</f>
        <v>-3.1957500000000749E-2</v>
      </c>
      <c r="BN221" s="7">
        <f>IF(65&gt;=43,('Testes estatísticos'!$D$48+'Testes estatísticos'!$D$70)/2,"")</f>
        <v>-2.1777639999999998</v>
      </c>
      <c r="BO221" s="7">
        <f>IF(66&gt;=43,('Testes estatísticos'!$D$48+'Testes estatísticos'!$D$71)/2,"")</f>
        <v>-1.2819114999999996</v>
      </c>
      <c r="BP221" s="7">
        <f>IF(67&gt;=43,('Testes estatísticos'!$D$48+'Testes estatísticos'!$D$72)/2,"")</f>
        <v>-4.1723704999999995</v>
      </c>
      <c r="BQ221" s="7">
        <f>IF(68&gt;=43,('Testes estatísticos'!$D$48+'Testes estatísticos'!$D$73)/2,"")</f>
        <v>0.49086249999999865</v>
      </c>
      <c r="BR221" s="7">
        <f>IF(69&gt;=43,('Testes estatísticos'!$D$48+'Testes estatísticos'!$D$74)/2,"")</f>
        <v>1.1230444999999989</v>
      </c>
      <c r="BS221" s="7">
        <f>IF(70&gt;=43,('Testes estatísticos'!$D$48+'Testes estatísticos'!$D$75)/2,"")</f>
        <v>0.11857999999999791</v>
      </c>
      <c r="BT221" s="7">
        <f>IF(71&gt;=43,('Testes estatísticos'!$D$48+'Testes estatísticos'!$D$76)/2,"")</f>
        <v>1.6929449999999981</v>
      </c>
      <c r="BU221" s="7">
        <f>IF(72&gt;=43,('Testes estatísticos'!$D$48+'Testes estatísticos'!$D$77)/2,"")</f>
        <v>-3.9067520000000009</v>
      </c>
      <c r="BV221" s="7">
        <f>IF(73&gt;=43,('Testes estatísticos'!$D$48+'Testes estatísticos'!$D$78)/2,"")</f>
        <v>-1.8332775000000012</v>
      </c>
      <c r="BW221" s="7">
        <f>IF(74&gt;=43,('Testes estatísticos'!$D$48+'Testes estatísticos'!$D$79)/2,"")</f>
        <v>-2.5165959999999998</v>
      </c>
      <c r="BX221" s="7">
        <f>IF(75&gt;=43,('Testes estatísticos'!$D$48+'Testes estatísticos'!$D$80)/2,"")</f>
        <v>-2.538374000000001</v>
      </c>
      <c r="BY221" s="7">
        <f>IF(76&gt;=43,('Testes estatísticos'!$D$48+'Testes estatísticos'!$D$81)/2,"")</f>
        <v>1.5930840000000011</v>
      </c>
      <c r="BZ221" s="7">
        <f>IF(77&gt;=43,('Testes estatísticos'!$D$48+'Testes estatísticos'!$D$82)/2,"")</f>
        <v>-3.6685054999999984</v>
      </c>
      <c r="CA221" s="7">
        <f>IF(78&gt;=43,('Testes estatísticos'!$D$48+'Testes estatísticos'!$D$83)/2,"")</f>
        <v>-1.9082464999999971</v>
      </c>
      <c r="CB221" s="7">
        <f>IF(79&gt;=43,('Testes estatísticos'!$D$48+'Testes estatísticos'!$D$84)/2,"")</f>
        <v>-1.8565240000000003</v>
      </c>
      <c r="CC221" s="7">
        <f>IF(80&gt;=43,('Testes estatísticos'!$D$48+'Testes estatísticos'!$D$85)/2,"")</f>
        <v>-3.6635404999999999</v>
      </c>
      <c r="CD221" s="7">
        <f>IF(81&gt;=43,('Testes estatísticos'!$D$48+'Testes estatísticos'!$D$86)/2,"")</f>
        <v>-3.7136855000000004</v>
      </c>
      <c r="CE221" s="7">
        <f>IF(82&gt;=43,('Testes estatísticos'!$D$48+'Testes estatísticos'!$D$87)/2,"")</f>
        <v>-1.6358950000000014</v>
      </c>
      <c r="CF221" s="7">
        <f>IF(83&gt;=43,('Testes estatísticos'!$D$48+'Testes estatísticos'!$D$88)/2,"")</f>
        <v>-2.1647020000000019</v>
      </c>
      <c r="CG221" s="7">
        <f>IF(84&gt;=43,('Testes estatísticos'!$D$48+'Testes estatísticos'!$D$89)/2,"")</f>
        <v>-2.4966089999999994</v>
      </c>
      <c r="CH221" s="7">
        <f>IF(85&gt;=43,('Testes estatísticos'!$D$48+'Testes estatísticos'!$D$90)/2,"")</f>
        <v>-0.68106200000000072</v>
      </c>
      <c r="CI221" s="7">
        <f>IF(86&gt;=43,('Testes estatísticos'!$D$48+'Testes estatísticos'!$D$91)/2,"")</f>
        <v>-3.3712214999999972</v>
      </c>
      <c r="CJ221" s="7">
        <f>IF(87&gt;=43,('Testes estatísticos'!$D$48+'Testes estatísticos'!$D$92)/2,"")</f>
        <v>-2.129014999999999</v>
      </c>
      <c r="CK221" s="7">
        <f>IF(88&gt;=43,('Testes estatísticos'!$D$48+'Testes estatísticos'!$D$93)/2,"")</f>
        <v>-1.8849315000000004</v>
      </c>
      <c r="CL221" s="7">
        <f>IF(89&gt;=43,('Testes estatísticos'!$D$48+'Testes estatísticos'!$D$94)/2,"")</f>
        <v>-2.4965235000000021</v>
      </c>
      <c r="CM221" s="7">
        <f>IF(90&gt;=43,('Testes estatísticos'!$D$48+'Testes estatísticos'!$D$95)/2,"")</f>
        <v>-4.8306554999999989</v>
      </c>
      <c r="CN221" s="7">
        <f>IF(91&gt;=43,('Testes estatísticos'!$D$48+'Testes estatísticos'!$D$96)/2,"")</f>
        <v>-2.2921324999999975</v>
      </c>
      <c r="CO221" s="7">
        <f>IF(92&gt;=43,('Testes estatísticos'!$D$48+'Testes estatísticos'!$D$97)/2,"")</f>
        <v>-2.6386359999999982</v>
      </c>
      <c r="CP221" s="7">
        <f>IF(93&gt;=43,('Testes estatísticos'!$D$48+'Testes estatísticos'!$D$98)/2,"")</f>
        <v>-2.8433879999999974</v>
      </c>
      <c r="CQ221" s="7">
        <f>IF(94&gt;=43,('Testes estatísticos'!$D$48+'Testes estatísticos'!$D$99)/2,"")</f>
        <v>-0.66223000000000098</v>
      </c>
      <c r="CR221" s="7">
        <f>IF(95&gt;=43,('Testes estatísticos'!$D$48+'Testes estatísticos'!$D$100)/2,"")</f>
        <v>-2.5680230000000002</v>
      </c>
      <c r="CS221" s="7">
        <f>IF(96&gt;=43,('Testes estatísticos'!$D$48+'Testes estatísticos'!$D$101)/2,"")</f>
        <v>-2.5240360000000024</v>
      </c>
      <c r="CT221" s="7">
        <f>IF(97&gt;=43,('Testes estatísticos'!$D$48+'Testes estatísticos'!$D$102)/2,"")</f>
        <v>-2.2909855000000015</v>
      </c>
      <c r="CU221" s="7">
        <f>IF(98&gt;=43,('Testes estatísticos'!$D$48+'Testes estatísticos'!$D$103)/2,"")</f>
        <v>-2.2336594999999981</v>
      </c>
      <c r="CV221" s="7">
        <f>IF(99&gt;=43,('Testes estatísticos'!$D$48+'Testes estatísticos'!$D$104)/2,"")</f>
        <v>-2.6684854999999992</v>
      </c>
      <c r="CW221" s="7">
        <f>IF(100&gt;=43,('Testes estatísticos'!$D$48+'Testes estatísticos'!$D$105)/2,"")</f>
        <v>-2.7679514999999988</v>
      </c>
      <c r="CX221" s="7">
        <f>IF(101&gt;=43,('Testes estatísticos'!$D$48+'Testes estatísticos'!$D$106)/2,"")</f>
        <v>-2.2450249999999983</v>
      </c>
      <c r="CY221" s="7">
        <f>IF(102&gt;=43,('Testes estatísticos'!$D$48+'Testes estatísticos'!$D$107)/2,"")</f>
        <v>-2.3006899999999995</v>
      </c>
      <c r="CZ221" s="7">
        <f>IF(103&gt;=43,('Testes estatísticos'!$D$48+'Testes estatísticos'!$D$108)/2,"")</f>
        <v>-2.8248564999999992</v>
      </c>
      <c r="DA221" s="7">
        <f>IF(104&gt;=43,('Testes estatísticos'!$D$48+'Testes estatísticos'!$D$109)/2,"")</f>
        <v>-2.5622224999999972</v>
      </c>
      <c r="DB221" s="7">
        <f>IF(105&gt;=43,('Testes estatísticos'!$D$48+'Testes estatísticos'!$D$110)/2,"")</f>
        <v>-2.5278914999999991</v>
      </c>
      <c r="DC221" s="7">
        <f>IF(106&gt;=43,('Testes estatísticos'!$D$48+'Testes estatísticos'!$D$111)/2,"")</f>
        <v>-1.7849705</v>
      </c>
      <c r="DD221" s="7">
        <f>IF(107&gt;=43,('Testes estatísticos'!$D$48+'Testes estatísticos'!$D$112)/2,"")</f>
        <v>1.7082005000000002</v>
      </c>
      <c r="DE221" s="7">
        <f>IF(108&gt;=43,('Testes estatísticos'!$D$48+'Testes estatísticos'!$D$113)/2,"")</f>
        <v>-1.7144349999999982</v>
      </c>
      <c r="DF221" s="7">
        <f>IF(109&gt;=43,('Testes estatísticos'!$D$48+'Testes estatísticos'!$D$114)/2,"")</f>
        <v>-1.7506919999999973</v>
      </c>
      <c r="DG221" s="7">
        <f>IF(110&gt;=43,('Testes estatísticos'!$D$48+'Testes estatísticos'!$D$115)/2,"")</f>
        <v>-7.2978315000000009</v>
      </c>
      <c r="DH221" s="7">
        <f>IF(111&gt;=43,('Testes estatísticos'!$D$48+'Testes estatísticos'!$D$116)/2,"")</f>
        <v>-1.6170009999999984</v>
      </c>
      <c r="DI221" s="7">
        <f>IF(112&gt;=43,('Testes estatísticos'!$D$48+'Testes estatísticos'!$D$117)/2,"")</f>
        <v>3.811439</v>
      </c>
      <c r="DJ221" s="7">
        <f>IF(113&gt;=43,('Testes estatísticos'!$D$48+'Testes estatísticos'!$D$118)/2,"")</f>
        <v>-1.6451180000000001</v>
      </c>
      <c r="DK221" s="7">
        <f>IF(114&gt;=43,('Testes estatísticos'!$D$48+'Testes estatísticos'!$D$119)/2,"")</f>
        <v>-1.7468679999999992</v>
      </c>
      <c r="DL221" s="7">
        <f>IF(115&gt;=43,('Testes estatísticos'!$D$48+'Testes estatísticos'!$D$120)/2,"")</f>
        <v>-1.7003904999999975</v>
      </c>
      <c r="DM221" s="7">
        <f>IF(116&gt;=43,('Testes estatísticos'!$D$48+'Testes estatísticos'!$D$121)/2,"")</f>
        <v>-1.691787999999999</v>
      </c>
      <c r="DN221" s="7">
        <f>IF(117&gt;=43,('Testes estatísticos'!$D$48+'Testes estatísticos'!$D$122)/2,"")</f>
        <v>-1.6687200000000004</v>
      </c>
      <c r="DO221" s="7">
        <f>IF(118&gt;=43,('Testes estatísticos'!$D$48+'Testes estatísticos'!$D$123)/2,"")</f>
        <v>-1.6188095000000011</v>
      </c>
      <c r="DP221" s="7">
        <f>IF(119&gt;=43,('Testes estatísticos'!$D$48+'Testes estatísticos'!$D$124)/2,"")</f>
        <v>-1.6400210000000008</v>
      </c>
      <c r="DQ221" s="7">
        <f>IF(120&gt;=43,('Testes estatísticos'!$D$48+'Testes estatísticos'!$D$125)/2,"")</f>
        <v>1.4115935000000022</v>
      </c>
      <c r="DR221" s="7">
        <f>IF(121&gt;=43,('Testes estatísticos'!$D$48+'Testes estatísticos'!$D$126)/2,"")</f>
        <v>-1.3774230000000003</v>
      </c>
      <c r="DS221" s="7">
        <f>IF(122&gt;=43,('Testes estatísticos'!$D$48+'Testes estatísticos'!$D$127)/2,"")</f>
        <v>-2.4428314999999969</v>
      </c>
      <c r="DT221" s="7">
        <f>IF(123&gt;=43,('Testes estatísticos'!$D$48+'Testes estatísticos'!$D$128)/2,"")</f>
        <v>3.6260379999999977</v>
      </c>
      <c r="DU221" s="7">
        <f>IF(124&gt;=43,('Testes estatísticos'!$D$48+'Testes estatísticos'!$D$129)/2,"")</f>
        <v>-1.269733500000001</v>
      </c>
      <c r="DV221" s="7">
        <f>IF(125&gt;=43,('Testes estatísticos'!$D$48+'Testes estatísticos'!$D$130)/2,"")</f>
        <v>-0.11142600000000158</v>
      </c>
      <c r="DW221" s="7">
        <f>IF(126&gt;=43,('Testes estatísticos'!$D$48+'Testes estatísticos'!$D$131)/2,"")</f>
        <v>-2.5149019999999993</v>
      </c>
      <c r="DX221" s="7">
        <f>IF(127&gt;=43,('Testes estatísticos'!$D$48+'Testes estatísticos'!$D$132)/2,"")</f>
        <v>-4.5710934999999999</v>
      </c>
      <c r="DY221" s="7">
        <f>IF(128&gt;=43,('Testes estatísticos'!$D$48+'Testes estatísticos'!$D$133)/2,"")</f>
        <v>-4.9121829999999989</v>
      </c>
      <c r="DZ221" s="7">
        <f>IF(129&gt;=43,('Testes estatísticos'!$D$48+'Testes estatísticos'!$D$134)/2,"")</f>
        <v>-8.3359729999999992</v>
      </c>
      <c r="EA221" s="7">
        <f>IF(130&gt;=43,('Testes estatísticos'!$D$48+'Testes estatísticos'!$D$135)/2,"")</f>
        <v>-2.5742029999999971</v>
      </c>
      <c r="EB221" s="7">
        <f>IF(131&gt;=43,('Testes estatísticos'!$D$48+'Testes estatísticos'!$D$136)/2,"")</f>
        <v>-2.4863300000000024</v>
      </c>
      <c r="EC221" s="7">
        <f>IF(132&gt;=43,('Testes estatísticos'!$D$48+'Testes estatísticos'!$D$137)/2,"")</f>
        <v>-3.9730665000000016</v>
      </c>
      <c r="ED221" s="7">
        <f>IF(133&gt;=43,('Testes estatísticos'!$D$48+'Testes estatísticos'!$D$138)/2,"")</f>
        <v>-1.7841290000000001</v>
      </c>
      <c r="EE221" s="7">
        <f>IF(134&gt;=43,('Testes estatísticos'!$D$48+'Testes estatísticos'!$D$139)/2,"")</f>
        <v>-4.0813195000000029</v>
      </c>
      <c r="EF221" s="7">
        <f>IF(135&gt;=43,('Testes estatísticos'!$D$48+'Testes estatísticos'!$D$140)/2,"")</f>
        <v>-0.86688699999999841</v>
      </c>
      <c r="EG221" s="7">
        <f>IF(136&gt;=43,('Testes estatísticos'!$D$48+'Testes estatísticos'!$D$141)/2,"")</f>
        <v>-2.5603770000000026</v>
      </c>
      <c r="EH221" s="7">
        <f>IF(137&gt;=43,('Testes estatísticos'!$D$48+'Testes estatísticos'!$D$142)/2,"")</f>
        <v>-0.85563700000000154</v>
      </c>
      <c r="EI221" s="7">
        <f>IF(138&gt;=43,('Testes estatísticos'!$D$48+'Testes estatísticos'!$D$143)/2,"")</f>
        <v>-2.5206524999999971</v>
      </c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</row>
    <row r="222" spans="2:151" x14ac:dyDescent="0.3">
      <c r="B222" s="7" t="str">
        <f>IF(1&gt;=44,('Testes estatísticos'!$D$49+'Testes estatísticos'!$D$6)/2,"")</f>
        <v/>
      </c>
      <c r="C222" s="7" t="str">
        <f>IF(2&gt;=44,('Testes estatísticos'!$D$49+'Testes estatísticos'!$D$7)/2,"")</f>
        <v/>
      </c>
      <c r="D222" s="7" t="str">
        <f>IF(3&gt;=44,('Testes estatísticos'!$D$49+'Testes estatísticos'!$D$8)/2,"")</f>
        <v/>
      </c>
      <c r="E222" s="7" t="str">
        <f>IF(4&gt;=44,('Testes estatísticos'!$D$49+'Testes estatísticos'!$D$9)/2,"")</f>
        <v/>
      </c>
      <c r="F222" s="7" t="str">
        <f>IF(5&gt;=44,('Testes estatísticos'!$D$49+'Testes estatísticos'!$D$10)/2,"")</f>
        <v/>
      </c>
      <c r="G222" s="7" t="str">
        <f>IF(6&gt;=44,('Testes estatísticos'!$D$49+'Testes estatísticos'!$D$11)/2,"")</f>
        <v/>
      </c>
      <c r="H222" s="7" t="str">
        <f>IF(7&gt;=44,('Testes estatísticos'!$D$49+'Testes estatísticos'!$D$12)/2,"")</f>
        <v/>
      </c>
      <c r="I222" s="7" t="str">
        <f>IF(8&gt;=44,('Testes estatísticos'!$D$49+'Testes estatísticos'!$D$13)/2,"")</f>
        <v/>
      </c>
      <c r="J222" s="7" t="str">
        <f>IF(9&gt;=44,('Testes estatísticos'!$D$49+'Testes estatísticos'!$D$14)/2,"")</f>
        <v/>
      </c>
      <c r="K222" s="7" t="str">
        <f>IF(10&gt;=44,('Testes estatísticos'!$D$49+'Testes estatísticos'!$D$15)/2,"")</f>
        <v/>
      </c>
      <c r="L222" s="7" t="str">
        <f>IF(11&gt;=44,('Testes estatísticos'!$D$49+'Testes estatísticos'!$D$16)/2,"")</f>
        <v/>
      </c>
      <c r="M222" s="7" t="str">
        <f>IF(12&gt;=44,('Testes estatísticos'!$D$49+'Testes estatísticos'!$D$17)/2,"")</f>
        <v/>
      </c>
      <c r="N222" s="7" t="str">
        <f>IF(13&gt;=44,('Testes estatísticos'!$D$49+'Testes estatísticos'!$D$18)/2,"")</f>
        <v/>
      </c>
      <c r="O222" s="7" t="str">
        <f>IF(14&gt;=44,('Testes estatísticos'!$D$49+'Testes estatísticos'!$D$19)/2,"")</f>
        <v/>
      </c>
      <c r="P222" s="7" t="str">
        <f>IF(15&gt;=44,('Testes estatísticos'!$D$49+'Testes estatísticos'!$D$20)/2,"")</f>
        <v/>
      </c>
      <c r="Q222" s="7" t="str">
        <f>IF(16&gt;=44,('Testes estatísticos'!$D$49+'Testes estatísticos'!$D$21)/2,"")</f>
        <v/>
      </c>
      <c r="R222" s="7" t="str">
        <f>IF(17&gt;=44,('Testes estatísticos'!$D$49+'Testes estatísticos'!$D$22)/2,"")</f>
        <v/>
      </c>
      <c r="S222" s="7" t="str">
        <f>IF(18&gt;=44,('Testes estatísticos'!$D$49+'Testes estatísticos'!$D$23)/2,"")</f>
        <v/>
      </c>
      <c r="T222" s="7" t="str">
        <f>IF(19&gt;=44,('Testes estatísticos'!$D$49+'Testes estatísticos'!$D$24)/2,"")</f>
        <v/>
      </c>
      <c r="U222" s="7" t="str">
        <f>IF(20&gt;=44,('Testes estatísticos'!$D$49+'Testes estatísticos'!$D$25)/2,"")</f>
        <v/>
      </c>
      <c r="V222" s="7" t="str">
        <f>IF(21&gt;=44,('Testes estatísticos'!$D$49+'Testes estatísticos'!$D$26)/2,"")</f>
        <v/>
      </c>
      <c r="W222" s="7" t="str">
        <f>IF(22&gt;=44,('Testes estatísticos'!$D$49+'Testes estatísticos'!$D$27)/2,"")</f>
        <v/>
      </c>
      <c r="X222" s="7" t="str">
        <f>IF(23&gt;=44,('Testes estatísticos'!$D$49+'Testes estatísticos'!$D$28)/2,"")</f>
        <v/>
      </c>
      <c r="Y222" s="7" t="str">
        <f>IF(24&gt;=44,('Testes estatísticos'!$D$49+'Testes estatísticos'!$D$29)/2,"")</f>
        <v/>
      </c>
      <c r="Z222" s="7" t="str">
        <f>IF(25&gt;=44,('Testes estatísticos'!$D$49+'Testes estatísticos'!$D$30)/2,"")</f>
        <v/>
      </c>
      <c r="AA222" s="7" t="str">
        <f>IF(26&gt;=44,('Testes estatísticos'!$D$49+'Testes estatísticos'!$D$31)/2,"")</f>
        <v/>
      </c>
      <c r="AB222" s="7" t="str">
        <f>IF(27&gt;=44,('Testes estatísticos'!$D$49+'Testes estatísticos'!$D$32)/2,"")</f>
        <v/>
      </c>
      <c r="AC222" s="7" t="str">
        <f>IF(28&gt;=44,('Testes estatísticos'!$D$49+'Testes estatísticos'!$D$33)/2,"")</f>
        <v/>
      </c>
      <c r="AD222" s="7" t="str">
        <f>IF(29&gt;=44,('Testes estatísticos'!$D$49+'Testes estatísticos'!$D$34)/2,"")</f>
        <v/>
      </c>
      <c r="AE222" s="7" t="str">
        <f>IF(30&gt;=44,('Testes estatísticos'!$D$49+'Testes estatísticos'!$D$35)/2,"")</f>
        <v/>
      </c>
      <c r="AF222" s="7" t="str">
        <f>IF(31&gt;=44,('Testes estatísticos'!$D$49+'Testes estatísticos'!$D$36)/2,"")</f>
        <v/>
      </c>
      <c r="AG222" s="7" t="str">
        <f>IF(32&gt;=44,('Testes estatísticos'!$D$49+'Testes estatísticos'!$D$37)/2,"")</f>
        <v/>
      </c>
      <c r="AH222" s="7" t="str">
        <f>IF(33&gt;=44,('Testes estatísticos'!$D$49+'Testes estatísticos'!$D$38)/2,"")</f>
        <v/>
      </c>
      <c r="AI222" s="7" t="str">
        <f>IF(34&gt;=44,('Testes estatísticos'!$D$49+'Testes estatísticos'!$D$39)/2,"")</f>
        <v/>
      </c>
      <c r="AJ222" s="7" t="str">
        <f>IF(35&gt;=44,('Testes estatísticos'!$D$49+'Testes estatísticos'!$D$40)/2,"")</f>
        <v/>
      </c>
      <c r="AK222" s="7" t="str">
        <f>IF(36&gt;=44,('Testes estatísticos'!$D$49+'Testes estatísticos'!$D$41)/2,"")</f>
        <v/>
      </c>
      <c r="AL222" s="7" t="str">
        <f>IF(37&gt;=44,('Testes estatísticos'!$D$49+'Testes estatísticos'!$D$42)/2,"")</f>
        <v/>
      </c>
      <c r="AM222" s="7" t="str">
        <f>IF(38&gt;=44,('Testes estatísticos'!$D$49+'Testes estatísticos'!$D$43)/2,"")</f>
        <v/>
      </c>
      <c r="AN222" s="7" t="str">
        <f>IF(39&gt;=44,('Testes estatísticos'!$D$49+'Testes estatísticos'!$D$44)/2,"")</f>
        <v/>
      </c>
      <c r="AO222" s="7" t="str">
        <f>IF(40&gt;=44,('Testes estatísticos'!$D$49+'Testes estatísticos'!$D$45)/2,"")</f>
        <v/>
      </c>
      <c r="AP222" s="7" t="str">
        <f>IF(41&gt;=44,('Testes estatísticos'!$D$49+'Testes estatísticos'!$D$46)/2,"")</f>
        <v/>
      </c>
      <c r="AQ222" s="7" t="str">
        <f>IF(42&gt;=44,('Testes estatísticos'!$D$49+'Testes estatísticos'!$D$47)/2,"")</f>
        <v/>
      </c>
      <c r="AR222" s="7" t="str">
        <f>IF(43&gt;=44,('Testes estatísticos'!$D$49+'Testes estatísticos'!$D$48)/2,"")</f>
        <v/>
      </c>
      <c r="AS222" s="7">
        <f>IF(44&gt;=44,('Testes estatísticos'!$D$49+'Testes estatísticos'!$D$49)/2,"")</f>
        <v>-2.3172360000000012</v>
      </c>
      <c r="AT222" s="7">
        <f>IF(45&gt;=44,('Testes estatísticos'!$D$49+'Testes estatísticos'!$D$50)/2,"")</f>
        <v>-1.4881574999999998</v>
      </c>
      <c r="AU222" s="7">
        <f>IF(46&gt;=44,('Testes estatísticos'!$D$49+'Testes estatísticos'!$D$51)/2,"")</f>
        <v>-4.5193535000000011</v>
      </c>
      <c r="AV222" s="7">
        <f>IF(47&gt;=44,('Testes estatísticos'!$D$49+'Testes estatísticos'!$D$52)/2,"")</f>
        <v>0.55081949999999935</v>
      </c>
      <c r="AW222" s="7">
        <f>IF(48&gt;=44,('Testes estatísticos'!$D$49+'Testes estatísticos'!$D$53)/2,"")</f>
        <v>-3.8852115000000005</v>
      </c>
      <c r="AX222" s="7">
        <f>IF(49&gt;=44,('Testes estatísticos'!$D$49+'Testes estatísticos'!$D$54)/2,"")</f>
        <v>-2.6254209999999993</v>
      </c>
      <c r="AY222" s="7">
        <f>IF(50&gt;=44,('Testes estatísticos'!$D$49+'Testes estatísticos'!$D$55)/2,"")</f>
        <v>-1.000256499999999</v>
      </c>
      <c r="AZ222" s="7">
        <f>IF(51&gt;=44,('Testes estatísticos'!$D$49+'Testes estatísticos'!$D$56)/2,"")</f>
        <v>-0.95578700000000083</v>
      </c>
      <c r="BA222" s="7">
        <f>IF(52&gt;=44,('Testes estatísticos'!$D$49+'Testes estatísticos'!$D$57)/2,"")</f>
        <v>-4.3640030000000003</v>
      </c>
      <c r="BB222" s="7">
        <f>IF(53&gt;=44,('Testes estatísticos'!$D$49+'Testes estatísticos'!$D$58)/2,"")</f>
        <v>-0.9552404999999986</v>
      </c>
      <c r="BC222" s="7">
        <f>IF(54&gt;=44,('Testes estatísticos'!$D$49+'Testes estatísticos'!$D$59)/2,"")</f>
        <v>-1.8748830000000005</v>
      </c>
      <c r="BD222" s="7">
        <f>IF(55&gt;=44,('Testes estatísticos'!$D$49+'Testes estatísticos'!$D$60)/2,"")</f>
        <v>1.2207879999999989</v>
      </c>
      <c r="BE222" s="7">
        <f>IF(56&gt;=44,('Testes estatísticos'!$D$49+'Testes estatísticos'!$D$61)/2,"")</f>
        <v>-1.4091804999999979</v>
      </c>
      <c r="BF222" s="7">
        <f>IF(57&gt;=44,('Testes estatísticos'!$D$49+'Testes estatísticos'!$D$62)/2,"")</f>
        <v>-4.8093705000000035</v>
      </c>
      <c r="BG222" s="7">
        <f>IF(58&gt;=44,('Testes estatísticos'!$D$49+'Testes estatísticos'!$D$63)/2,"")</f>
        <v>0.45652450000000044</v>
      </c>
      <c r="BH222" s="7">
        <f>IF(59&gt;=44,('Testes estatísticos'!$D$49+'Testes estatísticos'!$D$64)/2,"")</f>
        <v>-5.3870880000000021</v>
      </c>
      <c r="BI222" s="7">
        <f>IF(60&gt;=44,('Testes estatísticos'!$D$49+'Testes estatísticos'!$D$65)/2,"")</f>
        <v>-3.6394969999999986</v>
      </c>
      <c r="BJ222" s="7">
        <f>IF(61&gt;=44,('Testes estatísticos'!$D$49+'Testes estatísticos'!$D$66)/2,"")</f>
        <v>-1.0044420000000009</v>
      </c>
      <c r="BK222" s="7">
        <f>IF(62&gt;=44,('Testes estatísticos'!$D$49+'Testes estatísticos'!$D$67)/2,"")</f>
        <v>-1.5132370000000002</v>
      </c>
      <c r="BL222" s="7">
        <f>IF(63&gt;=44,('Testes estatísticos'!$D$49+'Testes estatísticos'!$D$68)/2,"")</f>
        <v>-0.61392250000000104</v>
      </c>
      <c r="BM222" s="7">
        <f>IF(64&gt;=44,('Testes estatísticos'!$D$49+'Testes estatísticos'!$D$69)/2,"")</f>
        <v>-0.56308050000000165</v>
      </c>
      <c r="BN222" s="7">
        <f>IF(65&gt;=44,('Testes estatísticos'!$D$49+'Testes estatísticos'!$D$70)/2,"")</f>
        <v>-2.7088870000000007</v>
      </c>
      <c r="BO222" s="7">
        <f>IF(66&gt;=44,('Testes estatísticos'!$D$49+'Testes estatísticos'!$D$71)/2,"")</f>
        <v>-1.8130345000000005</v>
      </c>
      <c r="BP222" s="7">
        <f>IF(67&gt;=44,('Testes estatísticos'!$D$49+'Testes estatísticos'!$D$72)/2,"")</f>
        <v>-4.7034935000000004</v>
      </c>
      <c r="BQ222" s="7">
        <f>IF(68&gt;=44,('Testes estatísticos'!$D$49+'Testes estatísticos'!$D$73)/2,"")</f>
        <v>-4.0260500000002253E-2</v>
      </c>
      <c r="BR222" s="7">
        <f>IF(69&gt;=44,('Testes estatísticos'!$D$49+'Testes estatísticos'!$D$74)/2,"")</f>
        <v>0.59192149999999799</v>
      </c>
      <c r="BS222" s="7">
        <f>IF(70&gt;=44,('Testes estatísticos'!$D$49+'Testes estatísticos'!$D$75)/2,"")</f>
        <v>-0.41254300000000299</v>
      </c>
      <c r="BT222" s="7">
        <f>IF(71&gt;=44,('Testes estatísticos'!$D$49+'Testes estatísticos'!$D$76)/2,"")</f>
        <v>1.1618219999999972</v>
      </c>
      <c r="BU222" s="7">
        <f>IF(72&gt;=44,('Testes estatísticos'!$D$49+'Testes estatísticos'!$D$77)/2,"")</f>
        <v>-4.4378750000000018</v>
      </c>
      <c r="BV222" s="7">
        <f>IF(73&gt;=44,('Testes estatísticos'!$D$49+'Testes estatísticos'!$D$78)/2,"")</f>
        <v>-2.3644005000000021</v>
      </c>
      <c r="BW222" s="7">
        <f>IF(74&gt;=44,('Testes estatísticos'!$D$49+'Testes estatísticos'!$D$79)/2,"")</f>
        <v>-3.0477190000000007</v>
      </c>
      <c r="BX222" s="7">
        <f>IF(75&gt;=44,('Testes estatísticos'!$D$49+'Testes estatísticos'!$D$80)/2,"")</f>
        <v>-3.0694970000000019</v>
      </c>
      <c r="BY222" s="7">
        <f>IF(76&gt;=44,('Testes estatísticos'!$D$49+'Testes estatísticos'!$D$81)/2,"")</f>
        <v>1.0619610000000002</v>
      </c>
      <c r="BZ222" s="7">
        <f>IF(77&gt;=44,('Testes estatísticos'!$D$49+'Testes estatísticos'!$D$82)/2,"")</f>
        <v>-4.1996284999999993</v>
      </c>
      <c r="CA222" s="7">
        <f>IF(78&gt;=44,('Testes estatísticos'!$D$49+'Testes estatísticos'!$D$83)/2,"")</f>
        <v>-2.439369499999998</v>
      </c>
      <c r="CB222" s="7">
        <f>IF(79&gt;=44,('Testes estatísticos'!$D$49+'Testes estatísticos'!$D$84)/2,"")</f>
        <v>-2.3876470000000012</v>
      </c>
      <c r="CC222" s="7">
        <f>IF(80&gt;=44,('Testes estatísticos'!$D$49+'Testes estatísticos'!$D$85)/2,"")</f>
        <v>-4.1946635000000008</v>
      </c>
      <c r="CD222" s="7">
        <f>IF(81&gt;=44,('Testes estatísticos'!$D$49+'Testes estatísticos'!$D$86)/2,"")</f>
        <v>-4.2448085000000013</v>
      </c>
      <c r="CE222" s="7">
        <f>IF(82&gt;=44,('Testes estatísticos'!$D$49+'Testes estatísticos'!$D$87)/2,"")</f>
        <v>-2.1670180000000023</v>
      </c>
      <c r="CF222" s="7">
        <f>IF(83&gt;=44,('Testes estatísticos'!$D$49+'Testes estatísticos'!$D$88)/2,"")</f>
        <v>-2.6958250000000028</v>
      </c>
      <c r="CG222" s="7">
        <f>IF(84&gt;=44,('Testes estatísticos'!$D$49+'Testes estatísticos'!$D$89)/2,"")</f>
        <v>-3.0277320000000003</v>
      </c>
      <c r="CH222" s="7">
        <f>IF(85&gt;=44,('Testes estatísticos'!$D$49+'Testes estatísticos'!$D$90)/2,"")</f>
        <v>-1.2121850000000016</v>
      </c>
      <c r="CI222" s="7">
        <f>IF(86&gt;=44,('Testes estatísticos'!$D$49+'Testes estatísticos'!$D$91)/2,"")</f>
        <v>-3.9023444999999981</v>
      </c>
      <c r="CJ222" s="7">
        <f>IF(87&gt;=44,('Testes estatísticos'!$D$49+'Testes estatísticos'!$D$92)/2,"")</f>
        <v>-2.6601379999999999</v>
      </c>
      <c r="CK222" s="7">
        <f>IF(88&gt;=44,('Testes estatísticos'!$D$49+'Testes estatísticos'!$D$93)/2,"")</f>
        <v>-2.4160545000000013</v>
      </c>
      <c r="CL222" s="7">
        <f>IF(89&gt;=44,('Testes estatísticos'!$D$49+'Testes estatísticos'!$D$94)/2,"")</f>
        <v>-3.027646500000003</v>
      </c>
      <c r="CM222" s="7">
        <f>IF(90&gt;=44,('Testes estatísticos'!$D$49+'Testes estatísticos'!$D$95)/2,"")</f>
        <v>-5.3617784999999998</v>
      </c>
      <c r="CN222" s="7">
        <f>IF(91&gt;=44,('Testes estatísticos'!$D$49+'Testes estatísticos'!$D$96)/2,"")</f>
        <v>-2.8232554999999984</v>
      </c>
      <c r="CO222" s="7">
        <f>IF(92&gt;=44,('Testes estatísticos'!$D$49+'Testes estatísticos'!$D$97)/2,"")</f>
        <v>-3.1697589999999991</v>
      </c>
      <c r="CP222" s="7">
        <f>IF(93&gt;=44,('Testes estatísticos'!$D$49+'Testes estatísticos'!$D$98)/2,"")</f>
        <v>-3.3745109999999983</v>
      </c>
      <c r="CQ222" s="7">
        <f>IF(94&gt;=44,('Testes estatísticos'!$D$49+'Testes estatísticos'!$D$99)/2,"")</f>
        <v>-1.1933530000000019</v>
      </c>
      <c r="CR222" s="7">
        <f>IF(95&gt;=44,('Testes estatísticos'!$D$49+'Testes estatísticos'!$D$100)/2,"")</f>
        <v>-3.0991460000000011</v>
      </c>
      <c r="CS222" s="7">
        <f>IF(96&gt;=44,('Testes estatísticos'!$D$49+'Testes estatísticos'!$D$101)/2,"")</f>
        <v>-3.0551590000000033</v>
      </c>
      <c r="CT222" s="7">
        <f>IF(97&gt;=44,('Testes estatísticos'!$D$49+'Testes estatísticos'!$D$102)/2,"")</f>
        <v>-2.8221085000000024</v>
      </c>
      <c r="CU222" s="7">
        <f>IF(98&gt;=44,('Testes estatísticos'!$D$49+'Testes estatísticos'!$D$103)/2,"")</f>
        <v>-2.764782499999999</v>
      </c>
      <c r="CV222" s="7">
        <f>IF(99&gt;=44,('Testes estatísticos'!$D$49+'Testes estatísticos'!$D$104)/2,"")</f>
        <v>-3.1996085000000001</v>
      </c>
      <c r="CW222" s="7">
        <f>IF(100&gt;=44,('Testes estatísticos'!$D$49+'Testes estatísticos'!$D$105)/2,"")</f>
        <v>-3.2990744999999997</v>
      </c>
      <c r="CX222" s="7">
        <f>IF(101&gt;=44,('Testes estatísticos'!$D$49+'Testes estatísticos'!$D$106)/2,"")</f>
        <v>-2.7761479999999992</v>
      </c>
      <c r="CY222" s="7">
        <f>IF(102&gt;=44,('Testes estatísticos'!$D$49+'Testes estatísticos'!$D$107)/2,"")</f>
        <v>-2.8318130000000004</v>
      </c>
      <c r="CZ222" s="7">
        <f>IF(103&gt;=44,('Testes estatísticos'!$D$49+'Testes estatísticos'!$D$108)/2,"")</f>
        <v>-3.3559795000000001</v>
      </c>
      <c r="DA222" s="7">
        <f>IF(104&gt;=44,('Testes estatísticos'!$D$49+'Testes estatísticos'!$D$109)/2,"")</f>
        <v>-3.0933454999999981</v>
      </c>
      <c r="DB222" s="7">
        <f>IF(105&gt;=44,('Testes estatísticos'!$D$49+'Testes estatísticos'!$D$110)/2,"")</f>
        <v>-3.0590145</v>
      </c>
      <c r="DC222" s="7">
        <f>IF(106&gt;=44,('Testes estatísticos'!$D$49+'Testes estatísticos'!$D$111)/2,"")</f>
        <v>-2.3160935000000009</v>
      </c>
      <c r="DD222" s="7">
        <f>IF(107&gt;=44,('Testes estatísticos'!$D$49+'Testes estatísticos'!$D$112)/2,"")</f>
        <v>1.1770774999999993</v>
      </c>
      <c r="DE222" s="7">
        <f>IF(108&gt;=44,('Testes estatísticos'!$D$49+'Testes estatísticos'!$D$113)/2,"")</f>
        <v>-2.2455579999999991</v>
      </c>
      <c r="DF222" s="7">
        <f>IF(109&gt;=44,('Testes estatísticos'!$D$49+'Testes estatísticos'!$D$114)/2,"")</f>
        <v>-2.2818149999999982</v>
      </c>
      <c r="DG222" s="7">
        <f>IF(110&gt;=44,('Testes estatísticos'!$D$49+'Testes estatísticos'!$D$115)/2,"")</f>
        <v>-7.8289545000000018</v>
      </c>
      <c r="DH222" s="7">
        <f>IF(111&gt;=44,('Testes estatísticos'!$D$49+'Testes estatísticos'!$D$116)/2,"")</f>
        <v>-2.1481239999999993</v>
      </c>
      <c r="DI222" s="7">
        <f>IF(112&gt;=44,('Testes estatísticos'!$D$49+'Testes estatísticos'!$D$117)/2,"")</f>
        <v>3.2803159999999991</v>
      </c>
      <c r="DJ222" s="7">
        <f>IF(113&gt;=44,('Testes estatísticos'!$D$49+'Testes estatísticos'!$D$118)/2,"")</f>
        <v>-2.176241000000001</v>
      </c>
      <c r="DK222" s="7">
        <f>IF(114&gt;=44,('Testes estatísticos'!$D$49+'Testes estatísticos'!$D$119)/2,"")</f>
        <v>-2.2779910000000001</v>
      </c>
      <c r="DL222" s="7">
        <f>IF(115&gt;=44,('Testes estatísticos'!$D$49+'Testes estatísticos'!$D$120)/2,"")</f>
        <v>-2.2315134999999984</v>
      </c>
      <c r="DM222" s="7">
        <f>IF(116&gt;=44,('Testes estatísticos'!$D$49+'Testes estatísticos'!$D$121)/2,"")</f>
        <v>-2.2229109999999999</v>
      </c>
      <c r="DN222" s="7">
        <f>IF(117&gt;=44,('Testes estatísticos'!$D$49+'Testes estatísticos'!$D$122)/2,"")</f>
        <v>-2.1998430000000013</v>
      </c>
      <c r="DO222" s="7">
        <f>IF(118&gt;=44,('Testes estatísticos'!$D$49+'Testes estatísticos'!$D$123)/2,"")</f>
        <v>-2.149932500000002</v>
      </c>
      <c r="DP222" s="7">
        <f>IF(119&gt;=44,('Testes estatísticos'!$D$49+'Testes estatísticos'!$D$124)/2,"")</f>
        <v>-2.1711440000000017</v>
      </c>
      <c r="DQ222" s="7">
        <f>IF(120&gt;=44,('Testes estatísticos'!$D$49+'Testes estatísticos'!$D$125)/2,"")</f>
        <v>0.88047050000000127</v>
      </c>
      <c r="DR222" s="7">
        <f>IF(121&gt;=44,('Testes estatísticos'!$D$49+'Testes estatísticos'!$D$126)/2,"")</f>
        <v>-1.9085460000000012</v>
      </c>
      <c r="DS222" s="7">
        <f>IF(122&gt;=44,('Testes estatísticos'!$D$49+'Testes estatísticos'!$D$127)/2,"")</f>
        <v>-2.9739544999999978</v>
      </c>
      <c r="DT222" s="7">
        <f>IF(123&gt;=44,('Testes estatísticos'!$D$49+'Testes estatísticos'!$D$128)/2,"")</f>
        <v>3.0949149999999968</v>
      </c>
      <c r="DU222" s="7">
        <f>IF(124&gt;=44,('Testes estatísticos'!$D$49+'Testes estatísticos'!$D$129)/2,"")</f>
        <v>-1.8008565000000019</v>
      </c>
      <c r="DV222" s="7">
        <f>IF(125&gt;=44,('Testes estatísticos'!$D$49+'Testes estatísticos'!$D$130)/2,"")</f>
        <v>-0.64254900000000248</v>
      </c>
      <c r="DW222" s="7">
        <f>IF(126&gt;=44,('Testes estatísticos'!$D$49+'Testes estatísticos'!$D$131)/2,"")</f>
        <v>-3.0460250000000002</v>
      </c>
      <c r="DX222" s="7">
        <f>IF(127&gt;=44,('Testes estatísticos'!$D$49+'Testes estatísticos'!$D$132)/2,"")</f>
        <v>-5.1022165000000008</v>
      </c>
      <c r="DY222" s="7">
        <f>IF(128&gt;=44,('Testes estatísticos'!$D$49+'Testes estatísticos'!$D$133)/2,"")</f>
        <v>-5.4433059999999998</v>
      </c>
      <c r="DZ222" s="7">
        <f>IF(129&gt;=44,('Testes estatísticos'!$D$49+'Testes estatísticos'!$D$134)/2,"")</f>
        <v>-8.8670960000000001</v>
      </c>
      <c r="EA222" s="7">
        <f>IF(130&gt;=44,('Testes estatísticos'!$D$49+'Testes estatísticos'!$D$135)/2,"")</f>
        <v>-3.105325999999998</v>
      </c>
      <c r="EB222" s="7">
        <f>IF(131&gt;=44,('Testes estatísticos'!$D$49+'Testes estatísticos'!$D$136)/2,"")</f>
        <v>-3.0174530000000033</v>
      </c>
      <c r="EC222" s="7">
        <f>IF(132&gt;=44,('Testes estatísticos'!$D$49+'Testes estatísticos'!$D$137)/2,"")</f>
        <v>-4.5041895000000025</v>
      </c>
      <c r="ED222" s="7">
        <f>IF(133&gt;=44,('Testes estatísticos'!$D$49+'Testes estatísticos'!$D$138)/2,"")</f>
        <v>-2.315252000000001</v>
      </c>
      <c r="EE222" s="7">
        <f>IF(134&gt;=44,('Testes estatísticos'!$D$49+'Testes estatísticos'!$D$139)/2,"")</f>
        <v>-4.6124425000000038</v>
      </c>
      <c r="EF222" s="7">
        <f>IF(135&gt;=44,('Testes estatísticos'!$D$49+'Testes estatísticos'!$D$140)/2,"")</f>
        <v>-1.3980099999999993</v>
      </c>
      <c r="EG222" s="7">
        <f>IF(136&gt;=44,('Testes estatísticos'!$D$49+'Testes estatísticos'!$D$141)/2,"")</f>
        <v>-3.0915000000000035</v>
      </c>
      <c r="EH222" s="7">
        <f>IF(137&gt;=44,('Testes estatísticos'!$D$49+'Testes estatísticos'!$D$142)/2,"")</f>
        <v>-1.3867600000000024</v>
      </c>
      <c r="EI222" s="7">
        <f>IF(138&gt;=44,('Testes estatísticos'!$D$49+'Testes estatísticos'!$D$143)/2,"")</f>
        <v>-3.051775499999998</v>
      </c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</row>
    <row r="223" spans="2:151" x14ac:dyDescent="0.3">
      <c r="B223" s="7" t="str">
        <f>IF(1&gt;=45,('Testes estatísticos'!$D$50+'Testes estatísticos'!$D$6)/2,"")</f>
        <v/>
      </c>
      <c r="C223" s="7" t="str">
        <f>IF(2&gt;=45,('Testes estatísticos'!$D$50+'Testes estatísticos'!$D$7)/2,"")</f>
        <v/>
      </c>
      <c r="D223" s="7" t="str">
        <f>IF(3&gt;=45,('Testes estatísticos'!$D$50+'Testes estatísticos'!$D$8)/2,"")</f>
        <v/>
      </c>
      <c r="E223" s="7" t="str">
        <f>IF(4&gt;=45,('Testes estatísticos'!$D$50+'Testes estatísticos'!$D$9)/2,"")</f>
        <v/>
      </c>
      <c r="F223" s="7" t="str">
        <f>IF(5&gt;=45,('Testes estatísticos'!$D$50+'Testes estatísticos'!$D$10)/2,"")</f>
        <v/>
      </c>
      <c r="G223" s="7" t="str">
        <f>IF(6&gt;=45,('Testes estatísticos'!$D$50+'Testes estatísticos'!$D$11)/2,"")</f>
        <v/>
      </c>
      <c r="H223" s="7" t="str">
        <f>IF(7&gt;=45,('Testes estatísticos'!$D$50+'Testes estatísticos'!$D$12)/2,"")</f>
        <v/>
      </c>
      <c r="I223" s="7" t="str">
        <f>IF(8&gt;=45,('Testes estatísticos'!$D$50+'Testes estatísticos'!$D$13)/2,"")</f>
        <v/>
      </c>
      <c r="J223" s="7" t="str">
        <f>IF(9&gt;=45,('Testes estatísticos'!$D$50+'Testes estatísticos'!$D$14)/2,"")</f>
        <v/>
      </c>
      <c r="K223" s="7" t="str">
        <f>IF(10&gt;=45,('Testes estatísticos'!$D$50+'Testes estatísticos'!$D$15)/2,"")</f>
        <v/>
      </c>
      <c r="L223" s="7" t="str">
        <f>IF(11&gt;=45,('Testes estatísticos'!$D$50+'Testes estatísticos'!$D$16)/2,"")</f>
        <v/>
      </c>
      <c r="M223" s="7" t="str">
        <f>IF(12&gt;=45,('Testes estatísticos'!$D$50+'Testes estatísticos'!$D$17)/2,"")</f>
        <v/>
      </c>
      <c r="N223" s="7" t="str">
        <f>IF(13&gt;=45,('Testes estatísticos'!$D$50+'Testes estatísticos'!$D$18)/2,"")</f>
        <v/>
      </c>
      <c r="O223" s="7" t="str">
        <f>IF(14&gt;=45,('Testes estatísticos'!$D$50+'Testes estatísticos'!$D$19)/2,"")</f>
        <v/>
      </c>
      <c r="P223" s="7" t="str">
        <f>IF(15&gt;=45,('Testes estatísticos'!$D$50+'Testes estatísticos'!$D$20)/2,"")</f>
        <v/>
      </c>
      <c r="Q223" s="7" t="str">
        <f>IF(16&gt;=45,('Testes estatísticos'!$D$50+'Testes estatísticos'!$D$21)/2,"")</f>
        <v/>
      </c>
      <c r="R223" s="7" t="str">
        <f>IF(17&gt;=45,('Testes estatísticos'!$D$50+'Testes estatísticos'!$D$22)/2,"")</f>
        <v/>
      </c>
      <c r="S223" s="7" t="str">
        <f>IF(18&gt;=45,('Testes estatísticos'!$D$50+'Testes estatísticos'!$D$23)/2,"")</f>
        <v/>
      </c>
      <c r="T223" s="7" t="str">
        <f>IF(19&gt;=45,('Testes estatísticos'!$D$50+'Testes estatísticos'!$D$24)/2,"")</f>
        <v/>
      </c>
      <c r="U223" s="7" t="str">
        <f>IF(20&gt;=45,('Testes estatísticos'!$D$50+'Testes estatísticos'!$D$25)/2,"")</f>
        <v/>
      </c>
      <c r="V223" s="7" t="str">
        <f>IF(21&gt;=45,('Testes estatísticos'!$D$50+'Testes estatísticos'!$D$26)/2,"")</f>
        <v/>
      </c>
      <c r="W223" s="7" t="str">
        <f>IF(22&gt;=45,('Testes estatísticos'!$D$50+'Testes estatísticos'!$D$27)/2,"")</f>
        <v/>
      </c>
      <c r="X223" s="7" t="str">
        <f>IF(23&gt;=45,('Testes estatísticos'!$D$50+'Testes estatísticos'!$D$28)/2,"")</f>
        <v/>
      </c>
      <c r="Y223" s="7" t="str">
        <f>IF(24&gt;=45,('Testes estatísticos'!$D$50+'Testes estatísticos'!$D$29)/2,"")</f>
        <v/>
      </c>
      <c r="Z223" s="7" t="str">
        <f>IF(25&gt;=45,('Testes estatísticos'!$D$50+'Testes estatísticos'!$D$30)/2,"")</f>
        <v/>
      </c>
      <c r="AA223" s="7" t="str">
        <f>IF(26&gt;=45,('Testes estatísticos'!$D$50+'Testes estatísticos'!$D$31)/2,"")</f>
        <v/>
      </c>
      <c r="AB223" s="7" t="str">
        <f>IF(27&gt;=45,('Testes estatísticos'!$D$50+'Testes estatísticos'!$D$32)/2,"")</f>
        <v/>
      </c>
      <c r="AC223" s="7" t="str">
        <f>IF(28&gt;=45,('Testes estatísticos'!$D$50+'Testes estatísticos'!$D$33)/2,"")</f>
        <v/>
      </c>
      <c r="AD223" s="7" t="str">
        <f>IF(29&gt;=45,('Testes estatísticos'!$D$50+'Testes estatísticos'!$D$34)/2,"")</f>
        <v/>
      </c>
      <c r="AE223" s="7" t="str">
        <f>IF(30&gt;=45,('Testes estatísticos'!$D$50+'Testes estatísticos'!$D$35)/2,"")</f>
        <v/>
      </c>
      <c r="AF223" s="7" t="str">
        <f>IF(31&gt;=45,('Testes estatísticos'!$D$50+'Testes estatísticos'!$D$36)/2,"")</f>
        <v/>
      </c>
      <c r="AG223" s="7" t="str">
        <f>IF(32&gt;=45,('Testes estatísticos'!$D$50+'Testes estatísticos'!$D$37)/2,"")</f>
        <v/>
      </c>
      <c r="AH223" s="7" t="str">
        <f>IF(33&gt;=45,('Testes estatísticos'!$D$50+'Testes estatísticos'!$D$38)/2,"")</f>
        <v/>
      </c>
      <c r="AI223" s="7" t="str">
        <f>IF(34&gt;=45,('Testes estatísticos'!$D$50+'Testes estatísticos'!$D$39)/2,"")</f>
        <v/>
      </c>
      <c r="AJ223" s="7" t="str">
        <f>IF(35&gt;=45,('Testes estatísticos'!$D$50+'Testes estatísticos'!$D$40)/2,"")</f>
        <v/>
      </c>
      <c r="AK223" s="7" t="str">
        <f>IF(36&gt;=45,('Testes estatísticos'!$D$50+'Testes estatísticos'!$D$41)/2,"")</f>
        <v/>
      </c>
      <c r="AL223" s="7" t="str">
        <f>IF(37&gt;=45,('Testes estatísticos'!$D$50+'Testes estatísticos'!$D$42)/2,"")</f>
        <v/>
      </c>
      <c r="AM223" s="7" t="str">
        <f>IF(38&gt;=45,('Testes estatísticos'!$D$50+'Testes estatísticos'!$D$43)/2,"")</f>
        <v/>
      </c>
      <c r="AN223" s="7" t="str">
        <f>IF(39&gt;=45,('Testes estatísticos'!$D$50+'Testes estatísticos'!$D$44)/2,"")</f>
        <v/>
      </c>
      <c r="AO223" s="7" t="str">
        <f>IF(40&gt;=45,('Testes estatísticos'!$D$50+'Testes estatísticos'!$D$45)/2,"")</f>
        <v/>
      </c>
      <c r="AP223" s="7" t="str">
        <f>IF(41&gt;=45,('Testes estatísticos'!$D$50+'Testes estatísticos'!$D$46)/2,"")</f>
        <v/>
      </c>
      <c r="AQ223" s="7" t="str">
        <f>IF(42&gt;=45,('Testes estatísticos'!$D$50+'Testes estatísticos'!$D$47)/2,"")</f>
        <v/>
      </c>
      <c r="AR223" s="7" t="str">
        <f>IF(43&gt;=45,('Testes estatísticos'!$D$50+'Testes estatísticos'!$D$48)/2,"")</f>
        <v/>
      </c>
      <c r="AS223" s="7" t="str">
        <f>IF(44&gt;=45,('Testes estatísticos'!$D$50+'Testes estatísticos'!$D$49)/2,"")</f>
        <v/>
      </c>
      <c r="AT223" s="7">
        <f>IF(45&gt;=45,('Testes estatísticos'!$D$50+'Testes estatísticos'!$D$50)/2,"")</f>
        <v>-0.65907899999999842</v>
      </c>
      <c r="AU223" s="7">
        <f>IF(46&gt;=45,('Testes estatísticos'!$D$50+'Testes estatísticos'!$D$51)/2,"")</f>
        <v>-3.6902749999999997</v>
      </c>
      <c r="AV223" s="7">
        <f>IF(47&gt;=45,('Testes estatísticos'!$D$50+'Testes estatísticos'!$D$52)/2,"")</f>
        <v>1.3798980000000007</v>
      </c>
      <c r="AW223" s="7">
        <f>IF(48&gt;=45,('Testes estatísticos'!$D$50+'Testes estatísticos'!$D$53)/2,"")</f>
        <v>-3.0561329999999991</v>
      </c>
      <c r="AX223" s="7">
        <f>IF(49&gt;=45,('Testes estatísticos'!$D$50+'Testes estatísticos'!$D$54)/2,"")</f>
        <v>-1.796342499999998</v>
      </c>
      <c r="AY223" s="7">
        <f>IF(50&gt;=45,('Testes estatísticos'!$D$50+'Testes estatísticos'!$D$55)/2,"")</f>
        <v>-0.17117799999999761</v>
      </c>
      <c r="AZ223" s="7">
        <f>IF(51&gt;=45,('Testes estatísticos'!$D$50+'Testes estatísticos'!$D$56)/2,"")</f>
        <v>-0.12670849999999945</v>
      </c>
      <c r="BA223" s="7">
        <f>IF(52&gt;=45,('Testes estatísticos'!$D$50+'Testes estatísticos'!$D$57)/2,"")</f>
        <v>-3.5349244999999989</v>
      </c>
      <c r="BB223" s="7">
        <f>IF(53&gt;=45,('Testes estatísticos'!$D$50+'Testes estatísticos'!$D$58)/2,"")</f>
        <v>-0.12616199999999722</v>
      </c>
      <c r="BC223" s="7">
        <f>IF(54&gt;=45,('Testes estatísticos'!$D$50+'Testes estatísticos'!$D$59)/2,"")</f>
        <v>-1.0458044999999991</v>
      </c>
      <c r="BD223" s="7">
        <f>IF(55&gt;=45,('Testes estatísticos'!$D$50+'Testes estatísticos'!$D$60)/2,"")</f>
        <v>2.0498665000000003</v>
      </c>
      <c r="BE223" s="7">
        <f>IF(56&gt;=45,('Testes estatísticos'!$D$50+'Testes estatísticos'!$D$61)/2,"")</f>
        <v>-0.58010199999999656</v>
      </c>
      <c r="BF223" s="7">
        <f>IF(57&gt;=45,('Testes estatísticos'!$D$50+'Testes estatísticos'!$D$62)/2,"")</f>
        <v>-3.9802920000000022</v>
      </c>
      <c r="BG223" s="7">
        <f>IF(58&gt;=45,('Testes estatísticos'!$D$50+'Testes estatísticos'!$D$63)/2,"")</f>
        <v>1.2856030000000018</v>
      </c>
      <c r="BH223" s="7">
        <f>IF(59&gt;=45,('Testes estatísticos'!$D$50+'Testes estatísticos'!$D$64)/2,"")</f>
        <v>-4.5580095000000007</v>
      </c>
      <c r="BI223" s="7">
        <f>IF(60&gt;=45,('Testes estatísticos'!$D$50+'Testes estatísticos'!$D$65)/2,"")</f>
        <v>-2.8104184999999973</v>
      </c>
      <c r="BJ223" s="7">
        <f>IF(61&gt;=45,('Testes estatísticos'!$D$50+'Testes estatísticos'!$D$66)/2,"")</f>
        <v>-0.17536349999999956</v>
      </c>
      <c r="BK223" s="7">
        <f>IF(62&gt;=45,('Testes estatísticos'!$D$50+'Testes estatísticos'!$D$67)/2,"")</f>
        <v>-0.68415849999999878</v>
      </c>
      <c r="BL223" s="7">
        <f>IF(63&gt;=45,('Testes estatísticos'!$D$50+'Testes estatísticos'!$D$68)/2,"")</f>
        <v>0.21515600000000035</v>
      </c>
      <c r="BM223" s="7">
        <f>IF(64&gt;=45,('Testes estatísticos'!$D$50+'Testes estatísticos'!$D$69)/2,"")</f>
        <v>0.26599799999999973</v>
      </c>
      <c r="BN223" s="7">
        <f>IF(65&gt;=45,('Testes estatísticos'!$D$50+'Testes estatísticos'!$D$70)/2,"")</f>
        <v>-1.8798084999999993</v>
      </c>
      <c r="BO223" s="7">
        <f>IF(66&gt;=45,('Testes estatísticos'!$D$50+'Testes estatísticos'!$D$71)/2,"")</f>
        <v>-0.98395599999999916</v>
      </c>
      <c r="BP223" s="7">
        <f>IF(67&gt;=45,('Testes estatísticos'!$D$50+'Testes estatísticos'!$D$72)/2,"")</f>
        <v>-3.8744149999999991</v>
      </c>
      <c r="BQ223" s="7">
        <f>IF(68&gt;=45,('Testes estatísticos'!$D$50+'Testes estatísticos'!$D$73)/2,"")</f>
        <v>0.78881799999999913</v>
      </c>
      <c r="BR223" s="7">
        <f>IF(69&gt;=45,('Testes estatísticos'!$D$50+'Testes estatísticos'!$D$74)/2,"")</f>
        <v>1.4209999999999994</v>
      </c>
      <c r="BS223" s="7">
        <f>IF(70&gt;=45,('Testes estatísticos'!$D$50+'Testes estatísticos'!$D$75)/2,"")</f>
        <v>0.41653549999999839</v>
      </c>
      <c r="BT223" s="7">
        <f>IF(71&gt;=45,('Testes estatísticos'!$D$50+'Testes estatísticos'!$D$76)/2,"")</f>
        <v>1.9909004999999986</v>
      </c>
      <c r="BU223" s="7">
        <f>IF(72&gt;=45,('Testes estatísticos'!$D$50+'Testes estatísticos'!$D$77)/2,"")</f>
        <v>-3.6087965000000004</v>
      </c>
      <c r="BV223" s="7">
        <f>IF(73&gt;=45,('Testes estatísticos'!$D$50+'Testes estatísticos'!$D$78)/2,"")</f>
        <v>-1.5353220000000007</v>
      </c>
      <c r="BW223" s="7">
        <f>IF(74&gt;=45,('Testes estatísticos'!$D$50+'Testes estatísticos'!$D$79)/2,"")</f>
        <v>-2.2186404999999993</v>
      </c>
      <c r="BX223" s="7">
        <f>IF(75&gt;=45,('Testes estatísticos'!$D$50+'Testes estatísticos'!$D$80)/2,"")</f>
        <v>-2.2404185000000005</v>
      </c>
      <c r="BY223" s="7">
        <f>IF(76&gt;=45,('Testes estatísticos'!$D$50+'Testes estatísticos'!$D$81)/2,"")</f>
        <v>1.8910395000000015</v>
      </c>
      <c r="BZ223" s="7">
        <f>IF(77&gt;=45,('Testes estatísticos'!$D$50+'Testes estatísticos'!$D$82)/2,"")</f>
        <v>-3.3705499999999979</v>
      </c>
      <c r="CA223" s="7">
        <f>IF(78&gt;=45,('Testes estatísticos'!$D$50+'Testes estatísticos'!$D$83)/2,"")</f>
        <v>-1.6102909999999966</v>
      </c>
      <c r="CB223" s="7">
        <f>IF(79&gt;=45,('Testes estatísticos'!$D$50+'Testes estatísticos'!$D$84)/2,"")</f>
        <v>-1.5585684999999998</v>
      </c>
      <c r="CC223" s="7">
        <f>IF(80&gt;=45,('Testes estatísticos'!$D$50+'Testes estatísticos'!$D$85)/2,"")</f>
        <v>-3.3655849999999994</v>
      </c>
      <c r="CD223" s="7">
        <f>IF(81&gt;=45,('Testes estatísticos'!$D$50+'Testes estatísticos'!$D$86)/2,"")</f>
        <v>-3.4157299999999999</v>
      </c>
      <c r="CE223" s="7">
        <f>IF(82&gt;=45,('Testes estatísticos'!$D$50+'Testes estatísticos'!$D$87)/2,"")</f>
        <v>-1.3379395000000009</v>
      </c>
      <c r="CF223" s="7">
        <f>IF(83&gt;=45,('Testes estatísticos'!$D$50+'Testes estatísticos'!$D$88)/2,"")</f>
        <v>-1.8667465000000014</v>
      </c>
      <c r="CG223" s="7">
        <f>IF(84&gt;=45,('Testes estatísticos'!$D$50+'Testes estatísticos'!$D$89)/2,"")</f>
        <v>-2.1986534999999989</v>
      </c>
      <c r="CH223" s="7">
        <f>IF(85&gt;=45,('Testes estatísticos'!$D$50+'Testes estatísticos'!$D$90)/2,"")</f>
        <v>-0.38310650000000024</v>
      </c>
      <c r="CI223" s="7">
        <f>IF(86&gt;=45,('Testes estatísticos'!$D$50+'Testes estatísticos'!$D$91)/2,"")</f>
        <v>-3.0732659999999967</v>
      </c>
      <c r="CJ223" s="7">
        <f>IF(87&gt;=45,('Testes estatísticos'!$D$50+'Testes estatísticos'!$D$92)/2,"")</f>
        <v>-1.8310594999999985</v>
      </c>
      <c r="CK223" s="7">
        <f>IF(88&gt;=45,('Testes estatísticos'!$D$50+'Testes estatísticos'!$D$93)/2,"")</f>
        <v>-1.5869759999999999</v>
      </c>
      <c r="CL223" s="7">
        <f>IF(89&gt;=45,('Testes estatísticos'!$D$50+'Testes estatísticos'!$D$94)/2,"")</f>
        <v>-2.1985680000000016</v>
      </c>
      <c r="CM223" s="7">
        <f>IF(90&gt;=45,('Testes estatísticos'!$D$50+'Testes estatísticos'!$D$95)/2,"")</f>
        <v>-4.5326999999999984</v>
      </c>
      <c r="CN223" s="7">
        <f>IF(91&gt;=45,('Testes estatísticos'!$D$50+'Testes estatísticos'!$D$96)/2,"")</f>
        <v>-1.994176999999997</v>
      </c>
      <c r="CO223" s="7">
        <f>IF(92&gt;=45,('Testes estatísticos'!$D$50+'Testes estatísticos'!$D$97)/2,"")</f>
        <v>-2.3406804999999977</v>
      </c>
      <c r="CP223" s="7">
        <f>IF(93&gt;=45,('Testes estatísticos'!$D$50+'Testes estatísticos'!$D$98)/2,"")</f>
        <v>-2.5454324999999969</v>
      </c>
      <c r="CQ223" s="7">
        <f>IF(94&gt;=45,('Testes estatísticos'!$D$50+'Testes estatísticos'!$D$99)/2,"")</f>
        <v>-0.3642745000000005</v>
      </c>
      <c r="CR223" s="7">
        <f>IF(95&gt;=45,('Testes estatísticos'!$D$50+'Testes estatísticos'!$D$100)/2,"")</f>
        <v>-2.2700674999999997</v>
      </c>
      <c r="CS223" s="7">
        <f>IF(96&gt;=45,('Testes estatísticos'!$D$50+'Testes estatísticos'!$D$101)/2,"")</f>
        <v>-2.2260805000000019</v>
      </c>
      <c r="CT223" s="7">
        <f>IF(97&gt;=45,('Testes estatísticos'!$D$50+'Testes estatísticos'!$D$102)/2,"")</f>
        <v>-1.993030000000001</v>
      </c>
      <c r="CU223" s="7">
        <f>IF(98&gt;=45,('Testes estatísticos'!$D$50+'Testes estatísticos'!$D$103)/2,"")</f>
        <v>-1.9357039999999976</v>
      </c>
      <c r="CV223" s="7">
        <f>IF(99&gt;=45,('Testes estatísticos'!$D$50+'Testes estatísticos'!$D$104)/2,"")</f>
        <v>-2.3705299999999987</v>
      </c>
      <c r="CW223" s="7">
        <f>IF(100&gt;=45,('Testes estatísticos'!$D$50+'Testes estatísticos'!$D$105)/2,"")</f>
        <v>-2.4699959999999983</v>
      </c>
      <c r="CX223" s="7">
        <f>IF(101&gt;=45,('Testes estatísticos'!$D$50+'Testes estatísticos'!$D$106)/2,"")</f>
        <v>-1.9470694999999978</v>
      </c>
      <c r="CY223" s="7">
        <f>IF(102&gt;=45,('Testes estatísticos'!$D$50+'Testes estatísticos'!$D$107)/2,"")</f>
        <v>-2.002734499999999</v>
      </c>
      <c r="CZ223" s="7">
        <f>IF(103&gt;=45,('Testes estatísticos'!$D$50+'Testes estatísticos'!$D$108)/2,"")</f>
        <v>-2.5269009999999987</v>
      </c>
      <c r="DA223" s="7">
        <f>IF(104&gt;=45,('Testes estatísticos'!$D$50+'Testes estatísticos'!$D$109)/2,"")</f>
        <v>-2.2642669999999967</v>
      </c>
      <c r="DB223" s="7">
        <f>IF(105&gt;=45,('Testes estatísticos'!$D$50+'Testes estatísticos'!$D$110)/2,"")</f>
        <v>-2.2299359999999986</v>
      </c>
      <c r="DC223" s="7">
        <f>IF(106&gt;=45,('Testes estatísticos'!$D$50+'Testes estatísticos'!$D$111)/2,"")</f>
        <v>-1.4870149999999995</v>
      </c>
      <c r="DD223" s="7">
        <f>IF(107&gt;=45,('Testes estatísticos'!$D$50+'Testes estatísticos'!$D$112)/2,"")</f>
        <v>2.0061560000000007</v>
      </c>
      <c r="DE223" s="7">
        <f>IF(108&gt;=45,('Testes estatísticos'!$D$50+'Testes estatísticos'!$D$113)/2,"")</f>
        <v>-1.4164794999999977</v>
      </c>
      <c r="DF223" s="7">
        <f>IF(109&gt;=45,('Testes estatísticos'!$D$50+'Testes estatísticos'!$D$114)/2,"")</f>
        <v>-1.4527364999999968</v>
      </c>
      <c r="DG223" s="7">
        <f>IF(110&gt;=45,('Testes estatísticos'!$D$50+'Testes estatísticos'!$D$115)/2,"")</f>
        <v>-6.9998760000000004</v>
      </c>
      <c r="DH223" s="7">
        <f>IF(111&gt;=45,('Testes estatísticos'!$D$50+'Testes estatísticos'!$D$116)/2,"")</f>
        <v>-1.3190454999999979</v>
      </c>
      <c r="DI223" s="7">
        <f>IF(112&gt;=45,('Testes estatísticos'!$D$50+'Testes estatísticos'!$D$117)/2,"")</f>
        <v>4.1093945000000005</v>
      </c>
      <c r="DJ223" s="7">
        <f>IF(113&gt;=45,('Testes estatísticos'!$D$50+'Testes estatísticos'!$D$118)/2,"")</f>
        <v>-1.3471624999999996</v>
      </c>
      <c r="DK223" s="7">
        <f>IF(114&gt;=45,('Testes estatísticos'!$D$50+'Testes estatísticos'!$D$119)/2,"")</f>
        <v>-1.4489124999999987</v>
      </c>
      <c r="DL223" s="7">
        <f>IF(115&gt;=45,('Testes estatísticos'!$D$50+'Testes estatísticos'!$D$120)/2,"")</f>
        <v>-1.402434999999997</v>
      </c>
      <c r="DM223" s="7">
        <f>IF(116&gt;=45,('Testes estatísticos'!$D$50+'Testes estatísticos'!$D$121)/2,"")</f>
        <v>-1.3938324999999985</v>
      </c>
      <c r="DN223" s="7">
        <f>IF(117&gt;=45,('Testes estatísticos'!$D$50+'Testes estatísticos'!$D$122)/2,"")</f>
        <v>-1.3707644999999999</v>
      </c>
      <c r="DO223" s="7">
        <f>IF(118&gt;=45,('Testes estatísticos'!$D$50+'Testes estatísticos'!$D$123)/2,"")</f>
        <v>-1.3208540000000006</v>
      </c>
      <c r="DP223" s="7">
        <f>IF(119&gt;=45,('Testes estatísticos'!$D$50+'Testes estatísticos'!$D$124)/2,"")</f>
        <v>-1.3420655000000004</v>
      </c>
      <c r="DQ223" s="7">
        <f>IF(120&gt;=45,('Testes estatísticos'!$D$50+'Testes estatísticos'!$D$125)/2,"")</f>
        <v>1.7095490000000026</v>
      </c>
      <c r="DR223" s="7">
        <f>IF(121&gt;=45,('Testes estatísticos'!$D$50+'Testes estatísticos'!$D$126)/2,"")</f>
        <v>-1.0794674999999998</v>
      </c>
      <c r="DS223" s="7">
        <f>IF(122&gt;=45,('Testes estatísticos'!$D$50+'Testes estatísticos'!$D$127)/2,"")</f>
        <v>-2.1448759999999965</v>
      </c>
      <c r="DT223" s="7">
        <f>IF(123&gt;=45,('Testes estatísticos'!$D$50+'Testes estatísticos'!$D$128)/2,"")</f>
        <v>3.9239934999999981</v>
      </c>
      <c r="DU223" s="7">
        <f>IF(124&gt;=45,('Testes estatísticos'!$D$50+'Testes estatísticos'!$D$129)/2,"")</f>
        <v>-0.97177800000000047</v>
      </c>
      <c r="DV223" s="7">
        <f>IF(125&gt;=45,('Testes estatísticos'!$D$50+'Testes estatísticos'!$D$130)/2,"")</f>
        <v>0.1865294999999989</v>
      </c>
      <c r="DW223" s="7">
        <f>IF(126&gt;=45,('Testes estatísticos'!$D$50+'Testes estatísticos'!$D$131)/2,"")</f>
        <v>-2.2169464999999988</v>
      </c>
      <c r="DX223" s="7">
        <f>IF(127&gt;=45,('Testes estatísticos'!$D$50+'Testes estatísticos'!$D$132)/2,"")</f>
        <v>-4.2731379999999994</v>
      </c>
      <c r="DY223" s="7">
        <f>IF(128&gt;=45,('Testes estatísticos'!$D$50+'Testes estatísticos'!$D$133)/2,"")</f>
        <v>-4.6142274999999984</v>
      </c>
      <c r="DZ223" s="7">
        <f>IF(129&gt;=45,('Testes estatísticos'!$D$50+'Testes estatísticos'!$D$134)/2,"")</f>
        <v>-8.0380174999999987</v>
      </c>
      <c r="EA223" s="7">
        <f>IF(130&gt;=45,('Testes estatísticos'!$D$50+'Testes estatísticos'!$D$135)/2,"")</f>
        <v>-2.2762474999999966</v>
      </c>
      <c r="EB223" s="7">
        <f>IF(131&gt;=45,('Testes estatísticos'!$D$50+'Testes estatísticos'!$D$136)/2,"")</f>
        <v>-2.1883745000000019</v>
      </c>
      <c r="EC223" s="7">
        <f>IF(132&gt;=45,('Testes estatísticos'!$D$50+'Testes estatísticos'!$D$137)/2,"")</f>
        <v>-3.6751110000000011</v>
      </c>
      <c r="ED223" s="7">
        <f>IF(133&gt;=45,('Testes estatísticos'!$D$50+'Testes estatísticos'!$D$138)/2,"")</f>
        <v>-1.4861734999999996</v>
      </c>
      <c r="EE223" s="7">
        <f>IF(134&gt;=45,('Testes estatísticos'!$D$50+'Testes estatísticos'!$D$139)/2,"")</f>
        <v>-3.7833640000000024</v>
      </c>
      <c r="EF223" s="7">
        <f>IF(135&gt;=45,('Testes estatísticos'!$D$50+'Testes estatísticos'!$D$140)/2,"")</f>
        <v>-0.56893149999999792</v>
      </c>
      <c r="EG223" s="7">
        <f>IF(136&gt;=45,('Testes estatísticos'!$D$50+'Testes estatísticos'!$D$141)/2,"")</f>
        <v>-2.2624215000000021</v>
      </c>
      <c r="EH223" s="7">
        <f>IF(137&gt;=45,('Testes estatísticos'!$D$50+'Testes estatísticos'!$D$142)/2,"")</f>
        <v>-0.55768150000000105</v>
      </c>
      <c r="EI223" s="7">
        <f>IF(138&gt;=45,('Testes estatísticos'!$D$50+'Testes estatísticos'!$D$143)/2,"")</f>
        <v>-2.2226969999999966</v>
      </c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</row>
    <row r="224" spans="2:151" x14ac:dyDescent="0.3">
      <c r="B224" s="7" t="str">
        <f>IF(1&gt;=46,('Testes estatísticos'!$D$51+'Testes estatísticos'!$D$6)/2,"")</f>
        <v/>
      </c>
      <c r="C224" s="7" t="str">
        <f>IF(2&gt;=46,('Testes estatísticos'!$D$51+'Testes estatísticos'!$D$7)/2,"")</f>
        <v/>
      </c>
      <c r="D224" s="7" t="str">
        <f>IF(3&gt;=46,('Testes estatísticos'!$D$51+'Testes estatísticos'!$D$8)/2,"")</f>
        <v/>
      </c>
      <c r="E224" s="7" t="str">
        <f>IF(4&gt;=46,('Testes estatísticos'!$D$51+'Testes estatísticos'!$D$9)/2,"")</f>
        <v/>
      </c>
      <c r="F224" s="7" t="str">
        <f>IF(5&gt;=46,('Testes estatísticos'!$D$51+'Testes estatísticos'!$D$10)/2,"")</f>
        <v/>
      </c>
      <c r="G224" s="7" t="str">
        <f>IF(6&gt;=46,('Testes estatísticos'!$D$51+'Testes estatísticos'!$D$11)/2,"")</f>
        <v/>
      </c>
      <c r="H224" s="7" t="str">
        <f>IF(7&gt;=46,('Testes estatísticos'!$D$51+'Testes estatísticos'!$D$12)/2,"")</f>
        <v/>
      </c>
      <c r="I224" s="7" t="str">
        <f>IF(8&gt;=46,('Testes estatísticos'!$D$51+'Testes estatísticos'!$D$13)/2,"")</f>
        <v/>
      </c>
      <c r="J224" s="7" t="str">
        <f>IF(9&gt;=46,('Testes estatísticos'!$D$51+'Testes estatísticos'!$D$14)/2,"")</f>
        <v/>
      </c>
      <c r="K224" s="7" t="str">
        <f>IF(10&gt;=46,('Testes estatísticos'!$D$51+'Testes estatísticos'!$D$15)/2,"")</f>
        <v/>
      </c>
      <c r="L224" s="7" t="str">
        <f>IF(11&gt;=46,('Testes estatísticos'!$D$51+'Testes estatísticos'!$D$16)/2,"")</f>
        <v/>
      </c>
      <c r="M224" s="7" t="str">
        <f>IF(12&gt;=46,('Testes estatísticos'!$D$51+'Testes estatísticos'!$D$17)/2,"")</f>
        <v/>
      </c>
      <c r="N224" s="7" t="str">
        <f>IF(13&gt;=46,('Testes estatísticos'!$D$51+'Testes estatísticos'!$D$18)/2,"")</f>
        <v/>
      </c>
      <c r="O224" s="7" t="str">
        <f>IF(14&gt;=46,('Testes estatísticos'!$D$51+'Testes estatísticos'!$D$19)/2,"")</f>
        <v/>
      </c>
      <c r="P224" s="7" t="str">
        <f>IF(15&gt;=46,('Testes estatísticos'!$D$51+'Testes estatísticos'!$D$20)/2,"")</f>
        <v/>
      </c>
      <c r="Q224" s="7" t="str">
        <f>IF(16&gt;=46,('Testes estatísticos'!$D$51+'Testes estatísticos'!$D$21)/2,"")</f>
        <v/>
      </c>
      <c r="R224" s="7" t="str">
        <f>IF(17&gt;=46,('Testes estatísticos'!$D$51+'Testes estatísticos'!$D$22)/2,"")</f>
        <v/>
      </c>
      <c r="S224" s="7" t="str">
        <f>IF(18&gt;=46,('Testes estatísticos'!$D$51+'Testes estatísticos'!$D$23)/2,"")</f>
        <v/>
      </c>
      <c r="T224" s="7" t="str">
        <f>IF(19&gt;=46,('Testes estatísticos'!$D$51+'Testes estatísticos'!$D$24)/2,"")</f>
        <v/>
      </c>
      <c r="U224" s="7" t="str">
        <f>IF(20&gt;=46,('Testes estatísticos'!$D$51+'Testes estatísticos'!$D$25)/2,"")</f>
        <v/>
      </c>
      <c r="V224" s="7" t="str">
        <f>IF(21&gt;=46,('Testes estatísticos'!$D$51+'Testes estatísticos'!$D$26)/2,"")</f>
        <v/>
      </c>
      <c r="W224" s="7" t="str">
        <f>IF(22&gt;=46,('Testes estatísticos'!$D$51+'Testes estatísticos'!$D$27)/2,"")</f>
        <v/>
      </c>
      <c r="X224" s="7" t="str">
        <f>IF(23&gt;=46,('Testes estatísticos'!$D$51+'Testes estatísticos'!$D$28)/2,"")</f>
        <v/>
      </c>
      <c r="Y224" s="7" t="str">
        <f>IF(24&gt;=46,('Testes estatísticos'!$D$51+'Testes estatísticos'!$D$29)/2,"")</f>
        <v/>
      </c>
      <c r="Z224" s="7" t="str">
        <f>IF(25&gt;=46,('Testes estatísticos'!$D$51+'Testes estatísticos'!$D$30)/2,"")</f>
        <v/>
      </c>
      <c r="AA224" s="7" t="str">
        <f>IF(26&gt;=46,('Testes estatísticos'!$D$51+'Testes estatísticos'!$D$31)/2,"")</f>
        <v/>
      </c>
      <c r="AB224" s="7" t="str">
        <f>IF(27&gt;=46,('Testes estatísticos'!$D$51+'Testes estatísticos'!$D$32)/2,"")</f>
        <v/>
      </c>
      <c r="AC224" s="7" t="str">
        <f>IF(28&gt;=46,('Testes estatísticos'!$D$51+'Testes estatísticos'!$D$33)/2,"")</f>
        <v/>
      </c>
      <c r="AD224" s="7" t="str">
        <f>IF(29&gt;=46,('Testes estatísticos'!$D$51+'Testes estatísticos'!$D$34)/2,"")</f>
        <v/>
      </c>
      <c r="AE224" s="7" t="str">
        <f>IF(30&gt;=46,('Testes estatísticos'!$D$51+'Testes estatísticos'!$D$35)/2,"")</f>
        <v/>
      </c>
      <c r="AF224" s="7" t="str">
        <f>IF(31&gt;=46,('Testes estatísticos'!$D$51+'Testes estatísticos'!$D$36)/2,"")</f>
        <v/>
      </c>
      <c r="AG224" s="7" t="str">
        <f>IF(32&gt;=46,('Testes estatísticos'!$D$51+'Testes estatísticos'!$D$37)/2,"")</f>
        <v/>
      </c>
      <c r="AH224" s="7" t="str">
        <f>IF(33&gt;=46,('Testes estatísticos'!$D$51+'Testes estatísticos'!$D$38)/2,"")</f>
        <v/>
      </c>
      <c r="AI224" s="7" t="str">
        <f>IF(34&gt;=46,('Testes estatísticos'!$D$51+'Testes estatísticos'!$D$39)/2,"")</f>
        <v/>
      </c>
      <c r="AJ224" s="7" t="str">
        <f>IF(35&gt;=46,('Testes estatísticos'!$D$51+'Testes estatísticos'!$D$40)/2,"")</f>
        <v/>
      </c>
      <c r="AK224" s="7" t="str">
        <f>IF(36&gt;=46,('Testes estatísticos'!$D$51+'Testes estatísticos'!$D$41)/2,"")</f>
        <v/>
      </c>
      <c r="AL224" s="7" t="str">
        <f>IF(37&gt;=46,('Testes estatísticos'!$D$51+'Testes estatísticos'!$D$42)/2,"")</f>
        <v/>
      </c>
      <c r="AM224" s="7" t="str">
        <f>IF(38&gt;=46,('Testes estatísticos'!$D$51+'Testes estatísticos'!$D$43)/2,"")</f>
        <v/>
      </c>
      <c r="AN224" s="7" t="str">
        <f>IF(39&gt;=46,('Testes estatísticos'!$D$51+'Testes estatísticos'!$D$44)/2,"")</f>
        <v/>
      </c>
      <c r="AO224" s="7" t="str">
        <f>IF(40&gt;=46,('Testes estatísticos'!$D$51+'Testes estatísticos'!$D$45)/2,"")</f>
        <v/>
      </c>
      <c r="AP224" s="7" t="str">
        <f>IF(41&gt;=46,('Testes estatísticos'!$D$51+'Testes estatísticos'!$D$46)/2,"")</f>
        <v/>
      </c>
      <c r="AQ224" s="7" t="str">
        <f>IF(42&gt;=46,('Testes estatísticos'!$D$51+'Testes estatísticos'!$D$47)/2,"")</f>
        <v/>
      </c>
      <c r="AR224" s="7" t="str">
        <f>IF(43&gt;=46,('Testes estatísticos'!$D$51+'Testes estatísticos'!$D$48)/2,"")</f>
        <v/>
      </c>
      <c r="AS224" s="7" t="str">
        <f>IF(44&gt;=46,('Testes estatísticos'!$D$51+'Testes estatísticos'!$D$49)/2,"")</f>
        <v/>
      </c>
      <c r="AT224" s="7" t="str">
        <f>IF(45&gt;=46,('Testes estatísticos'!$D$51+'Testes estatísticos'!$D$50)/2,"")</f>
        <v/>
      </c>
      <c r="AU224" s="7">
        <f>IF(46&gt;=46,('Testes estatísticos'!$D$51+'Testes estatísticos'!$D$51)/2,"")</f>
        <v>-6.7214710000000011</v>
      </c>
      <c r="AV224" s="7">
        <f>IF(47&gt;=46,('Testes estatísticos'!$D$51+'Testes estatísticos'!$D$52)/2,"")</f>
        <v>-1.6512980000000006</v>
      </c>
      <c r="AW224" s="7">
        <f>IF(48&gt;=46,('Testes estatísticos'!$D$51+'Testes estatísticos'!$D$53)/2,"")</f>
        <v>-6.0873290000000004</v>
      </c>
      <c r="AX224" s="7">
        <f>IF(49&gt;=46,('Testes estatísticos'!$D$51+'Testes estatísticos'!$D$54)/2,"")</f>
        <v>-4.8275384999999993</v>
      </c>
      <c r="AY224" s="7">
        <f>IF(50&gt;=46,('Testes estatísticos'!$D$51+'Testes estatísticos'!$D$55)/2,"")</f>
        <v>-3.2023739999999989</v>
      </c>
      <c r="AZ224" s="7">
        <f>IF(51&gt;=46,('Testes estatísticos'!$D$51+'Testes estatísticos'!$D$56)/2,"")</f>
        <v>-3.1579045000000008</v>
      </c>
      <c r="BA224" s="7">
        <f>IF(52&gt;=46,('Testes estatísticos'!$D$51+'Testes estatísticos'!$D$57)/2,"")</f>
        <v>-6.5661205000000002</v>
      </c>
      <c r="BB224" s="7">
        <f>IF(53&gt;=46,('Testes estatísticos'!$D$51+'Testes estatísticos'!$D$58)/2,"")</f>
        <v>-3.1573579999999986</v>
      </c>
      <c r="BC224" s="7">
        <f>IF(54&gt;=46,('Testes estatísticos'!$D$51+'Testes estatísticos'!$D$59)/2,"")</f>
        <v>-4.0770005000000005</v>
      </c>
      <c r="BD224" s="7">
        <f>IF(55&gt;=46,('Testes estatísticos'!$D$51+'Testes estatísticos'!$D$60)/2,"")</f>
        <v>-0.98132950000000108</v>
      </c>
      <c r="BE224" s="7">
        <f>IF(56&gt;=46,('Testes estatísticos'!$D$51+'Testes estatísticos'!$D$61)/2,"")</f>
        <v>-3.6112979999999979</v>
      </c>
      <c r="BF224" s="7">
        <f>IF(57&gt;=46,('Testes estatísticos'!$D$51+'Testes estatísticos'!$D$62)/2,"")</f>
        <v>-7.0114880000000035</v>
      </c>
      <c r="BG224" s="7">
        <f>IF(58&gt;=46,('Testes estatísticos'!$D$51+'Testes estatísticos'!$D$63)/2,"")</f>
        <v>-1.7455929999999995</v>
      </c>
      <c r="BH224" s="7">
        <f>IF(59&gt;=46,('Testes estatísticos'!$D$51+'Testes estatísticos'!$D$64)/2,"")</f>
        <v>-7.589205500000002</v>
      </c>
      <c r="BI224" s="7">
        <f>IF(60&gt;=46,('Testes estatísticos'!$D$51+'Testes estatísticos'!$D$65)/2,"")</f>
        <v>-5.8416144999999986</v>
      </c>
      <c r="BJ224" s="7">
        <f>IF(61&gt;=46,('Testes estatísticos'!$D$51+'Testes estatísticos'!$D$66)/2,"")</f>
        <v>-3.2065595000000009</v>
      </c>
      <c r="BK224" s="7">
        <f>IF(62&gt;=46,('Testes estatísticos'!$D$51+'Testes estatísticos'!$D$67)/2,"")</f>
        <v>-3.7153545000000001</v>
      </c>
      <c r="BL224" s="7">
        <f>IF(63&gt;=46,('Testes estatísticos'!$D$51+'Testes estatísticos'!$D$68)/2,"")</f>
        <v>-2.816040000000001</v>
      </c>
      <c r="BM224" s="7">
        <f>IF(64&gt;=46,('Testes estatísticos'!$D$51+'Testes estatísticos'!$D$69)/2,"")</f>
        <v>-2.7651980000000016</v>
      </c>
      <c r="BN224" s="7">
        <f>IF(65&gt;=46,('Testes estatísticos'!$D$51+'Testes estatísticos'!$D$70)/2,"")</f>
        <v>-4.9110045000000007</v>
      </c>
      <c r="BO224" s="7">
        <f>IF(66&gt;=46,('Testes estatísticos'!$D$51+'Testes estatísticos'!$D$71)/2,"")</f>
        <v>-4.0151520000000005</v>
      </c>
      <c r="BP224" s="7">
        <f>IF(67&gt;=46,('Testes estatísticos'!$D$51+'Testes estatísticos'!$D$72)/2,"")</f>
        <v>-6.9056110000000004</v>
      </c>
      <c r="BQ224" s="7">
        <f>IF(68&gt;=46,('Testes estatísticos'!$D$51+'Testes estatísticos'!$D$73)/2,"")</f>
        <v>-2.2423780000000022</v>
      </c>
      <c r="BR224" s="7">
        <f>IF(69&gt;=46,('Testes estatísticos'!$D$51+'Testes estatísticos'!$D$74)/2,"")</f>
        <v>-1.610196000000002</v>
      </c>
      <c r="BS224" s="7">
        <f>IF(70&gt;=46,('Testes estatísticos'!$D$51+'Testes estatísticos'!$D$75)/2,"")</f>
        <v>-2.6146605000000029</v>
      </c>
      <c r="BT224" s="7">
        <f>IF(71&gt;=46,('Testes estatísticos'!$D$51+'Testes estatísticos'!$D$76)/2,"")</f>
        <v>-1.0402955000000027</v>
      </c>
      <c r="BU224" s="7">
        <f>IF(72&gt;=46,('Testes estatísticos'!$D$51+'Testes estatísticos'!$D$77)/2,"")</f>
        <v>-6.6399925000000017</v>
      </c>
      <c r="BV224" s="7">
        <f>IF(73&gt;=46,('Testes estatísticos'!$D$51+'Testes estatísticos'!$D$78)/2,"")</f>
        <v>-4.5665180000000021</v>
      </c>
      <c r="BW224" s="7">
        <f>IF(74&gt;=46,('Testes estatísticos'!$D$51+'Testes estatísticos'!$D$79)/2,"")</f>
        <v>-5.2498365000000007</v>
      </c>
      <c r="BX224" s="7">
        <f>IF(75&gt;=46,('Testes estatísticos'!$D$51+'Testes estatísticos'!$D$80)/2,"")</f>
        <v>-5.2716145000000019</v>
      </c>
      <c r="BY224" s="7">
        <f>IF(76&gt;=46,('Testes estatísticos'!$D$51+'Testes estatísticos'!$D$81)/2,"")</f>
        <v>-1.1401564999999998</v>
      </c>
      <c r="BZ224" s="7">
        <f>IF(77&gt;=46,('Testes estatísticos'!$D$51+'Testes estatísticos'!$D$82)/2,"")</f>
        <v>-6.4017459999999993</v>
      </c>
      <c r="CA224" s="7">
        <f>IF(78&gt;=46,('Testes estatísticos'!$D$51+'Testes estatísticos'!$D$83)/2,"")</f>
        <v>-4.6414869999999979</v>
      </c>
      <c r="CB224" s="7">
        <f>IF(79&gt;=46,('Testes estatísticos'!$D$51+'Testes estatísticos'!$D$84)/2,"")</f>
        <v>-4.5897645000000011</v>
      </c>
      <c r="CC224" s="7">
        <f>IF(80&gt;=46,('Testes estatísticos'!$D$51+'Testes estatísticos'!$D$85)/2,"")</f>
        <v>-6.3967810000000007</v>
      </c>
      <c r="CD224" s="7">
        <f>IF(81&gt;=46,('Testes estatísticos'!$D$51+'Testes estatísticos'!$D$86)/2,"")</f>
        <v>-6.4469260000000013</v>
      </c>
      <c r="CE224" s="7">
        <f>IF(82&gt;=46,('Testes estatísticos'!$D$51+'Testes estatísticos'!$D$87)/2,"")</f>
        <v>-4.3691355000000023</v>
      </c>
      <c r="CF224" s="7">
        <f>IF(83&gt;=46,('Testes estatísticos'!$D$51+'Testes estatísticos'!$D$88)/2,"")</f>
        <v>-4.8979425000000028</v>
      </c>
      <c r="CG224" s="7">
        <f>IF(84&gt;=46,('Testes estatísticos'!$D$51+'Testes estatísticos'!$D$89)/2,"")</f>
        <v>-5.2298495000000003</v>
      </c>
      <c r="CH224" s="7">
        <f>IF(85&gt;=46,('Testes estatísticos'!$D$51+'Testes estatísticos'!$D$90)/2,"")</f>
        <v>-3.4143025000000016</v>
      </c>
      <c r="CI224" s="7">
        <f>IF(86&gt;=46,('Testes estatísticos'!$D$51+'Testes estatísticos'!$D$91)/2,"")</f>
        <v>-6.1044619999999981</v>
      </c>
      <c r="CJ224" s="7">
        <f>IF(87&gt;=46,('Testes estatísticos'!$D$51+'Testes estatísticos'!$D$92)/2,"")</f>
        <v>-4.8622554999999998</v>
      </c>
      <c r="CK224" s="7">
        <f>IF(88&gt;=46,('Testes estatísticos'!$D$51+'Testes estatísticos'!$D$93)/2,"")</f>
        <v>-4.6181720000000013</v>
      </c>
      <c r="CL224" s="7">
        <f>IF(89&gt;=46,('Testes estatísticos'!$D$51+'Testes estatísticos'!$D$94)/2,"")</f>
        <v>-5.229764000000003</v>
      </c>
      <c r="CM224" s="7">
        <f>IF(90&gt;=46,('Testes estatísticos'!$D$51+'Testes estatísticos'!$D$95)/2,"")</f>
        <v>-7.5638959999999997</v>
      </c>
      <c r="CN224" s="7">
        <f>IF(91&gt;=46,('Testes estatísticos'!$D$51+'Testes estatísticos'!$D$96)/2,"")</f>
        <v>-5.0253729999999983</v>
      </c>
      <c r="CO224" s="7">
        <f>IF(92&gt;=46,('Testes estatísticos'!$D$51+'Testes estatísticos'!$D$97)/2,"")</f>
        <v>-5.3718764999999991</v>
      </c>
      <c r="CP224" s="7">
        <f>IF(93&gt;=46,('Testes estatísticos'!$D$51+'Testes estatísticos'!$D$98)/2,"")</f>
        <v>-5.5766284999999982</v>
      </c>
      <c r="CQ224" s="7">
        <f>IF(94&gt;=46,('Testes estatísticos'!$D$51+'Testes estatísticos'!$D$99)/2,"")</f>
        <v>-3.3954705000000018</v>
      </c>
      <c r="CR224" s="7">
        <f>IF(95&gt;=46,('Testes estatísticos'!$D$51+'Testes estatísticos'!$D$100)/2,"")</f>
        <v>-5.301263500000001</v>
      </c>
      <c r="CS224" s="7">
        <f>IF(96&gt;=46,('Testes estatísticos'!$D$51+'Testes estatísticos'!$D$101)/2,"")</f>
        <v>-5.2572765000000032</v>
      </c>
      <c r="CT224" s="7">
        <f>IF(97&gt;=46,('Testes estatísticos'!$D$51+'Testes estatísticos'!$D$102)/2,"")</f>
        <v>-5.0242260000000023</v>
      </c>
      <c r="CU224" s="7">
        <f>IF(98&gt;=46,('Testes estatísticos'!$D$51+'Testes estatísticos'!$D$103)/2,"")</f>
        <v>-4.966899999999999</v>
      </c>
      <c r="CV224" s="7">
        <f>IF(99&gt;=46,('Testes estatísticos'!$D$51+'Testes estatísticos'!$D$104)/2,"")</f>
        <v>-5.401726</v>
      </c>
      <c r="CW224" s="7">
        <f>IF(100&gt;=46,('Testes estatísticos'!$D$51+'Testes estatísticos'!$D$105)/2,"")</f>
        <v>-5.5011919999999996</v>
      </c>
      <c r="CX224" s="7">
        <f>IF(101&gt;=46,('Testes estatísticos'!$D$51+'Testes estatísticos'!$D$106)/2,"")</f>
        <v>-4.9782654999999991</v>
      </c>
      <c r="CY224" s="7">
        <f>IF(102&gt;=46,('Testes estatísticos'!$D$51+'Testes estatísticos'!$D$107)/2,"")</f>
        <v>-5.0339305000000003</v>
      </c>
      <c r="CZ224" s="7">
        <f>IF(103&gt;=46,('Testes estatísticos'!$D$51+'Testes estatísticos'!$D$108)/2,"")</f>
        <v>-5.5580970000000001</v>
      </c>
      <c r="DA224" s="7">
        <f>IF(104&gt;=46,('Testes estatísticos'!$D$51+'Testes estatísticos'!$D$109)/2,"")</f>
        <v>-5.295462999999998</v>
      </c>
      <c r="DB224" s="7">
        <f>IF(105&gt;=46,('Testes estatísticos'!$D$51+'Testes estatísticos'!$D$110)/2,"")</f>
        <v>-5.2611319999999999</v>
      </c>
      <c r="DC224" s="7">
        <f>IF(106&gt;=46,('Testes estatísticos'!$D$51+'Testes estatísticos'!$D$111)/2,"")</f>
        <v>-4.5182110000000009</v>
      </c>
      <c r="DD224" s="7">
        <f>IF(107&gt;=46,('Testes estatísticos'!$D$51+'Testes estatísticos'!$D$112)/2,"")</f>
        <v>-1.0250400000000006</v>
      </c>
      <c r="DE224" s="7">
        <f>IF(108&gt;=46,('Testes estatísticos'!$D$51+'Testes estatísticos'!$D$113)/2,"")</f>
        <v>-4.447675499999999</v>
      </c>
      <c r="DF224" s="7">
        <f>IF(109&gt;=46,('Testes estatísticos'!$D$51+'Testes estatísticos'!$D$114)/2,"")</f>
        <v>-4.4839324999999981</v>
      </c>
      <c r="DG224" s="7">
        <f>IF(110&gt;=46,('Testes estatísticos'!$D$51+'Testes estatísticos'!$D$115)/2,"")</f>
        <v>-10.031072000000002</v>
      </c>
      <c r="DH224" s="7">
        <f>IF(111&gt;=46,('Testes estatísticos'!$D$51+'Testes estatísticos'!$D$116)/2,"")</f>
        <v>-4.3502414999999992</v>
      </c>
      <c r="DI224" s="7">
        <f>IF(112&gt;=46,('Testes estatísticos'!$D$51+'Testes estatísticos'!$D$117)/2,"")</f>
        <v>1.0781984999999992</v>
      </c>
      <c r="DJ224" s="7">
        <f>IF(113&gt;=46,('Testes estatísticos'!$D$51+'Testes estatísticos'!$D$118)/2,"")</f>
        <v>-4.3783585000000009</v>
      </c>
      <c r="DK224" s="7">
        <f>IF(114&gt;=46,('Testes estatísticos'!$D$51+'Testes estatísticos'!$D$119)/2,"")</f>
        <v>-4.4801085</v>
      </c>
      <c r="DL224" s="7">
        <f>IF(115&gt;=46,('Testes estatísticos'!$D$51+'Testes estatísticos'!$D$120)/2,"")</f>
        <v>-4.4336309999999983</v>
      </c>
      <c r="DM224" s="7">
        <f>IF(116&gt;=46,('Testes estatísticos'!$D$51+'Testes estatísticos'!$D$121)/2,"")</f>
        <v>-4.4250284999999998</v>
      </c>
      <c r="DN224" s="7">
        <f>IF(117&gt;=46,('Testes estatísticos'!$D$51+'Testes estatísticos'!$D$122)/2,"")</f>
        <v>-4.4019605000000013</v>
      </c>
      <c r="DO224" s="7">
        <f>IF(118&gt;=46,('Testes estatísticos'!$D$51+'Testes estatísticos'!$D$123)/2,"")</f>
        <v>-4.352050000000002</v>
      </c>
      <c r="DP224" s="7">
        <f>IF(119&gt;=46,('Testes estatísticos'!$D$51+'Testes estatísticos'!$D$124)/2,"")</f>
        <v>-4.3732615000000017</v>
      </c>
      <c r="DQ224" s="7">
        <f>IF(120&gt;=46,('Testes estatísticos'!$D$51+'Testes estatísticos'!$D$125)/2,"")</f>
        <v>-1.3216469999999987</v>
      </c>
      <c r="DR224" s="7">
        <f>IF(121&gt;=46,('Testes estatísticos'!$D$51+'Testes estatísticos'!$D$126)/2,"")</f>
        <v>-4.1106635000000011</v>
      </c>
      <c r="DS224" s="7">
        <f>IF(122&gt;=46,('Testes estatísticos'!$D$51+'Testes estatísticos'!$D$127)/2,"")</f>
        <v>-5.1760719999999978</v>
      </c>
      <c r="DT224" s="7">
        <f>IF(123&gt;=46,('Testes estatísticos'!$D$51+'Testes estatísticos'!$D$128)/2,"")</f>
        <v>0.8927974999999968</v>
      </c>
      <c r="DU224" s="7">
        <f>IF(124&gt;=46,('Testes estatísticos'!$D$51+'Testes estatísticos'!$D$129)/2,"")</f>
        <v>-4.0029740000000018</v>
      </c>
      <c r="DV224" s="7">
        <f>IF(125&gt;=46,('Testes estatísticos'!$D$51+'Testes estatísticos'!$D$130)/2,"")</f>
        <v>-2.8446665000000024</v>
      </c>
      <c r="DW224" s="7">
        <f>IF(126&gt;=46,('Testes estatísticos'!$D$51+'Testes estatísticos'!$D$131)/2,"")</f>
        <v>-5.2481425000000002</v>
      </c>
      <c r="DX224" s="7">
        <f>IF(127&gt;=46,('Testes estatísticos'!$D$51+'Testes estatísticos'!$D$132)/2,"")</f>
        <v>-7.3043340000000008</v>
      </c>
      <c r="DY224" s="7">
        <f>IF(128&gt;=46,('Testes estatísticos'!$D$51+'Testes estatísticos'!$D$133)/2,"")</f>
        <v>-7.6454234999999997</v>
      </c>
      <c r="DZ224" s="7">
        <f>IF(129&gt;=46,('Testes estatísticos'!$D$51+'Testes estatísticos'!$D$134)/2,"")</f>
        <v>-11.0692135</v>
      </c>
      <c r="EA224" s="7">
        <f>IF(130&gt;=46,('Testes estatísticos'!$D$51+'Testes estatísticos'!$D$135)/2,"")</f>
        <v>-5.307443499999998</v>
      </c>
      <c r="EB224" s="7">
        <f>IF(131&gt;=46,('Testes estatísticos'!$D$51+'Testes estatísticos'!$D$136)/2,"")</f>
        <v>-5.2195705000000032</v>
      </c>
      <c r="EC224" s="7">
        <f>IF(132&gt;=46,('Testes estatísticos'!$D$51+'Testes estatísticos'!$D$137)/2,"")</f>
        <v>-6.7063070000000025</v>
      </c>
      <c r="ED224" s="7">
        <f>IF(133&gt;=46,('Testes estatísticos'!$D$51+'Testes estatísticos'!$D$138)/2,"")</f>
        <v>-4.5173695000000009</v>
      </c>
      <c r="EE224" s="7">
        <f>IF(134&gt;=46,('Testes estatísticos'!$D$51+'Testes estatísticos'!$D$139)/2,"")</f>
        <v>-6.8145600000000037</v>
      </c>
      <c r="EF224" s="7">
        <f>IF(135&gt;=46,('Testes estatísticos'!$D$51+'Testes estatísticos'!$D$140)/2,"")</f>
        <v>-3.6001274999999993</v>
      </c>
      <c r="EG224" s="7">
        <f>IF(136&gt;=46,('Testes estatísticos'!$D$51+'Testes estatísticos'!$D$141)/2,"")</f>
        <v>-5.2936175000000034</v>
      </c>
      <c r="EH224" s="7">
        <f>IF(137&gt;=46,('Testes estatísticos'!$D$51+'Testes estatísticos'!$D$142)/2,"")</f>
        <v>-3.5888775000000024</v>
      </c>
      <c r="EI224" s="7">
        <f>IF(138&gt;=46,('Testes estatísticos'!$D$51+'Testes estatísticos'!$D$143)/2,"")</f>
        <v>-5.2538929999999979</v>
      </c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</row>
    <row r="225" spans="2:151" x14ac:dyDescent="0.3">
      <c r="B225" s="7" t="str">
        <f>IF(1&gt;=47,('Testes estatísticos'!$D$52+'Testes estatísticos'!$D$6)/2,"")</f>
        <v/>
      </c>
      <c r="C225" s="7" t="str">
        <f>IF(2&gt;=47,('Testes estatísticos'!$D$52+'Testes estatísticos'!$D$7)/2,"")</f>
        <v/>
      </c>
      <c r="D225" s="7" t="str">
        <f>IF(3&gt;=47,('Testes estatísticos'!$D$52+'Testes estatísticos'!$D$8)/2,"")</f>
        <v/>
      </c>
      <c r="E225" s="7" t="str">
        <f>IF(4&gt;=47,('Testes estatísticos'!$D$52+'Testes estatísticos'!$D$9)/2,"")</f>
        <v/>
      </c>
      <c r="F225" s="7" t="str">
        <f>IF(5&gt;=47,('Testes estatísticos'!$D$52+'Testes estatísticos'!$D$10)/2,"")</f>
        <v/>
      </c>
      <c r="G225" s="7" t="str">
        <f>IF(6&gt;=47,('Testes estatísticos'!$D$52+'Testes estatísticos'!$D$11)/2,"")</f>
        <v/>
      </c>
      <c r="H225" s="7" t="str">
        <f>IF(7&gt;=47,('Testes estatísticos'!$D$52+'Testes estatísticos'!$D$12)/2,"")</f>
        <v/>
      </c>
      <c r="I225" s="7" t="str">
        <f>IF(8&gt;=47,('Testes estatísticos'!$D$52+'Testes estatísticos'!$D$13)/2,"")</f>
        <v/>
      </c>
      <c r="J225" s="7" t="str">
        <f>IF(9&gt;=47,('Testes estatísticos'!$D$52+'Testes estatísticos'!$D$14)/2,"")</f>
        <v/>
      </c>
      <c r="K225" s="7" t="str">
        <f>IF(10&gt;=47,('Testes estatísticos'!$D$52+'Testes estatísticos'!$D$15)/2,"")</f>
        <v/>
      </c>
      <c r="L225" s="7" t="str">
        <f>IF(11&gt;=47,('Testes estatísticos'!$D$52+'Testes estatísticos'!$D$16)/2,"")</f>
        <v/>
      </c>
      <c r="M225" s="7" t="str">
        <f>IF(12&gt;=47,('Testes estatísticos'!$D$52+'Testes estatísticos'!$D$17)/2,"")</f>
        <v/>
      </c>
      <c r="N225" s="7" t="str">
        <f>IF(13&gt;=47,('Testes estatísticos'!$D$52+'Testes estatísticos'!$D$18)/2,"")</f>
        <v/>
      </c>
      <c r="O225" s="7" t="str">
        <f>IF(14&gt;=47,('Testes estatísticos'!$D$52+'Testes estatísticos'!$D$19)/2,"")</f>
        <v/>
      </c>
      <c r="P225" s="7" t="str">
        <f>IF(15&gt;=47,('Testes estatísticos'!$D$52+'Testes estatísticos'!$D$20)/2,"")</f>
        <v/>
      </c>
      <c r="Q225" s="7" t="str">
        <f>IF(16&gt;=47,('Testes estatísticos'!$D$52+'Testes estatísticos'!$D$21)/2,"")</f>
        <v/>
      </c>
      <c r="R225" s="7" t="str">
        <f>IF(17&gt;=47,('Testes estatísticos'!$D$52+'Testes estatísticos'!$D$22)/2,"")</f>
        <v/>
      </c>
      <c r="S225" s="7" t="str">
        <f>IF(18&gt;=47,('Testes estatísticos'!$D$52+'Testes estatísticos'!$D$23)/2,"")</f>
        <v/>
      </c>
      <c r="T225" s="7" t="str">
        <f>IF(19&gt;=47,('Testes estatísticos'!$D$52+'Testes estatísticos'!$D$24)/2,"")</f>
        <v/>
      </c>
      <c r="U225" s="7" t="str">
        <f>IF(20&gt;=47,('Testes estatísticos'!$D$52+'Testes estatísticos'!$D$25)/2,"")</f>
        <v/>
      </c>
      <c r="V225" s="7" t="str">
        <f>IF(21&gt;=47,('Testes estatísticos'!$D$52+'Testes estatísticos'!$D$26)/2,"")</f>
        <v/>
      </c>
      <c r="W225" s="7" t="str">
        <f>IF(22&gt;=47,('Testes estatísticos'!$D$52+'Testes estatísticos'!$D$27)/2,"")</f>
        <v/>
      </c>
      <c r="X225" s="7" t="str">
        <f>IF(23&gt;=47,('Testes estatísticos'!$D$52+'Testes estatísticos'!$D$28)/2,"")</f>
        <v/>
      </c>
      <c r="Y225" s="7" t="str">
        <f>IF(24&gt;=47,('Testes estatísticos'!$D$52+'Testes estatísticos'!$D$29)/2,"")</f>
        <v/>
      </c>
      <c r="Z225" s="7" t="str">
        <f>IF(25&gt;=47,('Testes estatísticos'!$D$52+'Testes estatísticos'!$D$30)/2,"")</f>
        <v/>
      </c>
      <c r="AA225" s="7" t="str">
        <f>IF(26&gt;=47,('Testes estatísticos'!$D$52+'Testes estatísticos'!$D$31)/2,"")</f>
        <v/>
      </c>
      <c r="AB225" s="7" t="str">
        <f>IF(27&gt;=47,('Testes estatísticos'!$D$52+'Testes estatísticos'!$D$32)/2,"")</f>
        <v/>
      </c>
      <c r="AC225" s="7" t="str">
        <f>IF(28&gt;=47,('Testes estatísticos'!$D$52+'Testes estatísticos'!$D$33)/2,"")</f>
        <v/>
      </c>
      <c r="AD225" s="7" t="str">
        <f>IF(29&gt;=47,('Testes estatísticos'!$D$52+'Testes estatísticos'!$D$34)/2,"")</f>
        <v/>
      </c>
      <c r="AE225" s="7" t="str">
        <f>IF(30&gt;=47,('Testes estatísticos'!$D$52+'Testes estatísticos'!$D$35)/2,"")</f>
        <v/>
      </c>
      <c r="AF225" s="7" t="str">
        <f>IF(31&gt;=47,('Testes estatísticos'!$D$52+'Testes estatísticos'!$D$36)/2,"")</f>
        <v/>
      </c>
      <c r="AG225" s="7" t="str">
        <f>IF(32&gt;=47,('Testes estatísticos'!$D$52+'Testes estatísticos'!$D$37)/2,"")</f>
        <v/>
      </c>
      <c r="AH225" s="7" t="str">
        <f>IF(33&gt;=47,('Testes estatísticos'!$D$52+'Testes estatísticos'!$D$38)/2,"")</f>
        <v/>
      </c>
      <c r="AI225" s="7" t="str">
        <f>IF(34&gt;=47,('Testes estatísticos'!$D$52+'Testes estatísticos'!$D$39)/2,"")</f>
        <v/>
      </c>
      <c r="AJ225" s="7" t="str">
        <f>IF(35&gt;=47,('Testes estatísticos'!$D$52+'Testes estatísticos'!$D$40)/2,"")</f>
        <v/>
      </c>
      <c r="AK225" s="7" t="str">
        <f>IF(36&gt;=47,('Testes estatísticos'!$D$52+'Testes estatísticos'!$D$41)/2,"")</f>
        <v/>
      </c>
      <c r="AL225" s="7" t="str">
        <f>IF(37&gt;=47,('Testes estatísticos'!$D$52+'Testes estatísticos'!$D$42)/2,"")</f>
        <v/>
      </c>
      <c r="AM225" s="7" t="str">
        <f>IF(38&gt;=47,('Testes estatísticos'!$D$52+'Testes estatísticos'!$D$43)/2,"")</f>
        <v/>
      </c>
      <c r="AN225" s="7" t="str">
        <f>IF(39&gt;=47,('Testes estatísticos'!$D$52+'Testes estatísticos'!$D$44)/2,"")</f>
        <v/>
      </c>
      <c r="AO225" s="7" t="str">
        <f>IF(40&gt;=47,('Testes estatísticos'!$D$52+'Testes estatísticos'!$D$45)/2,"")</f>
        <v/>
      </c>
      <c r="AP225" s="7" t="str">
        <f>IF(41&gt;=47,('Testes estatísticos'!$D$52+'Testes estatísticos'!$D$46)/2,"")</f>
        <v/>
      </c>
      <c r="AQ225" s="7" t="str">
        <f>IF(42&gt;=47,('Testes estatísticos'!$D$52+'Testes estatísticos'!$D$47)/2,"")</f>
        <v/>
      </c>
      <c r="AR225" s="7" t="str">
        <f>IF(43&gt;=47,('Testes estatísticos'!$D$52+'Testes estatísticos'!$D$48)/2,"")</f>
        <v/>
      </c>
      <c r="AS225" s="7" t="str">
        <f>IF(44&gt;=47,('Testes estatísticos'!$D$52+'Testes estatísticos'!$D$49)/2,"")</f>
        <v/>
      </c>
      <c r="AT225" s="7" t="str">
        <f>IF(45&gt;=47,('Testes estatísticos'!$D$52+'Testes estatísticos'!$D$50)/2,"")</f>
        <v/>
      </c>
      <c r="AU225" s="7" t="str">
        <f>IF(46&gt;=47,('Testes estatísticos'!$D$52+'Testes estatísticos'!$D$51)/2,"")</f>
        <v/>
      </c>
      <c r="AV225" s="7">
        <f>IF(47&gt;=47,('Testes estatísticos'!$D$52+'Testes estatísticos'!$D$52)/2,"")</f>
        <v>3.4188749999999999</v>
      </c>
      <c r="AW225" s="7">
        <f>IF(48&gt;=47,('Testes estatísticos'!$D$52+'Testes estatísticos'!$D$53)/2,"")</f>
        <v>-1.0171559999999999</v>
      </c>
      <c r="AX225" s="7">
        <f>IF(49&gt;=47,('Testes estatísticos'!$D$52+'Testes estatísticos'!$D$54)/2,"")</f>
        <v>0.2426345000000012</v>
      </c>
      <c r="AY225" s="7">
        <f>IF(50&gt;=47,('Testes estatísticos'!$D$52+'Testes estatísticos'!$D$55)/2,"")</f>
        <v>1.8677990000000015</v>
      </c>
      <c r="AZ225" s="7">
        <f>IF(51&gt;=47,('Testes estatísticos'!$D$52+'Testes estatísticos'!$D$56)/2,"")</f>
        <v>1.9122684999999997</v>
      </c>
      <c r="BA225" s="7">
        <f>IF(52&gt;=47,('Testes estatísticos'!$D$52+'Testes estatísticos'!$D$57)/2,"")</f>
        <v>-1.4959474999999998</v>
      </c>
      <c r="BB225" s="7">
        <f>IF(53&gt;=47,('Testes estatísticos'!$D$52+'Testes estatísticos'!$D$58)/2,"")</f>
        <v>1.9128150000000019</v>
      </c>
      <c r="BC225" s="7">
        <f>IF(54&gt;=47,('Testes estatísticos'!$D$52+'Testes estatísticos'!$D$59)/2,"")</f>
        <v>0.99317250000000001</v>
      </c>
      <c r="BD225" s="7">
        <f>IF(55&gt;=47,('Testes estatísticos'!$D$52+'Testes estatísticos'!$D$60)/2,"")</f>
        <v>4.0888434999999994</v>
      </c>
      <c r="BE225" s="7">
        <f>IF(56&gt;=47,('Testes estatísticos'!$D$52+'Testes estatísticos'!$D$61)/2,"")</f>
        <v>1.4588750000000026</v>
      </c>
      <c r="BF225" s="7">
        <f>IF(57&gt;=47,('Testes estatísticos'!$D$52+'Testes estatísticos'!$D$62)/2,"")</f>
        <v>-1.941315000000003</v>
      </c>
      <c r="BG225" s="7">
        <f>IF(58&gt;=47,('Testes estatísticos'!$D$52+'Testes estatísticos'!$D$63)/2,"")</f>
        <v>3.324580000000001</v>
      </c>
      <c r="BH225" s="7">
        <f>IF(59&gt;=47,('Testes estatísticos'!$D$52+'Testes estatísticos'!$D$64)/2,"")</f>
        <v>-2.5190325000000016</v>
      </c>
      <c r="BI225" s="7">
        <f>IF(60&gt;=47,('Testes estatísticos'!$D$52+'Testes estatísticos'!$D$65)/2,"")</f>
        <v>-0.77144149999999811</v>
      </c>
      <c r="BJ225" s="7">
        <f>IF(61&gt;=47,('Testes estatísticos'!$D$52+'Testes estatísticos'!$D$66)/2,"")</f>
        <v>1.8636134999999996</v>
      </c>
      <c r="BK225" s="7">
        <f>IF(62&gt;=47,('Testes estatísticos'!$D$52+'Testes estatísticos'!$D$67)/2,"")</f>
        <v>1.3548185000000004</v>
      </c>
      <c r="BL225" s="7">
        <f>IF(63&gt;=47,('Testes estatísticos'!$D$52+'Testes estatísticos'!$D$68)/2,"")</f>
        <v>2.2541329999999995</v>
      </c>
      <c r="BM225" s="7">
        <f>IF(64&gt;=47,('Testes estatísticos'!$D$52+'Testes estatísticos'!$D$69)/2,"")</f>
        <v>2.3049749999999989</v>
      </c>
      <c r="BN225" s="7">
        <f>IF(65&gt;=47,('Testes estatísticos'!$D$52+'Testes estatísticos'!$D$70)/2,"")</f>
        <v>0.15916849999999982</v>
      </c>
      <c r="BO225" s="7">
        <f>IF(66&gt;=47,('Testes estatísticos'!$D$52+'Testes estatísticos'!$D$71)/2,"")</f>
        <v>1.055021</v>
      </c>
      <c r="BP225" s="7">
        <f>IF(67&gt;=47,('Testes estatísticos'!$D$52+'Testes estatísticos'!$D$72)/2,"")</f>
        <v>-1.8354379999999999</v>
      </c>
      <c r="BQ225" s="7">
        <f>IF(68&gt;=47,('Testes estatísticos'!$D$52+'Testes estatísticos'!$D$73)/2,"")</f>
        <v>2.8277949999999983</v>
      </c>
      <c r="BR225" s="7">
        <f>IF(69&gt;=47,('Testes estatísticos'!$D$52+'Testes estatísticos'!$D$74)/2,"")</f>
        <v>3.4599769999999985</v>
      </c>
      <c r="BS225" s="7">
        <f>IF(70&gt;=47,('Testes estatísticos'!$D$52+'Testes estatísticos'!$D$75)/2,"")</f>
        <v>2.4555124999999975</v>
      </c>
      <c r="BT225" s="7">
        <f>IF(71&gt;=47,('Testes estatísticos'!$D$52+'Testes estatísticos'!$D$76)/2,"")</f>
        <v>4.0298774999999978</v>
      </c>
      <c r="BU225" s="7">
        <f>IF(72&gt;=47,('Testes estatísticos'!$D$52+'Testes estatísticos'!$D$77)/2,"")</f>
        <v>-1.5698195000000013</v>
      </c>
      <c r="BV225" s="7">
        <f>IF(73&gt;=47,('Testes estatísticos'!$D$52+'Testes estatísticos'!$D$78)/2,"")</f>
        <v>0.50365499999999841</v>
      </c>
      <c r="BW225" s="7">
        <f>IF(74&gt;=47,('Testes estatísticos'!$D$52+'Testes estatísticos'!$D$79)/2,"")</f>
        <v>-0.1796635000000002</v>
      </c>
      <c r="BX225" s="7">
        <f>IF(75&gt;=47,('Testes estatísticos'!$D$52+'Testes estatísticos'!$D$80)/2,"")</f>
        <v>-0.20144150000000138</v>
      </c>
      <c r="BY225" s="7">
        <f>IF(76&gt;=47,('Testes estatísticos'!$D$52+'Testes estatísticos'!$D$81)/2,"")</f>
        <v>3.9300165000000007</v>
      </c>
      <c r="BZ225" s="7">
        <f>IF(77&gt;=47,('Testes estatísticos'!$D$52+'Testes estatísticos'!$D$82)/2,"")</f>
        <v>-1.3315729999999988</v>
      </c>
      <c r="CA225" s="7">
        <f>IF(78&gt;=47,('Testes estatísticos'!$D$52+'Testes estatísticos'!$D$83)/2,"")</f>
        <v>0.42868600000000257</v>
      </c>
      <c r="CB225" s="7">
        <f>IF(79&gt;=47,('Testes estatísticos'!$D$52+'Testes estatísticos'!$D$84)/2,"")</f>
        <v>0.48040849999999935</v>
      </c>
      <c r="CC225" s="7">
        <f>IF(80&gt;=47,('Testes estatísticos'!$D$52+'Testes estatísticos'!$D$85)/2,"")</f>
        <v>-1.3266080000000002</v>
      </c>
      <c r="CD225" s="7">
        <f>IF(81&gt;=47,('Testes estatísticos'!$D$52+'Testes estatísticos'!$D$86)/2,"")</f>
        <v>-1.3767530000000008</v>
      </c>
      <c r="CE225" s="7">
        <f>IF(82&gt;=47,('Testes estatísticos'!$D$52+'Testes estatísticos'!$D$87)/2,"")</f>
        <v>0.7010374999999982</v>
      </c>
      <c r="CF225" s="7">
        <f>IF(83&gt;=47,('Testes estatísticos'!$D$52+'Testes estatísticos'!$D$88)/2,"")</f>
        <v>0.17223049999999773</v>
      </c>
      <c r="CG225" s="7">
        <f>IF(84&gt;=47,('Testes estatísticos'!$D$52+'Testes estatísticos'!$D$89)/2,"")</f>
        <v>-0.15967649999999978</v>
      </c>
      <c r="CH225" s="7">
        <f>IF(85&gt;=47,('Testes estatísticos'!$D$52+'Testes estatísticos'!$D$90)/2,"")</f>
        <v>1.6558704999999989</v>
      </c>
      <c r="CI225" s="7">
        <f>IF(86&gt;=47,('Testes estatísticos'!$D$52+'Testes estatísticos'!$D$91)/2,"")</f>
        <v>-1.0342889999999976</v>
      </c>
      <c r="CJ225" s="7">
        <f>IF(87&gt;=47,('Testes estatísticos'!$D$52+'Testes estatísticos'!$D$92)/2,"")</f>
        <v>0.20791750000000064</v>
      </c>
      <c r="CK225" s="7">
        <f>IF(88&gt;=47,('Testes estatísticos'!$D$52+'Testes estatísticos'!$D$93)/2,"")</f>
        <v>0.45200099999999921</v>
      </c>
      <c r="CL225" s="7">
        <f>IF(89&gt;=47,('Testes estatísticos'!$D$52+'Testes estatísticos'!$D$94)/2,"")</f>
        <v>-0.15959100000000248</v>
      </c>
      <c r="CM225" s="7">
        <f>IF(90&gt;=47,('Testes estatísticos'!$D$52+'Testes estatísticos'!$D$95)/2,"")</f>
        <v>-2.4937229999999992</v>
      </c>
      <c r="CN225" s="7">
        <f>IF(91&gt;=47,('Testes estatísticos'!$D$52+'Testes estatísticos'!$D$96)/2,"")</f>
        <v>4.4800000000002171E-2</v>
      </c>
      <c r="CO225" s="7">
        <f>IF(92&gt;=47,('Testes estatísticos'!$D$52+'Testes estatísticos'!$D$97)/2,"")</f>
        <v>-0.30170349999999857</v>
      </c>
      <c r="CP225" s="7">
        <f>IF(93&gt;=47,('Testes estatísticos'!$D$52+'Testes estatísticos'!$D$98)/2,"")</f>
        <v>-0.50645549999999773</v>
      </c>
      <c r="CQ225" s="7">
        <f>IF(94&gt;=47,('Testes estatísticos'!$D$52+'Testes estatísticos'!$D$99)/2,"")</f>
        <v>1.6747024999999987</v>
      </c>
      <c r="CR225" s="7">
        <f>IF(95&gt;=47,('Testes estatísticos'!$D$52+'Testes estatísticos'!$D$100)/2,"")</f>
        <v>-0.23109050000000053</v>
      </c>
      <c r="CS225" s="7">
        <f>IF(96&gt;=47,('Testes estatísticos'!$D$52+'Testes estatísticos'!$D$101)/2,"")</f>
        <v>-0.18710350000000275</v>
      </c>
      <c r="CT225" s="7">
        <f>IF(97&gt;=47,('Testes estatísticos'!$D$52+'Testes estatísticos'!$D$102)/2,"")</f>
        <v>4.5946999999998184E-2</v>
      </c>
      <c r="CU225" s="7">
        <f>IF(98&gt;=47,('Testes estatísticos'!$D$52+'Testes estatísticos'!$D$103)/2,"")</f>
        <v>0.1032730000000015</v>
      </c>
      <c r="CV225" s="7">
        <f>IF(99&gt;=47,('Testes estatísticos'!$D$52+'Testes estatísticos'!$D$104)/2,"")</f>
        <v>-0.33155299999999954</v>
      </c>
      <c r="CW225" s="7">
        <f>IF(100&gt;=47,('Testes estatísticos'!$D$52+'Testes estatísticos'!$D$105)/2,"")</f>
        <v>-0.43101899999999915</v>
      </c>
      <c r="CX225" s="7">
        <f>IF(101&gt;=47,('Testes estatísticos'!$D$52+'Testes estatísticos'!$D$106)/2,"")</f>
        <v>9.1907500000001363E-2</v>
      </c>
      <c r="CY225" s="7">
        <f>IF(102&gt;=47,('Testes estatísticos'!$D$52+'Testes estatísticos'!$D$107)/2,"")</f>
        <v>3.6242500000000177E-2</v>
      </c>
      <c r="CZ225" s="7">
        <f>IF(103&gt;=47,('Testes estatísticos'!$D$52+'Testes estatísticos'!$D$108)/2,"")</f>
        <v>-0.48792399999999958</v>
      </c>
      <c r="DA225" s="7">
        <f>IF(104&gt;=47,('Testes estatísticos'!$D$52+'Testes estatísticos'!$D$109)/2,"")</f>
        <v>-0.22528999999999755</v>
      </c>
      <c r="DB225" s="7">
        <f>IF(105&gt;=47,('Testes estatísticos'!$D$52+'Testes estatísticos'!$D$110)/2,"")</f>
        <v>-0.19095899999999943</v>
      </c>
      <c r="DC225" s="7">
        <f>IF(106&gt;=47,('Testes estatísticos'!$D$52+'Testes estatísticos'!$D$111)/2,"")</f>
        <v>0.55196199999999962</v>
      </c>
      <c r="DD225" s="7">
        <f>IF(107&gt;=47,('Testes estatísticos'!$D$52+'Testes estatísticos'!$D$112)/2,"")</f>
        <v>4.0451329999999999</v>
      </c>
      <c r="DE225" s="7">
        <f>IF(108&gt;=47,('Testes estatísticos'!$D$52+'Testes estatísticos'!$D$113)/2,"")</f>
        <v>0.62249750000000148</v>
      </c>
      <c r="DF225" s="7">
        <f>IF(109&gt;=47,('Testes estatísticos'!$D$52+'Testes estatísticos'!$D$114)/2,"")</f>
        <v>0.58624050000000238</v>
      </c>
      <c r="DG225" s="7">
        <f>IF(110&gt;=47,('Testes estatísticos'!$D$52+'Testes estatísticos'!$D$115)/2,"")</f>
        <v>-4.9608990000000013</v>
      </c>
      <c r="DH225" s="7">
        <f>IF(111&gt;=47,('Testes estatísticos'!$D$52+'Testes estatísticos'!$D$116)/2,"")</f>
        <v>0.71993150000000128</v>
      </c>
      <c r="DI225" s="7">
        <f>IF(112&gt;=47,('Testes estatísticos'!$D$52+'Testes estatísticos'!$D$117)/2,"")</f>
        <v>6.1483714999999997</v>
      </c>
      <c r="DJ225" s="7">
        <f>IF(113&gt;=47,('Testes estatísticos'!$D$52+'Testes estatísticos'!$D$118)/2,"")</f>
        <v>0.69181449999999955</v>
      </c>
      <c r="DK225" s="7">
        <f>IF(114&gt;=47,('Testes estatísticos'!$D$52+'Testes estatísticos'!$D$119)/2,"")</f>
        <v>0.59006450000000044</v>
      </c>
      <c r="DL225" s="7">
        <f>IF(115&gt;=47,('Testes estatísticos'!$D$52+'Testes estatísticos'!$D$120)/2,"")</f>
        <v>0.63654200000000216</v>
      </c>
      <c r="DM225" s="7">
        <f>IF(116&gt;=47,('Testes estatísticos'!$D$52+'Testes estatísticos'!$D$121)/2,"")</f>
        <v>0.64514450000000068</v>
      </c>
      <c r="DN225" s="7">
        <f>IF(117&gt;=47,('Testes estatísticos'!$D$52+'Testes estatísticos'!$D$122)/2,"")</f>
        <v>0.66821249999999921</v>
      </c>
      <c r="DO225" s="7">
        <f>IF(118&gt;=47,('Testes estatísticos'!$D$52+'Testes estatísticos'!$D$123)/2,"")</f>
        <v>0.71812299999999851</v>
      </c>
      <c r="DP225" s="7">
        <f>IF(119&gt;=47,('Testes estatísticos'!$D$52+'Testes estatísticos'!$D$124)/2,"")</f>
        <v>0.6969114999999988</v>
      </c>
      <c r="DQ225" s="7">
        <f>IF(120&gt;=47,('Testes estatísticos'!$D$52+'Testes estatísticos'!$D$125)/2,"")</f>
        <v>3.7485260000000018</v>
      </c>
      <c r="DR225" s="7">
        <f>IF(121&gt;=47,('Testes estatísticos'!$D$52+'Testes estatísticos'!$D$126)/2,"")</f>
        <v>0.95950949999999935</v>
      </c>
      <c r="DS225" s="7">
        <f>IF(122&gt;=47,('Testes estatísticos'!$D$52+'Testes estatísticos'!$D$127)/2,"")</f>
        <v>-0.1058989999999973</v>
      </c>
      <c r="DT225" s="7">
        <f>IF(123&gt;=47,('Testes estatísticos'!$D$52+'Testes estatísticos'!$D$128)/2,"")</f>
        <v>5.9629704999999973</v>
      </c>
      <c r="DU225" s="7">
        <f>IF(124&gt;=47,('Testes estatísticos'!$D$52+'Testes estatísticos'!$D$129)/2,"")</f>
        <v>1.0671989999999987</v>
      </c>
      <c r="DV225" s="7">
        <f>IF(125&gt;=47,('Testes estatísticos'!$D$52+'Testes estatísticos'!$D$130)/2,"")</f>
        <v>2.2255064999999981</v>
      </c>
      <c r="DW225" s="7">
        <f>IF(126&gt;=47,('Testes estatísticos'!$D$52+'Testes estatísticos'!$D$131)/2,"")</f>
        <v>-0.17796949999999967</v>
      </c>
      <c r="DX225" s="7">
        <f>IF(127&gt;=47,('Testes estatísticos'!$D$52+'Testes estatísticos'!$D$132)/2,"")</f>
        <v>-2.2341610000000003</v>
      </c>
      <c r="DY225" s="7">
        <f>IF(128&gt;=47,('Testes estatísticos'!$D$52+'Testes estatísticos'!$D$133)/2,"")</f>
        <v>-2.5752504999999992</v>
      </c>
      <c r="DZ225" s="7">
        <f>IF(129&gt;=47,('Testes estatísticos'!$D$52+'Testes estatísticos'!$D$134)/2,"")</f>
        <v>-5.9990404999999996</v>
      </c>
      <c r="EA225" s="7">
        <f>IF(130&gt;=47,('Testes estatísticos'!$D$52+'Testes estatísticos'!$D$135)/2,"")</f>
        <v>-0.2372704999999975</v>
      </c>
      <c r="EB225" s="7">
        <f>IF(131&gt;=47,('Testes estatísticos'!$D$52+'Testes estatísticos'!$D$136)/2,"")</f>
        <v>-0.14939750000000274</v>
      </c>
      <c r="EC225" s="7">
        <f>IF(132&gt;=47,('Testes estatísticos'!$D$52+'Testes estatísticos'!$D$137)/2,"")</f>
        <v>-1.636134000000002</v>
      </c>
      <c r="ED225" s="7">
        <f>IF(133&gt;=47,('Testes estatísticos'!$D$52+'Testes estatísticos'!$D$138)/2,"")</f>
        <v>0.55280349999999956</v>
      </c>
      <c r="EE225" s="7">
        <f>IF(134&gt;=47,('Testes estatísticos'!$D$52+'Testes estatísticos'!$D$139)/2,"")</f>
        <v>-1.7443870000000032</v>
      </c>
      <c r="EF225" s="7">
        <f>IF(135&gt;=47,('Testes estatísticos'!$D$52+'Testes estatísticos'!$D$140)/2,"")</f>
        <v>1.4700455000000012</v>
      </c>
      <c r="EG225" s="7">
        <f>IF(136&gt;=47,('Testes estatísticos'!$D$52+'Testes estatísticos'!$D$141)/2,"")</f>
        <v>-0.22344450000000293</v>
      </c>
      <c r="EH225" s="7">
        <f>IF(137&gt;=47,('Testes estatísticos'!$D$52+'Testes estatísticos'!$D$142)/2,"")</f>
        <v>1.4812954999999981</v>
      </c>
      <c r="EI225" s="7">
        <f>IF(138&gt;=47,('Testes estatísticos'!$D$52+'Testes estatísticos'!$D$143)/2,"")</f>
        <v>-0.18371999999999744</v>
      </c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</row>
    <row r="226" spans="2:151" x14ac:dyDescent="0.3">
      <c r="B226" s="7" t="str">
        <f>IF(1&gt;=48,('Testes estatísticos'!$D$53+'Testes estatísticos'!$D$6)/2,"")</f>
        <v/>
      </c>
      <c r="C226" s="7" t="str">
        <f>IF(2&gt;=48,('Testes estatísticos'!$D$53+'Testes estatísticos'!$D$7)/2,"")</f>
        <v/>
      </c>
      <c r="D226" s="7" t="str">
        <f>IF(3&gt;=48,('Testes estatísticos'!$D$53+'Testes estatísticos'!$D$8)/2,"")</f>
        <v/>
      </c>
      <c r="E226" s="7" t="str">
        <f>IF(4&gt;=48,('Testes estatísticos'!$D$53+'Testes estatísticos'!$D$9)/2,"")</f>
        <v/>
      </c>
      <c r="F226" s="7" t="str">
        <f>IF(5&gt;=48,('Testes estatísticos'!$D$53+'Testes estatísticos'!$D$10)/2,"")</f>
        <v/>
      </c>
      <c r="G226" s="7" t="str">
        <f>IF(6&gt;=48,('Testes estatísticos'!$D$53+'Testes estatísticos'!$D$11)/2,"")</f>
        <v/>
      </c>
      <c r="H226" s="7" t="str">
        <f>IF(7&gt;=48,('Testes estatísticos'!$D$53+'Testes estatísticos'!$D$12)/2,"")</f>
        <v/>
      </c>
      <c r="I226" s="7" t="str">
        <f>IF(8&gt;=48,('Testes estatísticos'!$D$53+'Testes estatísticos'!$D$13)/2,"")</f>
        <v/>
      </c>
      <c r="J226" s="7" t="str">
        <f>IF(9&gt;=48,('Testes estatísticos'!$D$53+'Testes estatísticos'!$D$14)/2,"")</f>
        <v/>
      </c>
      <c r="K226" s="7" t="str">
        <f>IF(10&gt;=48,('Testes estatísticos'!$D$53+'Testes estatísticos'!$D$15)/2,"")</f>
        <v/>
      </c>
      <c r="L226" s="7" t="str">
        <f>IF(11&gt;=48,('Testes estatísticos'!$D$53+'Testes estatísticos'!$D$16)/2,"")</f>
        <v/>
      </c>
      <c r="M226" s="7" t="str">
        <f>IF(12&gt;=48,('Testes estatísticos'!$D$53+'Testes estatísticos'!$D$17)/2,"")</f>
        <v/>
      </c>
      <c r="N226" s="7" t="str">
        <f>IF(13&gt;=48,('Testes estatísticos'!$D$53+'Testes estatísticos'!$D$18)/2,"")</f>
        <v/>
      </c>
      <c r="O226" s="7" t="str">
        <f>IF(14&gt;=48,('Testes estatísticos'!$D$53+'Testes estatísticos'!$D$19)/2,"")</f>
        <v/>
      </c>
      <c r="P226" s="7" t="str">
        <f>IF(15&gt;=48,('Testes estatísticos'!$D$53+'Testes estatísticos'!$D$20)/2,"")</f>
        <v/>
      </c>
      <c r="Q226" s="7" t="str">
        <f>IF(16&gt;=48,('Testes estatísticos'!$D$53+'Testes estatísticos'!$D$21)/2,"")</f>
        <v/>
      </c>
      <c r="R226" s="7" t="str">
        <f>IF(17&gt;=48,('Testes estatísticos'!$D$53+'Testes estatísticos'!$D$22)/2,"")</f>
        <v/>
      </c>
      <c r="S226" s="7" t="str">
        <f>IF(18&gt;=48,('Testes estatísticos'!$D$53+'Testes estatísticos'!$D$23)/2,"")</f>
        <v/>
      </c>
      <c r="T226" s="7" t="str">
        <f>IF(19&gt;=48,('Testes estatísticos'!$D$53+'Testes estatísticos'!$D$24)/2,"")</f>
        <v/>
      </c>
      <c r="U226" s="7" t="str">
        <f>IF(20&gt;=48,('Testes estatísticos'!$D$53+'Testes estatísticos'!$D$25)/2,"")</f>
        <v/>
      </c>
      <c r="V226" s="7" t="str">
        <f>IF(21&gt;=48,('Testes estatísticos'!$D$53+'Testes estatísticos'!$D$26)/2,"")</f>
        <v/>
      </c>
      <c r="W226" s="7" t="str">
        <f>IF(22&gt;=48,('Testes estatísticos'!$D$53+'Testes estatísticos'!$D$27)/2,"")</f>
        <v/>
      </c>
      <c r="X226" s="7" t="str">
        <f>IF(23&gt;=48,('Testes estatísticos'!$D$53+'Testes estatísticos'!$D$28)/2,"")</f>
        <v/>
      </c>
      <c r="Y226" s="7" t="str">
        <f>IF(24&gt;=48,('Testes estatísticos'!$D$53+'Testes estatísticos'!$D$29)/2,"")</f>
        <v/>
      </c>
      <c r="Z226" s="7" t="str">
        <f>IF(25&gt;=48,('Testes estatísticos'!$D$53+'Testes estatísticos'!$D$30)/2,"")</f>
        <v/>
      </c>
      <c r="AA226" s="7" t="str">
        <f>IF(26&gt;=48,('Testes estatísticos'!$D$53+'Testes estatísticos'!$D$31)/2,"")</f>
        <v/>
      </c>
      <c r="AB226" s="7" t="str">
        <f>IF(27&gt;=48,('Testes estatísticos'!$D$53+'Testes estatísticos'!$D$32)/2,"")</f>
        <v/>
      </c>
      <c r="AC226" s="7" t="str">
        <f>IF(28&gt;=48,('Testes estatísticos'!$D$53+'Testes estatísticos'!$D$33)/2,"")</f>
        <v/>
      </c>
      <c r="AD226" s="7" t="str">
        <f>IF(29&gt;=48,('Testes estatísticos'!$D$53+'Testes estatísticos'!$D$34)/2,"")</f>
        <v/>
      </c>
      <c r="AE226" s="7" t="str">
        <f>IF(30&gt;=48,('Testes estatísticos'!$D$53+'Testes estatísticos'!$D$35)/2,"")</f>
        <v/>
      </c>
      <c r="AF226" s="7" t="str">
        <f>IF(31&gt;=48,('Testes estatísticos'!$D$53+'Testes estatísticos'!$D$36)/2,"")</f>
        <v/>
      </c>
      <c r="AG226" s="7" t="str">
        <f>IF(32&gt;=48,('Testes estatísticos'!$D$53+'Testes estatísticos'!$D$37)/2,"")</f>
        <v/>
      </c>
      <c r="AH226" s="7" t="str">
        <f>IF(33&gt;=48,('Testes estatísticos'!$D$53+'Testes estatísticos'!$D$38)/2,"")</f>
        <v/>
      </c>
      <c r="AI226" s="7" t="str">
        <f>IF(34&gt;=48,('Testes estatísticos'!$D$53+'Testes estatísticos'!$D$39)/2,"")</f>
        <v/>
      </c>
      <c r="AJ226" s="7" t="str">
        <f>IF(35&gt;=48,('Testes estatísticos'!$D$53+'Testes estatísticos'!$D$40)/2,"")</f>
        <v/>
      </c>
      <c r="AK226" s="7" t="str">
        <f>IF(36&gt;=48,('Testes estatísticos'!$D$53+'Testes estatísticos'!$D$41)/2,"")</f>
        <v/>
      </c>
      <c r="AL226" s="7" t="str">
        <f>IF(37&gt;=48,('Testes estatísticos'!$D$53+'Testes estatísticos'!$D$42)/2,"")</f>
        <v/>
      </c>
      <c r="AM226" s="7" t="str">
        <f>IF(38&gt;=48,('Testes estatísticos'!$D$53+'Testes estatísticos'!$D$43)/2,"")</f>
        <v/>
      </c>
      <c r="AN226" s="7" t="str">
        <f>IF(39&gt;=48,('Testes estatísticos'!$D$53+'Testes estatísticos'!$D$44)/2,"")</f>
        <v/>
      </c>
      <c r="AO226" s="7" t="str">
        <f>IF(40&gt;=48,('Testes estatísticos'!$D$53+'Testes estatísticos'!$D$45)/2,"")</f>
        <v/>
      </c>
      <c r="AP226" s="7" t="str">
        <f>IF(41&gt;=48,('Testes estatísticos'!$D$53+'Testes estatísticos'!$D$46)/2,"")</f>
        <v/>
      </c>
      <c r="AQ226" s="7" t="str">
        <f>IF(42&gt;=48,('Testes estatísticos'!$D$53+'Testes estatísticos'!$D$47)/2,"")</f>
        <v/>
      </c>
      <c r="AR226" s="7" t="str">
        <f>IF(43&gt;=48,('Testes estatísticos'!$D$53+'Testes estatísticos'!$D$48)/2,"")</f>
        <v/>
      </c>
      <c r="AS226" s="7" t="str">
        <f>IF(44&gt;=48,('Testes estatísticos'!$D$53+'Testes estatísticos'!$D$49)/2,"")</f>
        <v/>
      </c>
      <c r="AT226" s="7" t="str">
        <f>IF(45&gt;=48,('Testes estatísticos'!$D$53+'Testes estatísticos'!$D$50)/2,"")</f>
        <v/>
      </c>
      <c r="AU226" s="7" t="str">
        <f>IF(46&gt;=48,('Testes estatísticos'!$D$53+'Testes estatísticos'!$D$51)/2,"")</f>
        <v/>
      </c>
      <c r="AV226" s="7" t="str">
        <f>IF(47&gt;=48,('Testes estatísticos'!$D$53+'Testes estatísticos'!$D$52)/2,"")</f>
        <v/>
      </c>
      <c r="AW226" s="7">
        <f>IF(48&gt;=48,('Testes estatísticos'!$D$53+'Testes estatísticos'!$D$53)/2,"")</f>
        <v>-5.4531869999999998</v>
      </c>
      <c r="AX226" s="7">
        <f>IF(49&gt;=48,('Testes estatísticos'!$D$53+'Testes estatísticos'!$D$54)/2,"")</f>
        <v>-4.1933964999999986</v>
      </c>
      <c r="AY226" s="7">
        <f>IF(50&gt;=48,('Testes estatísticos'!$D$53+'Testes estatísticos'!$D$55)/2,"")</f>
        <v>-2.5682319999999983</v>
      </c>
      <c r="AZ226" s="7">
        <f>IF(51&gt;=48,('Testes estatísticos'!$D$53+'Testes estatísticos'!$D$56)/2,"")</f>
        <v>-2.5237625000000001</v>
      </c>
      <c r="BA226" s="7">
        <f>IF(52&gt;=48,('Testes estatísticos'!$D$53+'Testes estatísticos'!$D$57)/2,"")</f>
        <v>-5.9319784999999996</v>
      </c>
      <c r="BB226" s="7">
        <f>IF(53&gt;=48,('Testes estatísticos'!$D$53+'Testes estatísticos'!$D$58)/2,"")</f>
        <v>-2.5232159999999979</v>
      </c>
      <c r="BC226" s="7">
        <f>IF(54&gt;=48,('Testes estatísticos'!$D$53+'Testes estatísticos'!$D$59)/2,"")</f>
        <v>-3.4428584999999998</v>
      </c>
      <c r="BD226" s="7">
        <f>IF(55&gt;=48,('Testes estatísticos'!$D$53+'Testes estatísticos'!$D$60)/2,"")</f>
        <v>-0.34718750000000043</v>
      </c>
      <c r="BE226" s="7">
        <f>IF(56&gt;=48,('Testes estatísticos'!$D$53+'Testes estatísticos'!$D$61)/2,"")</f>
        <v>-2.9771559999999972</v>
      </c>
      <c r="BF226" s="7">
        <f>IF(57&gt;=48,('Testes estatísticos'!$D$53+'Testes estatísticos'!$D$62)/2,"")</f>
        <v>-6.3773460000000028</v>
      </c>
      <c r="BG226" s="7">
        <f>IF(58&gt;=48,('Testes estatísticos'!$D$53+'Testes estatísticos'!$D$63)/2,"")</f>
        <v>-1.1114509999999989</v>
      </c>
      <c r="BH226" s="7">
        <f>IF(59&gt;=48,('Testes estatísticos'!$D$53+'Testes estatísticos'!$D$64)/2,"")</f>
        <v>-6.9550635000000014</v>
      </c>
      <c r="BI226" s="7">
        <f>IF(60&gt;=48,('Testes estatísticos'!$D$53+'Testes estatísticos'!$D$65)/2,"")</f>
        <v>-5.207472499999998</v>
      </c>
      <c r="BJ226" s="7">
        <f>IF(61&gt;=48,('Testes estatísticos'!$D$53+'Testes estatísticos'!$D$66)/2,"")</f>
        <v>-2.5724175000000002</v>
      </c>
      <c r="BK226" s="7">
        <f>IF(62&gt;=48,('Testes estatísticos'!$D$53+'Testes estatísticos'!$D$67)/2,"")</f>
        <v>-3.0812124999999995</v>
      </c>
      <c r="BL226" s="7">
        <f>IF(63&gt;=48,('Testes estatísticos'!$D$53+'Testes estatísticos'!$D$68)/2,"")</f>
        <v>-2.1818980000000003</v>
      </c>
      <c r="BM226" s="7">
        <f>IF(64&gt;=48,('Testes estatísticos'!$D$53+'Testes estatísticos'!$D$69)/2,"")</f>
        <v>-2.1310560000000009</v>
      </c>
      <c r="BN226" s="7">
        <f>IF(65&gt;=48,('Testes estatísticos'!$D$53+'Testes estatísticos'!$D$70)/2,"")</f>
        <v>-4.2768625</v>
      </c>
      <c r="BO226" s="7">
        <f>IF(66&gt;=48,('Testes estatísticos'!$D$53+'Testes estatísticos'!$D$71)/2,"")</f>
        <v>-3.3810099999999998</v>
      </c>
      <c r="BP226" s="7">
        <f>IF(67&gt;=48,('Testes estatísticos'!$D$53+'Testes estatísticos'!$D$72)/2,"")</f>
        <v>-6.2714689999999997</v>
      </c>
      <c r="BQ226" s="7">
        <f>IF(68&gt;=48,('Testes estatísticos'!$D$53+'Testes estatísticos'!$D$73)/2,"")</f>
        <v>-1.6082360000000016</v>
      </c>
      <c r="BR226" s="7">
        <f>IF(69&gt;=48,('Testes estatísticos'!$D$53+'Testes estatísticos'!$D$74)/2,"")</f>
        <v>-0.97605400000000131</v>
      </c>
      <c r="BS226" s="7">
        <f>IF(70&gt;=48,('Testes estatísticos'!$D$53+'Testes estatísticos'!$D$75)/2,"")</f>
        <v>-1.9805185000000023</v>
      </c>
      <c r="BT226" s="7">
        <f>IF(71&gt;=48,('Testes estatísticos'!$D$53+'Testes estatísticos'!$D$76)/2,"")</f>
        <v>-0.40615350000000205</v>
      </c>
      <c r="BU226" s="7">
        <f>IF(72&gt;=48,('Testes estatísticos'!$D$53+'Testes estatísticos'!$D$77)/2,"")</f>
        <v>-6.0058505000000011</v>
      </c>
      <c r="BV226" s="7">
        <f>IF(73&gt;=48,('Testes estatísticos'!$D$53+'Testes estatísticos'!$D$78)/2,"")</f>
        <v>-3.9323760000000014</v>
      </c>
      <c r="BW226" s="7">
        <f>IF(74&gt;=48,('Testes estatísticos'!$D$53+'Testes estatísticos'!$D$79)/2,"")</f>
        <v>-4.6156945</v>
      </c>
      <c r="BX226" s="7">
        <f>IF(75&gt;=48,('Testes estatísticos'!$D$53+'Testes estatísticos'!$D$80)/2,"")</f>
        <v>-4.6374725000000012</v>
      </c>
      <c r="BY226" s="7">
        <f>IF(76&gt;=48,('Testes estatísticos'!$D$53+'Testes estatísticos'!$D$81)/2,"")</f>
        <v>-0.50601449999999915</v>
      </c>
      <c r="BZ226" s="7">
        <f>IF(77&gt;=48,('Testes estatísticos'!$D$53+'Testes estatísticos'!$D$82)/2,"")</f>
        <v>-5.7676039999999986</v>
      </c>
      <c r="CA226" s="7">
        <f>IF(78&gt;=48,('Testes estatísticos'!$D$53+'Testes estatísticos'!$D$83)/2,"")</f>
        <v>-4.0073449999999973</v>
      </c>
      <c r="CB226" s="7">
        <f>IF(79&gt;=48,('Testes estatísticos'!$D$53+'Testes estatísticos'!$D$84)/2,"")</f>
        <v>-3.9556225000000005</v>
      </c>
      <c r="CC226" s="7">
        <f>IF(80&gt;=48,('Testes estatísticos'!$D$53+'Testes estatísticos'!$D$85)/2,"")</f>
        <v>-5.7626390000000001</v>
      </c>
      <c r="CD226" s="7">
        <f>IF(81&gt;=48,('Testes estatísticos'!$D$53+'Testes estatísticos'!$D$86)/2,"")</f>
        <v>-5.8127840000000006</v>
      </c>
      <c r="CE226" s="7">
        <f>IF(82&gt;=48,('Testes estatísticos'!$D$53+'Testes estatísticos'!$D$87)/2,"")</f>
        <v>-3.7349935000000016</v>
      </c>
      <c r="CF226" s="7">
        <f>IF(83&gt;=48,('Testes estatísticos'!$D$53+'Testes estatísticos'!$D$88)/2,"")</f>
        <v>-4.2638005000000021</v>
      </c>
      <c r="CG226" s="7">
        <f>IF(84&gt;=48,('Testes estatísticos'!$D$53+'Testes estatísticos'!$D$89)/2,"")</f>
        <v>-4.5957074999999996</v>
      </c>
      <c r="CH226" s="7">
        <f>IF(85&gt;=48,('Testes estatísticos'!$D$53+'Testes estatísticos'!$D$90)/2,"")</f>
        <v>-2.7801605000000009</v>
      </c>
      <c r="CI226" s="7">
        <f>IF(86&gt;=48,('Testes estatísticos'!$D$53+'Testes estatísticos'!$D$91)/2,"")</f>
        <v>-5.4703199999999974</v>
      </c>
      <c r="CJ226" s="7">
        <f>IF(87&gt;=48,('Testes estatísticos'!$D$53+'Testes estatísticos'!$D$92)/2,"")</f>
        <v>-4.2281134999999992</v>
      </c>
      <c r="CK226" s="7">
        <f>IF(88&gt;=48,('Testes estatísticos'!$D$53+'Testes estatísticos'!$D$93)/2,"")</f>
        <v>-3.9840300000000006</v>
      </c>
      <c r="CL226" s="7">
        <f>IF(89&gt;=48,('Testes estatísticos'!$D$53+'Testes estatísticos'!$D$94)/2,"")</f>
        <v>-4.5956220000000023</v>
      </c>
      <c r="CM226" s="7">
        <f>IF(90&gt;=48,('Testes estatísticos'!$D$53+'Testes estatísticos'!$D$95)/2,"")</f>
        <v>-6.9297539999999991</v>
      </c>
      <c r="CN226" s="7">
        <f>IF(91&gt;=48,('Testes estatísticos'!$D$53+'Testes estatísticos'!$D$96)/2,"")</f>
        <v>-4.3912309999999977</v>
      </c>
      <c r="CO226" s="7">
        <f>IF(92&gt;=48,('Testes estatísticos'!$D$53+'Testes estatísticos'!$D$97)/2,"")</f>
        <v>-4.7377344999999984</v>
      </c>
      <c r="CP226" s="7">
        <f>IF(93&gt;=48,('Testes estatísticos'!$D$53+'Testes estatísticos'!$D$98)/2,"")</f>
        <v>-4.9424864999999976</v>
      </c>
      <c r="CQ226" s="7">
        <f>IF(94&gt;=48,('Testes estatísticos'!$D$53+'Testes estatísticos'!$D$99)/2,"")</f>
        <v>-2.7613285000000012</v>
      </c>
      <c r="CR226" s="7">
        <f>IF(95&gt;=48,('Testes estatísticos'!$D$53+'Testes estatísticos'!$D$100)/2,"")</f>
        <v>-4.6671215000000004</v>
      </c>
      <c r="CS226" s="7">
        <f>IF(96&gt;=48,('Testes estatísticos'!$D$53+'Testes estatísticos'!$D$101)/2,"")</f>
        <v>-4.6231345000000026</v>
      </c>
      <c r="CT226" s="7">
        <f>IF(97&gt;=48,('Testes estatísticos'!$D$53+'Testes estatísticos'!$D$102)/2,"")</f>
        <v>-4.3900840000000017</v>
      </c>
      <c r="CU226" s="7">
        <f>IF(98&gt;=48,('Testes estatísticos'!$D$53+'Testes estatísticos'!$D$103)/2,"")</f>
        <v>-4.3327579999999983</v>
      </c>
      <c r="CV226" s="7">
        <f>IF(99&gt;=48,('Testes estatísticos'!$D$53+'Testes estatísticos'!$D$104)/2,"")</f>
        <v>-4.7675839999999994</v>
      </c>
      <c r="CW226" s="7">
        <f>IF(100&gt;=48,('Testes estatísticos'!$D$53+'Testes estatísticos'!$D$105)/2,"")</f>
        <v>-4.867049999999999</v>
      </c>
      <c r="CX226" s="7">
        <f>IF(101&gt;=48,('Testes estatísticos'!$D$53+'Testes estatísticos'!$D$106)/2,"")</f>
        <v>-4.3441234999999985</v>
      </c>
      <c r="CY226" s="7">
        <f>IF(102&gt;=48,('Testes estatísticos'!$D$53+'Testes estatísticos'!$D$107)/2,"")</f>
        <v>-4.3997884999999997</v>
      </c>
      <c r="CZ226" s="7">
        <f>IF(103&gt;=48,('Testes estatísticos'!$D$53+'Testes estatísticos'!$D$108)/2,"")</f>
        <v>-4.9239549999999994</v>
      </c>
      <c r="DA226" s="7">
        <f>IF(104&gt;=48,('Testes estatísticos'!$D$53+'Testes estatísticos'!$D$109)/2,"")</f>
        <v>-4.6613209999999974</v>
      </c>
      <c r="DB226" s="7">
        <f>IF(105&gt;=48,('Testes estatísticos'!$D$53+'Testes estatísticos'!$D$110)/2,"")</f>
        <v>-4.6269899999999993</v>
      </c>
      <c r="DC226" s="7">
        <f>IF(106&gt;=48,('Testes estatísticos'!$D$53+'Testes estatísticos'!$D$111)/2,"")</f>
        <v>-3.8840690000000002</v>
      </c>
      <c r="DD226" s="7">
        <f>IF(107&gt;=48,('Testes estatísticos'!$D$53+'Testes estatísticos'!$D$112)/2,"")</f>
        <v>-0.39089799999999997</v>
      </c>
      <c r="DE226" s="7">
        <f>IF(108&gt;=48,('Testes estatísticos'!$D$53+'Testes estatísticos'!$D$113)/2,"")</f>
        <v>-3.8135334999999984</v>
      </c>
      <c r="DF226" s="7">
        <f>IF(109&gt;=48,('Testes estatísticos'!$D$53+'Testes estatísticos'!$D$114)/2,"")</f>
        <v>-3.8497904999999975</v>
      </c>
      <c r="DG226" s="7">
        <f>IF(110&gt;=48,('Testes estatísticos'!$D$53+'Testes estatísticos'!$D$115)/2,"")</f>
        <v>-9.3969300000000011</v>
      </c>
      <c r="DH226" s="7">
        <f>IF(111&gt;=48,('Testes estatísticos'!$D$53+'Testes estatísticos'!$D$116)/2,"")</f>
        <v>-3.7160994999999986</v>
      </c>
      <c r="DI226" s="7">
        <f>IF(112&gt;=48,('Testes estatísticos'!$D$53+'Testes estatísticos'!$D$117)/2,"")</f>
        <v>1.7123404999999998</v>
      </c>
      <c r="DJ226" s="7">
        <f>IF(113&gt;=48,('Testes estatísticos'!$D$53+'Testes estatísticos'!$D$118)/2,"")</f>
        <v>-3.7442165000000003</v>
      </c>
      <c r="DK226" s="7">
        <f>IF(114&gt;=48,('Testes estatísticos'!$D$53+'Testes estatísticos'!$D$119)/2,"")</f>
        <v>-3.8459664999999994</v>
      </c>
      <c r="DL226" s="7">
        <f>IF(115&gt;=48,('Testes estatísticos'!$D$53+'Testes estatísticos'!$D$120)/2,"")</f>
        <v>-3.7994889999999977</v>
      </c>
      <c r="DM226" s="7">
        <f>IF(116&gt;=48,('Testes estatísticos'!$D$53+'Testes estatísticos'!$D$121)/2,"")</f>
        <v>-3.7908864999999992</v>
      </c>
      <c r="DN226" s="7">
        <f>IF(117&gt;=48,('Testes estatísticos'!$D$53+'Testes estatísticos'!$D$122)/2,"")</f>
        <v>-3.7678185000000006</v>
      </c>
      <c r="DO226" s="7">
        <f>IF(118&gt;=48,('Testes estatísticos'!$D$53+'Testes estatísticos'!$D$123)/2,"")</f>
        <v>-3.7179080000000013</v>
      </c>
      <c r="DP226" s="7">
        <f>IF(119&gt;=48,('Testes estatísticos'!$D$53+'Testes estatísticos'!$D$124)/2,"")</f>
        <v>-3.739119500000001</v>
      </c>
      <c r="DQ226" s="7">
        <f>IF(120&gt;=48,('Testes estatísticos'!$D$53+'Testes estatísticos'!$D$125)/2,"")</f>
        <v>-0.68750499999999803</v>
      </c>
      <c r="DR226" s="7">
        <f>IF(121&gt;=48,('Testes estatísticos'!$D$53+'Testes estatísticos'!$D$126)/2,"")</f>
        <v>-3.4765215000000005</v>
      </c>
      <c r="DS226" s="7">
        <f>IF(122&gt;=48,('Testes estatísticos'!$D$53+'Testes estatísticos'!$D$127)/2,"")</f>
        <v>-4.5419299999999971</v>
      </c>
      <c r="DT226" s="7">
        <f>IF(123&gt;=48,('Testes estatísticos'!$D$53+'Testes estatísticos'!$D$128)/2,"")</f>
        <v>1.5269394999999975</v>
      </c>
      <c r="DU226" s="7">
        <f>IF(124&gt;=48,('Testes estatísticos'!$D$53+'Testes estatísticos'!$D$129)/2,"")</f>
        <v>-3.3688320000000012</v>
      </c>
      <c r="DV226" s="7">
        <f>IF(125&gt;=48,('Testes estatísticos'!$D$53+'Testes estatísticos'!$D$130)/2,"")</f>
        <v>-2.2105245000000018</v>
      </c>
      <c r="DW226" s="7">
        <f>IF(126&gt;=48,('Testes estatísticos'!$D$53+'Testes estatísticos'!$D$131)/2,"")</f>
        <v>-4.6140004999999995</v>
      </c>
      <c r="DX226" s="7">
        <f>IF(127&gt;=48,('Testes estatísticos'!$D$53+'Testes estatísticos'!$D$132)/2,"")</f>
        <v>-6.6701920000000001</v>
      </c>
      <c r="DY226" s="7">
        <f>IF(128&gt;=48,('Testes estatísticos'!$D$53+'Testes estatísticos'!$D$133)/2,"")</f>
        <v>-7.0112814999999991</v>
      </c>
      <c r="DZ226" s="7">
        <f>IF(129&gt;=48,('Testes estatísticos'!$D$53+'Testes estatísticos'!$D$134)/2,"")</f>
        <v>-10.435071499999999</v>
      </c>
      <c r="EA226" s="7">
        <f>IF(130&gt;=48,('Testes estatísticos'!$D$53+'Testes estatísticos'!$D$135)/2,"")</f>
        <v>-4.6733014999999973</v>
      </c>
      <c r="EB226" s="7">
        <f>IF(131&gt;=48,('Testes estatísticos'!$D$53+'Testes estatísticos'!$D$136)/2,"")</f>
        <v>-4.5854285000000026</v>
      </c>
      <c r="EC226" s="7">
        <f>IF(132&gt;=48,('Testes estatísticos'!$D$53+'Testes estatísticos'!$D$137)/2,"")</f>
        <v>-6.0721650000000018</v>
      </c>
      <c r="ED226" s="7">
        <f>IF(133&gt;=48,('Testes estatísticos'!$D$53+'Testes estatísticos'!$D$138)/2,"")</f>
        <v>-3.8832275000000003</v>
      </c>
      <c r="EE226" s="7">
        <f>IF(134&gt;=48,('Testes estatísticos'!$D$53+'Testes estatísticos'!$D$139)/2,"")</f>
        <v>-6.1804180000000031</v>
      </c>
      <c r="EF226" s="7">
        <f>IF(135&gt;=48,('Testes estatísticos'!$D$53+'Testes estatísticos'!$D$140)/2,"")</f>
        <v>-2.9659854999999986</v>
      </c>
      <c r="EG226" s="7">
        <f>IF(136&gt;=48,('Testes estatísticos'!$D$53+'Testes estatísticos'!$D$141)/2,"")</f>
        <v>-4.6594755000000028</v>
      </c>
      <c r="EH226" s="7">
        <f>IF(137&gt;=48,('Testes estatísticos'!$D$53+'Testes estatísticos'!$D$142)/2,"")</f>
        <v>-2.9547355000000017</v>
      </c>
      <c r="EI226" s="7">
        <f>IF(138&gt;=48,('Testes estatísticos'!$D$53+'Testes estatísticos'!$D$143)/2,"")</f>
        <v>-4.6197509999999973</v>
      </c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</row>
    <row r="227" spans="2:151" x14ac:dyDescent="0.3">
      <c r="B227" s="7" t="str">
        <f>IF(1&gt;=49,('Testes estatísticos'!$D$54+'Testes estatísticos'!$D$6)/2,"")</f>
        <v/>
      </c>
      <c r="C227" s="7" t="str">
        <f>IF(2&gt;=49,('Testes estatísticos'!$D$54+'Testes estatísticos'!$D$7)/2,"")</f>
        <v/>
      </c>
      <c r="D227" s="7" t="str">
        <f>IF(3&gt;=49,('Testes estatísticos'!$D$54+'Testes estatísticos'!$D$8)/2,"")</f>
        <v/>
      </c>
      <c r="E227" s="7" t="str">
        <f>IF(4&gt;=49,('Testes estatísticos'!$D$54+'Testes estatísticos'!$D$9)/2,"")</f>
        <v/>
      </c>
      <c r="F227" s="7" t="str">
        <f>IF(5&gt;=49,('Testes estatísticos'!$D$54+'Testes estatísticos'!$D$10)/2,"")</f>
        <v/>
      </c>
      <c r="G227" s="7" t="str">
        <f>IF(6&gt;=49,('Testes estatísticos'!$D$54+'Testes estatísticos'!$D$11)/2,"")</f>
        <v/>
      </c>
      <c r="H227" s="7" t="str">
        <f>IF(7&gt;=49,('Testes estatísticos'!$D$54+'Testes estatísticos'!$D$12)/2,"")</f>
        <v/>
      </c>
      <c r="I227" s="7" t="str">
        <f>IF(8&gt;=49,('Testes estatísticos'!$D$54+'Testes estatísticos'!$D$13)/2,"")</f>
        <v/>
      </c>
      <c r="J227" s="7" t="str">
        <f>IF(9&gt;=49,('Testes estatísticos'!$D$54+'Testes estatísticos'!$D$14)/2,"")</f>
        <v/>
      </c>
      <c r="K227" s="7" t="str">
        <f>IF(10&gt;=49,('Testes estatísticos'!$D$54+'Testes estatísticos'!$D$15)/2,"")</f>
        <v/>
      </c>
      <c r="L227" s="7" t="str">
        <f>IF(11&gt;=49,('Testes estatísticos'!$D$54+'Testes estatísticos'!$D$16)/2,"")</f>
        <v/>
      </c>
      <c r="M227" s="7" t="str">
        <f>IF(12&gt;=49,('Testes estatísticos'!$D$54+'Testes estatísticos'!$D$17)/2,"")</f>
        <v/>
      </c>
      <c r="N227" s="7" t="str">
        <f>IF(13&gt;=49,('Testes estatísticos'!$D$54+'Testes estatísticos'!$D$18)/2,"")</f>
        <v/>
      </c>
      <c r="O227" s="7" t="str">
        <f>IF(14&gt;=49,('Testes estatísticos'!$D$54+'Testes estatísticos'!$D$19)/2,"")</f>
        <v/>
      </c>
      <c r="P227" s="7" t="str">
        <f>IF(15&gt;=49,('Testes estatísticos'!$D$54+'Testes estatísticos'!$D$20)/2,"")</f>
        <v/>
      </c>
      <c r="Q227" s="7" t="str">
        <f>IF(16&gt;=49,('Testes estatísticos'!$D$54+'Testes estatísticos'!$D$21)/2,"")</f>
        <v/>
      </c>
      <c r="R227" s="7" t="str">
        <f>IF(17&gt;=49,('Testes estatísticos'!$D$54+'Testes estatísticos'!$D$22)/2,"")</f>
        <v/>
      </c>
      <c r="S227" s="7" t="str">
        <f>IF(18&gt;=49,('Testes estatísticos'!$D$54+'Testes estatísticos'!$D$23)/2,"")</f>
        <v/>
      </c>
      <c r="T227" s="7" t="str">
        <f>IF(19&gt;=49,('Testes estatísticos'!$D$54+'Testes estatísticos'!$D$24)/2,"")</f>
        <v/>
      </c>
      <c r="U227" s="7" t="str">
        <f>IF(20&gt;=49,('Testes estatísticos'!$D$54+'Testes estatísticos'!$D$25)/2,"")</f>
        <v/>
      </c>
      <c r="V227" s="7" t="str">
        <f>IF(21&gt;=49,('Testes estatísticos'!$D$54+'Testes estatísticos'!$D$26)/2,"")</f>
        <v/>
      </c>
      <c r="W227" s="7" t="str">
        <f>IF(22&gt;=49,('Testes estatísticos'!$D$54+'Testes estatísticos'!$D$27)/2,"")</f>
        <v/>
      </c>
      <c r="X227" s="7" t="str">
        <f>IF(23&gt;=49,('Testes estatísticos'!$D$54+'Testes estatísticos'!$D$28)/2,"")</f>
        <v/>
      </c>
      <c r="Y227" s="7" t="str">
        <f>IF(24&gt;=49,('Testes estatísticos'!$D$54+'Testes estatísticos'!$D$29)/2,"")</f>
        <v/>
      </c>
      <c r="Z227" s="7" t="str">
        <f>IF(25&gt;=49,('Testes estatísticos'!$D$54+'Testes estatísticos'!$D$30)/2,"")</f>
        <v/>
      </c>
      <c r="AA227" s="7" t="str">
        <f>IF(26&gt;=49,('Testes estatísticos'!$D$54+'Testes estatísticos'!$D$31)/2,"")</f>
        <v/>
      </c>
      <c r="AB227" s="7" t="str">
        <f>IF(27&gt;=49,('Testes estatísticos'!$D$54+'Testes estatísticos'!$D$32)/2,"")</f>
        <v/>
      </c>
      <c r="AC227" s="7" t="str">
        <f>IF(28&gt;=49,('Testes estatísticos'!$D$54+'Testes estatísticos'!$D$33)/2,"")</f>
        <v/>
      </c>
      <c r="AD227" s="7" t="str">
        <f>IF(29&gt;=49,('Testes estatísticos'!$D$54+'Testes estatísticos'!$D$34)/2,"")</f>
        <v/>
      </c>
      <c r="AE227" s="7" t="str">
        <f>IF(30&gt;=49,('Testes estatísticos'!$D$54+'Testes estatísticos'!$D$35)/2,"")</f>
        <v/>
      </c>
      <c r="AF227" s="7" t="str">
        <f>IF(31&gt;=49,('Testes estatísticos'!$D$54+'Testes estatísticos'!$D$36)/2,"")</f>
        <v/>
      </c>
      <c r="AG227" s="7" t="str">
        <f>IF(32&gt;=49,('Testes estatísticos'!$D$54+'Testes estatísticos'!$D$37)/2,"")</f>
        <v/>
      </c>
      <c r="AH227" s="7" t="str">
        <f>IF(33&gt;=49,('Testes estatísticos'!$D$54+'Testes estatísticos'!$D$38)/2,"")</f>
        <v/>
      </c>
      <c r="AI227" s="7" t="str">
        <f>IF(34&gt;=49,('Testes estatísticos'!$D$54+'Testes estatísticos'!$D$39)/2,"")</f>
        <v/>
      </c>
      <c r="AJ227" s="7" t="str">
        <f>IF(35&gt;=49,('Testes estatísticos'!$D$54+'Testes estatísticos'!$D$40)/2,"")</f>
        <v/>
      </c>
      <c r="AK227" s="7" t="str">
        <f>IF(36&gt;=49,('Testes estatísticos'!$D$54+'Testes estatísticos'!$D$41)/2,"")</f>
        <v/>
      </c>
      <c r="AL227" s="7" t="str">
        <f>IF(37&gt;=49,('Testes estatísticos'!$D$54+'Testes estatísticos'!$D$42)/2,"")</f>
        <v/>
      </c>
      <c r="AM227" s="7" t="str">
        <f>IF(38&gt;=49,('Testes estatísticos'!$D$54+'Testes estatísticos'!$D$43)/2,"")</f>
        <v/>
      </c>
      <c r="AN227" s="7" t="str">
        <f>IF(39&gt;=49,('Testes estatísticos'!$D$54+'Testes estatísticos'!$D$44)/2,"")</f>
        <v/>
      </c>
      <c r="AO227" s="7" t="str">
        <f>IF(40&gt;=49,('Testes estatísticos'!$D$54+'Testes estatísticos'!$D$45)/2,"")</f>
        <v/>
      </c>
      <c r="AP227" s="7" t="str">
        <f>IF(41&gt;=49,('Testes estatísticos'!$D$54+'Testes estatísticos'!$D$46)/2,"")</f>
        <v/>
      </c>
      <c r="AQ227" s="7" t="str">
        <f>IF(42&gt;=49,('Testes estatísticos'!$D$54+'Testes estatísticos'!$D$47)/2,"")</f>
        <v/>
      </c>
      <c r="AR227" s="7" t="str">
        <f>IF(43&gt;=49,('Testes estatísticos'!$D$54+'Testes estatísticos'!$D$48)/2,"")</f>
        <v/>
      </c>
      <c r="AS227" s="7" t="str">
        <f>IF(44&gt;=49,('Testes estatísticos'!$D$54+'Testes estatísticos'!$D$49)/2,"")</f>
        <v/>
      </c>
      <c r="AT227" s="7" t="str">
        <f>IF(45&gt;=49,('Testes estatísticos'!$D$54+'Testes estatísticos'!$D$50)/2,"")</f>
        <v/>
      </c>
      <c r="AU227" s="7" t="str">
        <f>IF(46&gt;=49,('Testes estatísticos'!$D$54+'Testes estatísticos'!$D$51)/2,"")</f>
        <v/>
      </c>
      <c r="AV227" s="7" t="str">
        <f>IF(47&gt;=49,('Testes estatísticos'!$D$54+'Testes estatísticos'!$D$52)/2,"")</f>
        <v/>
      </c>
      <c r="AW227" s="7" t="str">
        <f>IF(48&gt;=49,('Testes estatísticos'!$D$54+'Testes estatísticos'!$D$53)/2,"")</f>
        <v/>
      </c>
      <c r="AX227" s="7">
        <f>IF(49&gt;=49,('Testes estatísticos'!$D$54+'Testes estatísticos'!$D$54)/2,"")</f>
        <v>-2.9336059999999975</v>
      </c>
      <c r="AY227" s="7">
        <f>IF(50&gt;=49,('Testes estatísticos'!$D$54+'Testes estatísticos'!$D$55)/2,"")</f>
        <v>-1.3084414999999971</v>
      </c>
      <c r="AZ227" s="7">
        <f>IF(51&gt;=49,('Testes estatísticos'!$D$54+'Testes estatísticos'!$D$56)/2,"")</f>
        <v>-1.263971999999999</v>
      </c>
      <c r="BA227" s="7">
        <f>IF(52&gt;=49,('Testes estatísticos'!$D$54+'Testes estatísticos'!$D$57)/2,"")</f>
        <v>-4.6721879999999985</v>
      </c>
      <c r="BB227" s="7">
        <f>IF(53&gt;=49,('Testes estatísticos'!$D$54+'Testes estatísticos'!$D$58)/2,"")</f>
        <v>-1.2634254999999968</v>
      </c>
      <c r="BC227" s="7">
        <f>IF(54&gt;=49,('Testes estatísticos'!$D$54+'Testes estatísticos'!$D$59)/2,"")</f>
        <v>-2.1830679999999987</v>
      </c>
      <c r="BD227" s="7">
        <f>IF(55&gt;=49,('Testes estatísticos'!$D$54+'Testes estatísticos'!$D$60)/2,"")</f>
        <v>0.91260300000000072</v>
      </c>
      <c r="BE227" s="7">
        <f>IF(56&gt;=49,('Testes estatísticos'!$D$54+'Testes estatísticos'!$D$61)/2,"")</f>
        <v>-1.7173654999999961</v>
      </c>
      <c r="BF227" s="7">
        <f>IF(57&gt;=49,('Testes estatísticos'!$D$54+'Testes estatísticos'!$D$62)/2,"")</f>
        <v>-5.1175555000000017</v>
      </c>
      <c r="BG227" s="7">
        <f>IF(58&gt;=49,('Testes estatísticos'!$D$54+'Testes estatísticos'!$D$63)/2,"")</f>
        <v>0.14833950000000229</v>
      </c>
      <c r="BH227" s="7">
        <f>IF(59&gt;=49,('Testes estatísticos'!$D$54+'Testes estatísticos'!$D$64)/2,"")</f>
        <v>-5.6952730000000003</v>
      </c>
      <c r="BI227" s="7">
        <f>IF(60&gt;=49,('Testes estatísticos'!$D$54+'Testes estatísticos'!$D$65)/2,"")</f>
        <v>-3.9476819999999968</v>
      </c>
      <c r="BJ227" s="7">
        <f>IF(61&gt;=49,('Testes estatísticos'!$D$54+'Testes estatísticos'!$D$66)/2,"")</f>
        <v>-1.3126269999999991</v>
      </c>
      <c r="BK227" s="7">
        <f>IF(62&gt;=49,('Testes estatísticos'!$D$54+'Testes estatísticos'!$D$67)/2,"")</f>
        <v>-1.8214219999999983</v>
      </c>
      <c r="BL227" s="7">
        <f>IF(63&gt;=49,('Testes estatísticos'!$D$54+'Testes estatísticos'!$D$68)/2,"")</f>
        <v>-0.92210749999999919</v>
      </c>
      <c r="BM227" s="7">
        <f>IF(64&gt;=49,('Testes estatísticos'!$D$54+'Testes estatísticos'!$D$69)/2,"")</f>
        <v>-0.8712654999999998</v>
      </c>
      <c r="BN227" s="7">
        <f>IF(65&gt;=49,('Testes estatísticos'!$D$54+'Testes estatísticos'!$D$70)/2,"")</f>
        <v>-3.0170719999999989</v>
      </c>
      <c r="BO227" s="7">
        <f>IF(66&gt;=49,('Testes estatísticos'!$D$54+'Testes estatísticos'!$D$71)/2,"")</f>
        <v>-2.1212194999999987</v>
      </c>
      <c r="BP227" s="7">
        <f>IF(67&gt;=49,('Testes estatísticos'!$D$54+'Testes estatísticos'!$D$72)/2,"")</f>
        <v>-5.0116784999999986</v>
      </c>
      <c r="BQ227" s="7">
        <f>IF(68&gt;=49,('Testes estatísticos'!$D$54+'Testes estatísticos'!$D$73)/2,"")</f>
        <v>-0.34844550000000041</v>
      </c>
      <c r="BR227" s="7">
        <f>IF(69&gt;=49,('Testes estatísticos'!$D$54+'Testes estatísticos'!$D$74)/2,"")</f>
        <v>0.28373649999999984</v>
      </c>
      <c r="BS227" s="7">
        <f>IF(70&gt;=49,('Testes estatísticos'!$D$54+'Testes estatísticos'!$D$75)/2,"")</f>
        <v>-0.72072800000000115</v>
      </c>
      <c r="BT227" s="7">
        <f>IF(71&gt;=49,('Testes estatísticos'!$D$54+'Testes estatísticos'!$D$76)/2,"")</f>
        <v>0.85363699999999909</v>
      </c>
      <c r="BU227" s="7">
        <f>IF(72&gt;=49,('Testes estatísticos'!$D$54+'Testes estatísticos'!$D$77)/2,"")</f>
        <v>-4.7460599999999999</v>
      </c>
      <c r="BV227" s="7">
        <f>IF(73&gt;=49,('Testes estatísticos'!$D$54+'Testes estatísticos'!$D$78)/2,"")</f>
        <v>-2.6725855000000003</v>
      </c>
      <c r="BW227" s="7">
        <f>IF(74&gt;=49,('Testes estatísticos'!$D$54+'Testes estatísticos'!$D$79)/2,"")</f>
        <v>-3.3559039999999989</v>
      </c>
      <c r="BX227" s="7">
        <f>IF(75&gt;=49,('Testes estatísticos'!$D$54+'Testes estatísticos'!$D$80)/2,"")</f>
        <v>-3.3776820000000001</v>
      </c>
      <c r="BY227" s="7">
        <f>IF(76&gt;=49,('Testes estatísticos'!$D$54+'Testes estatísticos'!$D$81)/2,"")</f>
        <v>0.753776000000002</v>
      </c>
      <c r="BZ227" s="7">
        <f>IF(77&gt;=49,('Testes estatísticos'!$D$54+'Testes estatísticos'!$D$82)/2,"")</f>
        <v>-4.5078134999999975</v>
      </c>
      <c r="CA227" s="7">
        <f>IF(78&gt;=49,('Testes estatísticos'!$D$54+'Testes estatísticos'!$D$83)/2,"")</f>
        <v>-2.7475544999999961</v>
      </c>
      <c r="CB227" s="7">
        <f>IF(79&gt;=49,('Testes estatísticos'!$D$54+'Testes estatísticos'!$D$84)/2,"")</f>
        <v>-2.6958319999999993</v>
      </c>
      <c r="CC227" s="7">
        <f>IF(80&gt;=49,('Testes estatísticos'!$D$54+'Testes estatísticos'!$D$85)/2,"")</f>
        <v>-4.5028484999999989</v>
      </c>
      <c r="CD227" s="7">
        <f>IF(81&gt;=49,('Testes estatísticos'!$D$54+'Testes estatísticos'!$D$86)/2,"")</f>
        <v>-4.5529934999999995</v>
      </c>
      <c r="CE227" s="7">
        <f>IF(82&gt;=49,('Testes estatísticos'!$D$54+'Testes estatísticos'!$D$87)/2,"")</f>
        <v>-2.4752030000000005</v>
      </c>
      <c r="CF227" s="7">
        <f>IF(83&gt;=49,('Testes estatísticos'!$D$54+'Testes estatísticos'!$D$88)/2,"")</f>
        <v>-3.004010000000001</v>
      </c>
      <c r="CG227" s="7">
        <f>IF(84&gt;=49,('Testes estatísticos'!$D$54+'Testes estatísticos'!$D$89)/2,"")</f>
        <v>-3.3359169999999985</v>
      </c>
      <c r="CH227" s="7">
        <f>IF(85&gt;=49,('Testes estatísticos'!$D$54+'Testes estatísticos'!$D$90)/2,"")</f>
        <v>-1.5203699999999998</v>
      </c>
      <c r="CI227" s="7">
        <f>IF(86&gt;=49,('Testes estatísticos'!$D$54+'Testes estatísticos'!$D$91)/2,"")</f>
        <v>-4.2105294999999963</v>
      </c>
      <c r="CJ227" s="7">
        <f>IF(87&gt;=49,('Testes estatísticos'!$D$54+'Testes estatísticos'!$D$92)/2,"")</f>
        <v>-2.968322999999998</v>
      </c>
      <c r="CK227" s="7">
        <f>IF(88&gt;=49,('Testes estatísticos'!$D$54+'Testes estatísticos'!$D$93)/2,"")</f>
        <v>-2.7242394999999995</v>
      </c>
      <c r="CL227" s="7">
        <f>IF(89&gt;=49,('Testes estatísticos'!$D$54+'Testes estatísticos'!$D$94)/2,"")</f>
        <v>-3.3358315000000012</v>
      </c>
      <c r="CM227" s="7">
        <f>IF(90&gt;=49,('Testes estatísticos'!$D$54+'Testes estatísticos'!$D$95)/2,"")</f>
        <v>-5.6699634999999979</v>
      </c>
      <c r="CN227" s="7">
        <f>IF(91&gt;=49,('Testes estatísticos'!$D$54+'Testes estatísticos'!$D$96)/2,"")</f>
        <v>-3.1314404999999965</v>
      </c>
      <c r="CO227" s="7">
        <f>IF(92&gt;=49,('Testes estatísticos'!$D$54+'Testes estatísticos'!$D$97)/2,"")</f>
        <v>-3.4779439999999973</v>
      </c>
      <c r="CP227" s="7">
        <f>IF(93&gt;=49,('Testes estatísticos'!$D$54+'Testes estatísticos'!$D$98)/2,"")</f>
        <v>-3.6826959999999964</v>
      </c>
      <c r="CQ227" s="7">
        <f>IF(94&gt;=49,('Testes estatísticos'!$D$54+'Testes estatísticos'!$D$99)/2,"")</f>
        <v>-1.501538</v>
      </c>
      <c r="CR227" s="7">
        <f>IF(95&gt;=49,('Testes estatísticos'!$D$54+'Testes estatísticos'!$D$100)/2,"")</f>
        <v>-3.4073309999999992</v>
      </c>
      <c r="CS227" s="7">
        <f>IF(96&gt;=49,('Testes estatísticos'!$D$54+'Testes estatísticos'!$D$101)/2,"")</f>
        <v>-3.3633440000000014</v>
      </c>
      <c r="CT227" s="7">
        <f>IF(97&gt;=49,('Testes estatísticos'!$D$54+'Testes estatísticos'!$D$102)/2,"")</f>
        <v>-3.1302935000000005</v>
      </c>
      <c r="CU227" s="7">
        <f>IF(98&gt;=49,('Testes estatísticos'!$D$54+'Testes estatísticos'!$D$103)/2,"")</f>
        <v>-3.0729674999999972</v>
      </c>
      <c r="CV227" s="7">
        <f>IF(99&gt;=49,('Testes estatísticos'!$D$54+'Testes estatísticos'!$D$104)/2,"")</f>
        <v>-3.5077934999999982</v>
      </c>
      <c r="CW227" s="7">
        <f>IF(100&gt;=49,('Testes estatísticos'!$D$54+'Testes estatísticos'!$D$105)/2,"")</f>
        <v>-3.6072594999999978</v>
      </c>
      <c r="CX227" s="7">
        <f>IF(101&gt;=49,('Testes estatísticos'!$D$54+'Testes estatísticos'!$D$106)/2,"")</f>
        <v>-3.0843329999999973</v>
      </c>
      <c r="CY227" s="7">
        <f>IF(102&gt;=49,('Testes estatísticos'!$D$54+'Testes estatísticos'!$D$107)/2,"")</f>
        <v>-3.1399979999999985</v>
      </c>
      <c r="CZ227" s="7">
        <f>IF(103&gt;=49,('Testes estatísticos'!$D$54+'Testes estatísticos'!$D$108)/2,"")</f>
        <v>-3.6641644999999983</v>
      </c>
      <c r="DA227" s="7">
        <f>IF(104&gt;=49,('Testes estatísticos'!$D$54+'Testes estatísticos'!$D$109)/2,"")</f>
        <v>-3.4015304999999962</v>
      </c>
      <c r="DB227" s="7">
        <f>IF(105&gt;=49,('Testes estatísticos'!$D$54+'Testes estatísticos'!$D$110)/2,"")</f>
        <v>-3.3671994999999981</v>
      </c>
      <c r="DC227" s="7">
        <f>IF(106&gt;=49,('Testes estatísticos'!$D$54+'Testes estatísticos'!$D$111)/2,"")</f>
        <v>-2.6242784999999991</v>
      </c>
      <c r="DD227" s="7">
        <f>IF(107&gt;=49,('Testes estatísticos'!$D$54+'Testes estatísticos'!$D$112)/2,"")</f>
        <v>0.86889250000000118</v>
      </c>
      <c r="DE227" s="7">
        <f>IF(108&gt;=49,('Testes estatísticos'!$D$54+'Testes estatísticos'!$D$113)/2,"")</f>
        <v>-2.5537429999999972</v>
      </c>
      <c r="DF227" s="7">
        <f>IF(109&gt;=49,('Testes estatísticos'!$D$54+'Testes estatísticos'!$D$114)/2,"")</f>
        <v>-2.5899999999999963</v>
      </c>
      <c r="DG227" s="7">
        <f>IF(110&gt;=49,('Testes estatísticos'!$D$54+'Testes estatísticos'!$D$115)/2,"")</f>
        <v>-8.1371395</v>
      </c>
      <c r="DH227" s="7">
        <f>IF(111&gt;=49,('Testes estatísticos'!$D$54+'Testes estatísticos'!$D$116)/2,"")</f>
        <v>-2.4563089999999974</v>
      </c>
      <c r="DI227" s="7">
        <f>IF(112&gt;=49,('Testes estatísticos'!$D$54+'Testes estatísticos'!$D$117)/2,"")</f>
        <v>2.972131000000001</v>
      </c>
      <c r="DJ227" s="7">
        <f>IF(113&gt;=49,('Testes estatísticos'!$D$54+'Testes estatísticos'!$D$118)/2,"")</f>
        <v>-2.4844259999999991</v>
      </c>
      <c r="DK227" s="7">
        <f>IF(114&gt;=49,('Testes estatísticos'!$D$54+'Testes estatísticos'!$D$119)/2,"")</f>
        <v>-2.5861759999999983</v>
      </c>
      <c r="DL227" s="7">
        <f>IF(115&gt;=49,('Testes estatísticos'!$D$54+'Testes estatísticos'!$D$120)/2,"")</f>
        <v>-2.5396984999999965</v>
      </c>
      <c r="DM227" s="7">
        <f>IF(116&gt;=49,('Testes estatísticos'!$D$54+'Testes estatísticos'!$D$121)/2,"")</f>
        <v>-2.531095999999998</v>
      </c>
      <c r="DN227" s="7">
        <f>IF(117&gt;=49,('Testes estatísticos'!$D$54+'Testes estatísticos'!$D$122)/2,"")</f>
        <v>-2.5080279999999995</v>
      </c>
      <c r="DO227" s="7">
        <f>IF(118&gt;=49,('Testes estatísticos'!$D$54+'Testes estatísticos'!$D$123)/2,"")</f>
        <v>-2.4581175000000002</v>
      </c>
      <c r="DP227" s="7">
        <f>IF(119&gt;=49,('Testes estatísticos'!$D$54+'Testes estatísticos'!$D$124)/2,"")</f>
        <v>-2.4793289999999999</v>
      </c>
      <c r="DQ227" s="7">
        <f>IF(120&gt;=49,('Testes estatísticos'!$D$54+'Testes estatísticos'!$D$125)/2,"")</f>
        <v>0.57228550000000311</v>
      </c>
      <c r="DR227" s="7">
        <f>IF(121&gt;=49,('Testes estatísticos'!$D$54+'Testes estatísticos'!$D$126)/2,"")</f>
        <v>-2.2167309999999993</v>
      </c>
      <c r="DS227" s="7">
        <f>IF(122&gt;=49,('Testes estatísticos'!$D$54+'Testes estatísticos'!$D$127)/2,"")</f>
        <v>-3.282139499999996</v>
      </c>
      <c r="DT227" s="7">
        <f>IF(123&gt;=49,('Testes estatísticos'!$D$54+'Testes estatísticos'!$D$128)/2,"")</f>
        <v>2.7867299999999986</v>
      </c>
      <c r="DU227" s="7">
        <f>IF(124&gt;=49,('Testes estatísticos'!$D$54+'Testes estatísticos'!$D$129)/2,"")</f>
        <v>-2.1090415</v>
      </c>
      <c r="DV227" s="7">
        <f>IF(125&gt;=49,('Testes estatísticos'!$D$54+'Testes estatísticos'!$D$130)/2,"")</f>
        <v>-0.95073400000000063</v>
      </c>
      <c r="DW227" s="7">
        <f>IF(126&gt;=49,('Testes estatísticos'!$D$54+'Testes estatísticos'!$D$131)/2,"")</f>
        <v>-3.3542099999999984</v>
      </c>
      <c r="DX227" s="7">
        <f>IF(127&gt;=49,('Testes estatísticos'!$D$54+'Testes estatísticos'!$D$132)/2,"")</f>
        <v>-5.410401499999999</v>
      </c>
      <c r="DY227" s="7">
        <f>IF(128&gt;=49,('Testes estatísticos'!$D$54+'Testes estatísticos'!$D$133)/2,"")</f>
        <v>-5.7514909999999979</v>
      </c>
      <c r="DZ227" s="7">
        <f>IF(129&gt;=49,('Testes estatísticos'!$D$54+'Testes estatísticos'!$D$134)/2,"")</f>
        <v>-9.1752809999999982</v>
      </c>
      <c r="EA227" s="7">
        <f>IF(130&gt;=49,('Testes estatísticos'!$D$54+'Testes estatísticos'!$D$135)/2,"")</f>
        <v>-3.4135109999999962</v>
      </c>
      <c r="EB227" s="7">
        <f>IF(131&gt;=49,('Testes estatísticos'!$D$54+'Testes estatísticos'!$D$136)/2,"")</f>
        <v>-3.3256380000000014</v>
      </c>
      <c r="EC227" s="7">
        <f>IF(132&gt;=49,('Testes estatísticos'!$D$54+'Testes estatísticos'!$D$137)/2,"")</f>
        <v>-4.8123745000000007</v>
      </c>
      <c r="ED227" s="7">
        <f>IF(133&gt;=49,('Testes estatísticos'!$D$54+'Testes estatísticos'!$D$138)/2,"")</f>
        <v>-2.6234369999999991</v>
      </c>
      <c r="EE227" s="7">
        <f>IF(134&gt;=49,('Testes estatísticos'!$D$54+'Testes estatísticos'!$D$139)/2,"")</f>
        <v>-4.9206275000000019</v>
      </c>
      <c r="EF227" s="7">
        <f>IF(135&gt;=49,('Testes estatísticos'!$D$54+'Testes estatísticos'!$D$140)/2,"")</f>
        <v>-1.7061949999999975</v>
      </c>
      <c r="EG227" s="7">
        <f>IF(136&gt;=49,('Testes estatísticos'!$D$54+'Testes estatísticos'!$D$141)/2,"")</f>
        <v>-3.3996850000000016</v>
      </c>
      <c r="EH227" s="7">
        <f>IF(137&gt;=49,('Testes estatísticos'!$D$54+'Testes estatísticos'!$D$142)/2,"")</f>
        <v>-1.6949450000000006</v>
      </c>
      <c r="EI227" s="7">
        <f>IF(138&gt;=49,('Testes estatísticos'!$D$54+'Testes estatísticos'!$D$143)/2,"")</f>
        <v>-3.3599604999999961</v>
      </c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</row>
    <row r="228" spans="2:151" x14ac:dyDescent="0.3">
      <c r="B228" s="7" t="str">
        <f>IF(1&gt;=50,('Testes estatísticos'!$D$55+'Testes estatísticos'!$D$6)/2,"")</f>
        <v/>
      </c>
      <c r="C228" s="7" t="str">
        <f>IF(2&gt;=50,('Testes estatísticos'!$D$55+'Testes estatísticos'!$D$7)/2,"")</f>
        <v/>
      </c>
      <c r="D228" s="7" t="str">
        <f>IF(3&gt;=50,('Testes estatísticos'!$D$55+'Testes estatísticos'!$D$8)/2,"")</f>
        <v/>
      </c>
      <c r="E228" s="7" t="str">
        <f>IF(4&gt;=50,('Testes estatísticos'!$D$55+'Testes estatísticos'!$D$9)/2,"")</f>
        <v/>
      </c>
      <c r="F228" s="7" t="str">
        <f>IF(5&gt;=50,('Testes estatísticos'!$D$55+'Testes estatísticos'!$D$10)/2,"")</f>
        <v/>
      </c>
      <c r="G228" s="7" t="str">
        <f>IF(6&gt;=50,('Testes estatísticos'!$D$55+'Testes estatísticos'!$D$11)/2,"")</f>
        <v/>
      </c>
      <c r="H228" s="7" t="str">
        <f>IF(7&gt;=50,('Testes estatísticos'!$D$55+'Testes estatísticos'!$D$12)/2,"")</f>
        <v/>
      </c>
      <c r="I228" s="7" t="str">
        <f>IF(8&gt;=50,('Testes estatísticos'!$D$55+'Testes estatísticos'!$D$13)/2,"")</f>
        <v/>
      </c>
      <c r="J228" s="7" t="str">
        <f>IF(9&gt;=50,('Testes estatísticos'!$D$55+'Testes estatísticos'!$D$14)/2,"")</f>
        <v/>
      </c>
      <c r="K228" s="7" t="str">
        <f>IF(10&gt;=50,('Testes estatísticos'!$D$55+'Testes estatísticos'!$D$15)/2,"")</f>
        <v/>
      </c>
      <c r="L228" s="7" t="str">
        <f>IF(11&gt;=50,('Testes estatísticos'!$D$55+'Testes estatísticos'!$D$16)/2,"")</f>
        <v/>
      </c>
      <c r="M228" s="7" t="str">
        <f>IF(12&gt;=50,('Testes estatísticos'!$D$55+'Testes estatísticos'!$D$17)/2,"")</f>
        <v/>
      </c>
      <c r="N228" s="7" t="str">
        <f>IF(13&gt;=50,('Testes estatísticos'!$D$55+'Testes estatísticos'!$D$18)/2,"")</f>
        <v/>
      </c>
      <c r="O228" s="7" t="str">
        <f>IF(14&gt;=50,('Testes estatísticos'!$D$55+'Testes estatísticos'!$D$19)/2,"")</f>
        <v/>
      </c>
      <c r="P228" s="7" t="str">
        <f>IF(15&gt;=50,('Testes estatísticos'!$D$55+'Testes estatísticos'!$D$20)/2,"")</f>
        <v/>
      </c>
      <c r="Q228" s="7" t="str">
        <f>IF(16&gt;=50,('Testes estatísticos'!$D$55+'Testes estatísticos'!$D$21)/2,"")</f>
        <v/>
      </c>
      <c r="R228" s="7" t="str">
        <f>IF(17&gt;=50,('Testes estatísticos'!$D$55+'Testes estatísticos'!$D$22)/2,"")</f>
        <v/>
      </c>
      <c r="S228" s="7" t="str">
        <f>IF(18&gt;=50,('Testes estatísticos'!$D$55+'Testes estatísticos'!$D$23)/2,"")</f>
        <v/>
      </c>
      <c r="T228" s="7" t="str">
        <f>IF(19&gt;=50,('Testes estatísticos'!$D$55+'Testes estatísticos'!$D$24)/2,"")</f>
        <v/>
      </c>
      <c r="U228" s="7" t="str">
        <f>IF(20&gt;=50,('Testes estatísticos'!$D$55+'Testes estatísticos'!$D$25)/2,"")</f>
        <v/>
      </c>
      <c r="V228" s="7" t="str">
        <f>IF(21&gt;=50,('Testes estatísticos'!$D$55+'Testes estatísticos'!$D$26)/2,"")</f>
        <v/>
      </c>
      <c r="W228" s="7" t="str">
        <f>IF(22&gt;=50,('Testes estatísticos'!$D$55+'Testes estatísticos'!$D$27)/2,"")</f>
        <v/>
      </c>
      <c r="X228" s="7" t="str">
        <f>IF(23&gt;=50,('Testes estatísticos'!$D$55+'Testes estatísticos'!$D$28)/2,"")</f>
        <v/>
      </c>
      <c r="Y228" s="7" t="str">
        <f>IF(24&gt;=50,('Testes estatísticos'!$D$55+'Testes estatísticos'!$D$29)/2,"")</f>
        <v/>
      </c>
      <c r="Z228" s="7" t="str">
        <f>IF(25&gt;=50,('Testes estatísticos'!$D$55+'Testes estatísticos'!$D$30)/2,"")</f>
        <v/>
      </c>
      <c r="AA228" s="7" t="str">
        <f>IF(26&gt;=50,('Testes estatísticos'!$D$55+'Testes estatísticos'!$D$31)/2,"")</f>
        <v/>
      </c>
      <c r="AB228" s="7" t="str">
        <f>IF(27&gt;=50,('Testes estatísticos'!$D$55+'Testes estatísticos'!$D$32)/2,"")</f>
        <v/>
      </c>
      <c r="AC228" s="7" t="str">
        <f>IF(28&gt;=50,('Testes estatísticos'!$D$55+'Testes estatísticos'!$D$33)/2,"")</f>
        <v/>
      </c>
      <c r="AD228" s="7" t="str">
        <f>IF(29&gt;=50,('Testes estatísticos'!$D$55+'Testes estatísticos'!$D$34)/2,"")</f>
        <v/>
      </c>
      <c r="AE228" s="7" t="str">
        <f>IF(30&gt;=50,('Testes estatísticos'!$D$55+'Testes estatísticos'!$D$35)/2,"")</f>
        <v/>
      </c>
      <c r="AF228" s="7" t="str">
        <f>IF(31&gt;=50,('Testes estatísticos'!$D$55+'Testes estatísticos'!$D$36)/2,"")</f>
        <v/>
      </c>
      <c r="AG228" s="7" t="str">
        <f>IF(32&gt;=50,('Testes estatísticos'!$D$55+'Testes estatísticos'!$D$37)/2,"")</f>
        <v/>
      </c>
      <c r="AH228" s="7" t="str">
        <f>IF(33&gt;=50,('Testes estatísticos'!$D$55+'Testes estatísticos'!$D$38)/2,"")</f>
        <v/>
      </c>
      <c r="AI228" s="7" t="str">
        <f>IF(34&gt;=50,('Testes estatísticos'!$D$55+'Testes estatísticos'!$D$39)/2,"")</f>
        <v/>
      </c>
      <c r="AJ228" s="7" t="str">
        <f>IF(35&gt;=50,('Testes estatísticos'!$D$55+'Testes estatísticos'!$D$40)/2,"")</f>
        <v/>
      </c>
      <c r="AK228" s="7" t="str">
        <f>IF(36&gt;=50,('Testes estatísticos'!$D$55+'Testes estatísticos'!$D$41)/2,"")</f>
        <v/>
      </c>
      <c r="AL228" s="7" t="str">
        <f>IF(37&gt;=50,('Testes estatísticos'!$D$55+'Testes estatísticos'!$D$42)/2,"")</f>
        <v/>
      </c>
      <c r="AM228" s="7" t="str">
        <f>IF(38&gt;=50,('Testes estatísticos'!$D$55+'Testes estatísticos'!$D$43)/2,"")</f>
        <v/>
      </c>
      <c r="AN228" s="7" t="str">
        <f>IF(39&gt;=50,('Testes estatísticos'!$D$55+'Testes estatísticos'!$D$44)/2,"")</f>
        <v/>
      </c>
      <c r="AO228" s="7" t="str">
        <f>IF(40&gt;=50,('Testes estatísticos'!$D$55+'Testes estatísticos'!$D$45)/2,"")</f>
        <v/>
      </c>
      <c r="AP228" s="7" t="str">
        <f>IF(41&gt;=50,('Testes estatísticos'!$D$55+'Testes estatísticos'!$D$46)/2,"")</f>
        <v/>
      </c>
      <c r="AQ228" s="7" t="str">
        <f>IF(42&gt;=50,('Testes estatísticos'!$D$55+'Testes estatísticos'!$D$47)/2,"")</f>
        <v/>
      </c>
      <c r="AR228" s="7" t="str">
        <f>IF(43&gt;=50,('Testes estatísticos'!$D$55+'Testes estatísticos'!$D$48)/2,"")</f>
        <v/>
      </c>
      <c r="AS228" s="7" t="str">
        <f>IF(44&gt;=50,('Testes estatísticos'!$D$55+'Testes estatísticos'!$D$49)/2,"")</f>
        <v/>
      </c>
      <c r="AT228" s="7" t="str">
        <f>IF(45&gt;=50,('Testes estatísticos'!$D$55+'Testes estatísticos'!$D$50)/2,"")</f>
        <v/>
      </c>
      <c r="AU228" s="7" t="str">
        <f>IF(46&gt;=50,('Testes estatísticos'!$D$55+'Testes estatísticos'!$D$51)/2,"")</f>
        <v/>
      </c>
      <c r="AV228" s="7" t="str">
        <f>IF(47&gt;=50,('Testes estatísticos'!$D$55+'Testes estatísticos'!$D$52)/2,"")</f>
        <v/>
      </c>
      <c r="AW228" s="7" t="str">
        <f>IF(48&gt;=50,('Testes estatísticos'!$D$55+'Testes estatísticos'!$D$53)/2,"")</f>
        <v/>
      </c>
      <c r="AX228" s="7" t="str">
        <f>IF(49&gt;=50,('Testes estatísticos'!$D$55+'Testes estatísticos'!$D$54)/2,"")</f>
        <v/>
      </c>
      <c r="AY228" s="7">
        <f>IF(50&gt;=50,('Testes estatísticos'!$D$55+'Testes estatísticos'!$D$55)/2,"")</f>
        <v>0.3167230000000032</v>
      </c>
      <c r="AZ228" s="7">
        <f>IF(51&gt;=50,('Testes estatísticos'!$D$55+'Testes estatísticos'!$D$56)/2,"")</f>
        <v>0.36119250000000136</v>
      </c>
      <c r="BA228" s="7">
        <f>IF(52&gt;=50,('Testes estatísticos'!$D$55+'Testes estatísticos'!$D$57)/2,"")</f>
        <v>-3.0470234999999981</v>
      </c>
      <c r="BB228" s="7">
        <f>IF(53&gt;=50,('Testes estatísticos'!$D$55+'Testes estatísticos'!$D$58)/2,"")</f>
        <v>0.36173900000000359</v>
      </c>
      <c r="BC228" s="7">
        <f>IF(54&gt;=50,('Testes estatísticos'!$D$55+'Testes estatísticos'!$D$59)/2,"")</f>
        <v>-0.55790349999999833</v>
      </c>
      <c r="BD228" s="7">
        <f>IF(55&gt;=50,('Testes estatísticos'!$D$55+'Testes estatísticos'!$D$60)/2,"")</f>
        <v>2.5377675000000011</v>
      </c>
      <c r="BE228" s="7">
        <f>IF(56&gt;=50,('Testes estatísticos'!$D$55+'Testes estatísticos'!$D$61)/2,"")</f>
        <v>-9.2200999999995759E-2</v>
      </c>
      <c r="BF228" s="7">
        <f>IF(57&gt;=50,('Testes estatísticos'!$D$55+'Testes estatísticos'!$D$62)/2,"")</f>
        <v>-3.4923910000000014</v>
      </c>
      <c r="BG228" s="7">
        <f>IF(58&gt;=50,('Testes estatísticos'!$D$55+'Testes estatísticos'!$D$63)/2,"")</f>
        <v>1.7735040000000026</v>
      </c>
      <c r="BH228" s="7">
        <f>IF(59&gt;=50,('Testes estatísticos'!$D$55+'Testes estatísticos'!$D$64)/2,"")</f>
        <v>-4.0701084999999999</v>
      </c>
      <c r="BI228" s="7">
        <f>IF(60&gt;=50,('Testes estatísticos'!$D$55+'Testes estatísticos'!$D$65)/2,"")</f>
        <v>-2.3225174999999965</v>
      </c>
      <c r="BJ228" s="7">
        <f>IF(61&gt;=50,('Testes estatísticos'!$D$55+'Testes estatísticos'!$D$66)/2,"")</f>
        <v>0.31253750000000124</v>
      </c>
      <c r="BK228" s="7">
        <f>IF(62&gt;=50,('Testes estatísticos'!$D$55+'Testes estatísticos'!$D$67)/2,"")</f>
        <v>-0.19625749999999798</v>
      </c>
      <c r="BL228" s="7">
        <f>IF(63&gt;=50,('Testes estatísticos'!$D$55+'Testes estatísticos'!$D$68)/2,"")</f>
        <v>0.70305700000000115</v>
      </c>
      <c r="BM228" s="7">
        <f>IF(64&gt;=50,('Testes estatísticos'!$D$55+'Testes estatísticos'!$D$69)/2,"")</f>
        <v>0.75389900000000054</v>
      </c>
      <c r="BN228" s="7">
        <f>IF(65&gt;=50,('Testes estatísticos'!$D$55+'Testes estatísticos'!$D$70)/2,"")</f>
        <v>-1.3919074999999985</v>
      </c>
      <c r="BO228" s="7">
        <f>IF(66&gt;=50,('Testes estatísticos'!$D$55+'Testes estatísticos'!$D$71)/2,"")</f>
        <v>-0.49605499999999836</v>
      </c>
      <c r="BP228" s="7">
        <f>IF(67&gt;=50,('Testes estatísticos'!$D$55+'Testes estatísticos'!$D$72)/2,"")</f>
        <v>-3.3865139999999982</v>
      </c>
      <c r="BQ228" s="7">
        <f>IF(68&gt;=50,('Testes estatísticos'!$D$55+'Testes estatísticos'!$D$73)/2,"")</f>
        <v>1.2767189999999999</v>
      </c>
      <c r="BR228" s="7">
        <f>IF(69&gt;=50,('Testes estatísticos'!$D$55+'Testes estatísticos'!$D$74)/2,"")</f>
        <v>1.9089010000000002</v>
      </c>
      <c r="BS228" s="7">
        <f>IF(70&gt;=50,('Testes estatísticos'!$D$55+'Testes estatísticos'!$D$75)/2,"")</f>
        <v>0.9044364999999992</v>
      </c>
      <c r="BT228" s="7">
        <f>IF(71&gt;=50,('Testes estatísticos'!$D$55+'Testes estatísticos'!$D$76)/2,"")</f>
        <v>2.4788014999999994</v>
      </c>
      <c r="BU228" s="7">
        <f>IF(72&gt;=50,('Testes estatísticos'!$D$55+'Testes estatísticos'!$D$77)/2,"")</f>
        <v>-3.1208954999999996</v>
      </c>
      <c r="BV228" s="7">
        <f>IF(73&gt;=50,('Testes estatísticos'!$D$55+'Testes estatísticos'!$D$78)/2,"")</f>
        <v>-1.0474209999999999</v>
      </c>
      <c r="BW228" s="7">
        <f>IF(74&gt;=50,('Testes estatísticos'!$D$55+'Testes estatísticos'!$D$79)/2,"")</f>
        <v>-1.7307394999999985</v>
      </c>
      <c r="BX228" s="7">
        <f>IF(75&gt;=50,('Testes estatísticos'!$D$55+'Testes estatísticos'!$D$80)/2,"")</f>
        <v>-1.7525174999999997</v>
      </c>
      <c r="BY228" s="7">
        <f>IF(76&gt;=50,('Testes estatísticos'!$D$55+'Testes estatísticos'!$D$81)/2,"")</f>
        <v>2.3789405000000023</v>
      </c>
      <c r="BZ228" s="7">
        <f>IF(77&gt;=50,('Testes estatísticos'!$D$55+'Testes estatísticos'!$D$82)/2,"")</f>
        <v>-2.8826489999999971</v>
      </c>
      <c r="CA228" s="7">
        <f>IF(78&gt;=50,('Testes estatísticos'!$D$55+'Testes estatísticos'!$D$83)/2,"")</f>
        <v>-1.1223899999999958</v>
      </c>
      <c r="CB228" s="7">
        <f>IF(79&gt;=50,('Testes estatísticos'!$D$55+'Testes estatísticos'!$D$84)/2,"")</f>
        <v>-1.070667499999999</v>
      </c>
      <c r="CC228" s="7">
        <f>IF(80&gt;=50,('Testes estatísticos'!$D$55+'Testes estatísticos'!$D$85)/2,"")</f>
        <v>-2.8776839999999986</v>
      </c>
      <c r="CD228" s="7">
        <f>IF(81&gt;=50,('Testes estatísticos'!$D$55+'Testes estatísticos'!$D$86)/2,"")</f>
        <v>-2.9278289999999991</v>
      </c>
      <c r="CE228" s="7">
        <f>IF(82&gt;=50,('Testes estatísticos'!$D$55+'Testes estatísticos'!$D$87)/2,"")</f>
        <v>-0.85003850000000014</v>
      </c>
      <c r="CF228" s="7">
        <f>IF(83&gt;=50,('Testes estatísticos'!$D$55+'Testes estatísticos'!$D$88)/2,"")</f>
        <v>-1.3788455000000006</v>
      </c>
      <c r="CG228" s="7">
        <f>IF(84&gt;=50,('Testes estatísticos'!$D$55+'Testes estatísticos'!$D$89)/2,"")</f>
        <v>-1.7107524999999981</v>
      </c>
      <c r="CH228" s="7">
        <f>IF(85&gt;=50,('Testes estatísticos'!$D$55+'Testes estatísticos'!$D$90)/2,"")</f>
        <v>0.10479450000000057</v>
      </c>
      <c r="CI228" s="7">
        <f>IF(86&gt;=50,('Testes estatísticos'!$D$55+'Testes estatísticos'!$D$91)/2,"")</f>
        <v>-2.5853649999999959</v>
      </c>
      <c r="CJ228" s="7">
        <f>IF(87&gt;=50,('Testes estatísticos'!$D$55+'Testes estatísticos'!$D$92)/2,"")</f>
        <v>-1.3431584999999977</v>
      </c>
      <c r="CK228" s="7">
        <f>IF(88&gt;=50,('Testes estatísticos'!$D$55+'Testes estatísticos'!$D$93)/2,"")</f>
        <v>-1.0990749999999991</v>
      </c>
      <c r="CL228" s="7">
        <f>IF(89&gt;=50,('Testes estatísticos'!$D$55+'Testes estatísticos'!$D$94)/2,"")</f>
        <v>-1.7106670000000008</v>
      </c>
      <c r="CM228" s="7">
        <f>IF(90&gt;=50,('Testes estatísticos'!$D$55+'Testes estatísticos'!$D$95)/2,"")</f>
        <v>-4.0447989999999976</v>
      </c>
      <c r="CN228" s="7">
        <f>IF(91&gt;=50,('Testes estatísticos'!$D$55+'Testes estatísticos'!$D$96)/2,"")</f>
        <v>-1.5062759999999962</v>
      </c>
      <c r="CO228" s="7">
        <f>IF(92&gt;=50,('Testes estatísticos'!$D$55+'Testes estatísticos'!$D$97)/2,"")</f>
        <v>-1.8527794999999969</v>
      </c>
      <c r="CP228" s="7">
        <f>IF(93&gt;=50,('Testes estatísticos'!$D$55+'Testes estatísticos'!$D$98)/2,"")</f>
        <v>-2.0575314999999961</v>
      </c>
      <c r="CQ228" s="7">
        <f>IF(94&gt;=50,('Testes estatísticos'!$D$55+'Testes estatísticos'!$D$99)/2,"")</f>
        <v>0.12362650000000031</v>
      </c>
      <c r="CR228" s="7">
        <f>IF(95&gt;=50,('Testes estatísticos'!$D$55+'Testes estatísticos'!$D$100)/2,"")</f>
        <v>-1.7821664999999989</v>
      </c>
      <c r="CS228" s="7">
        <f>IF(96&gt;=50,('Testes estatísticos'!$D$55+'Testes estatísticos'!$D$101)/2,"")</f>
        <v>-1.7381795000000011</v>
      </c>
      <c r="CT228" s="7">
        <f>IF(97&gt;=50,('Testes estatísticos'!$D$55+'Testes estatísticos'!$D$102)/2,"")</f>
        <v>-1.5051290000000002</v>
      </c>
      <c r="CU228" s="7">
        <f>IF(98&gt;=50,('Testes estatísticos'!$D$55+'Testes estatísticos'!$D$103)/2,"")</f>
        <v>-1.4478029999999968</v>
      </c>
      <c r="CV228" s="7">
        <f>IF(99&gt;=50,('Testes estatísticos'!$D$55+'Testes estatísticos'!$D$104)/2,"")</f>
        <v>-1.8826289999999979</v>
      </c>
      <c r="CW228" s="7">
        <f>IF(100&gt;=50,('Testes estatísticos'!$D$55+'Testes estatísticos'!$D$105)/2,"")</f>
        <v>-1.9820949999999975</v>
      </c>
      <c r="CX228" s="7">
        <f>IF(101&gt;=50,('Testes estatísticos'!$D$55+'Testes estatísticos'!$D$106)/2,"")</f>
        <v>-1.459168499999997</v>
      </c>
      <c r="CY228" s="7">
        <f>IF(102&gt;=50,('Testes estatísticos'!$D$55+'Testes estatísticos'!$D$107)/2,"")</f>
        <v>-1.5148334999999982</v>
      </c>
      <c r="CZ228" s="7">
        <f>IF(103&gt;=50,('Testes estatísticos'!$D$55+'Testes estatísticos'!$D$108)/2,"")</f>
        <v>-2.0389999999999979</v>
      </c>
      <c r="DA228" s="7">
        <f>IF(104&gt;=50,('Testes estatísticos'!$D$55+'Testes estatísticos'!$D$109)/2,"")</f>
        <v>-1.7763659999999959</v>
      </c>
      <c r="DB228" s="7">
        <f>IF(105&gt;=50,('Testes estatísticos'!$D$55+'Testes estatísticos'!$D$110)/2,"")</f>
        <v>-1.7420349999999978</v>
      </c>
      <c r="DC228" s="7">
        <f>IF(106&gt;=50,('Testes estatísticos'!$D$55+'Testes estatísticos'!$D$111)/2,"")</f>
        <v>-0.99911399999999873</v>
      </c>
      <c r="DD228" s="7">
        <f>IF(107&gt;=50,('Testes estatísticos'!$D$55+'Testes estatísticos'!$D$112)/2,"")</f>
        <v>2.4940570000000015</v>
      </c>
      <c r="DE228" s="7">
        <f>IF(108&gt;=50,('Testes estatísticos'!$D$55+'Testes estatísticos'!$D$113)/2,"")</f>
        <v>-0.92857849999999686</v>
      </c>
      <c r="DF228" s="7">
        <f>IF(109&gt;=50,('Testes estatísticos'!$D$55+'Testes estatísticos'!$D$114)/2,"")</f>
        <v>-0.96483549999999596</v>
      </c>
      <c r="DG228" s="7">
        <f>IF(110&gt;=50,('Testes estatísticos'!$D$55+'Testes estatísticos'!$D$115)/2,"")</f>
        <v>-6.5119749999999996</v>
      </c>
      <c r="DH228" s="7">
        <f>IF(111&gt;=50,('Testes estatísticos'!$D$55+'Testes estatísticos'!$D$116)/2,"")</f>
        <v>-0.83114449999999707</v>
      </c>
      <c r="DI228" s="7">
        <f>IF(112&gt;=50,('Testes estatísticos'!$D$55+'Testes estatísticos'!$D$117)/2,"")</f>
        <v>4.5972955000000013</v>
      </c>
      <c r="DJ228" s="7">
        <f>IF(113&gt;=50,('Testes estatísticos'!$D$55+'Testes estatísticos'!$D$118)/2,"")</f>
        <v>-0.85926149999999879</v>
      </c>
      <c r="DK228" s="7">
        <f>IF(114&gt;=50,('Testes estatísticos'!$D$55+'Testes estatísticos'!$D$119)/2,"")</f>
        <v>-0.96101149999999791</v>
      </c>
      <c r="DL228" s="7">
        <f>IF(115&gt;=50,('Testes estatísticos'!$D$55+'Testes estatísticos'!$D$120)/2,"")</f>
        <v>-0.91453399999999618</v>
      </c>
      <c r="DM228" s="7">
        <f>IF(116&gt;=50,('Testes estatísticos'!$D$55+'Testes estatísticos'!$D$121)/2,"")</f>
        <v>-0.90593149999999767</v>
      </c>
      <c r="DN228" s="7">
        <f>IF(117&gt;=50,('Testes estatísticos'!$D$55+'Testes estatísticos'!$D$122)/2,"")</f>
        <v>-0.88286349999999914</v>
      </c>
      <c r="DO228" s="7">
        <f>IF(118&gt;=50,('Testes estatísticos'!$D$55+'Testes estatísticos'!$D$123)/2,"")</f>
        <v>-0.83295299999999983</v>
      </c>
      <c r="DP228" s="7">
        <f>IF(119&gt;=50,('Testes estatísticos'!$D$55+'Testes estatísticos'!$D$124)/2,"")</f>
        <v>-0.85416449999999955</v>
      </c>
      <c r="DQ228" s="7">
        <f>IF(120&gt;=50,('Testes estatísticos'!$D$55+'Testes estatísticos'!$D$125)/2,"")</f>
        <v>2.1974500000000035</v>
      </c>
      <c r="DR228" s="7">
        <f>IF(121&gt;=50,('Testes estatísticos'!$D$55+'Testes estatísticos'!$D$126)/2,"")</f>
        <v>-0.591566499999999</v>
      </c>
      <c r="DS228" s="7">
        <f>IF(122&gt;=50,('Testes estatísticos'!$D$55+'Testes estatísticos'!$D$127)/2,"")</f>
        <v>-1.6569749999999956</v>
      </c>
      <c r="DT228" s="7">
        <f>IF(123&gt;=50,('Testes estatísticos'!$D$55+'Testes estatísticos'!$D$128)/2,"")</f>
        <v>4.4118944999999989</v>
      </c>
      <c r="DU228" s="7">
        <f>IF(124&gt;=50,('Testes estatísticos'!$D$55+'Testes estatísticos'!$D$129)/2,"")</f>
        <v>-0.48387699999999967</v>
      </c>
      <c r="DV228" s="7">
        <f>IF(125&gt;=50,('Testes estatísticos'!$D$55+'Testes estatísticos'!$D$130)/2,"")</f>
        <v>0.67443049999999971</v>
      </c>
      <c r="DW228" s="7">
        <f>IF(126&gt;=50,('Testes estatísticos'!$D$55+'Testes estatísticos'!$D$131)/2,"")</f>
        <v>-1.729045499999998</v>
      </c>
      <c r="DX228" s="7">
        <f>IF(127&gt;=50,('Testes estatísticos'!$D$55+'Testes estatísticos'!$D$132)/2,"")</f>
        <v>-3.7852369999999986</v>
      </c>
      <c r="DY228" s="7">
        <f>IF(128&gt;=50,('Testes estatísticos'!$D$55+'Testes estatísticos'!$D$133)/2,"")</f>
        <v>-4.1263264999999976</v>
      </c>
      <c r="DZ228" s="7">
        <f>IF(129&gt;=50,('Testes estatísticos'!$D$55+'Testes estatísticos'!$D$134)/2,"")</f>
        <v>-7.5501164999999979</v>
      </c>
      <c r="EA228" s="7">
        <f>IF(130&gt;=50,('Testes estatísticos'!$D$55+'Testes estatísticos'!$D$135)/2,"")</f>
        <v>-1.7883464999999958</v>
      </c>
      <c r="EB228" s="7">
        <f>IF(131&gt;=50,('Testes estatísticos'!$D$55+'Testes estatísticos'!$D$136)/2,"")</f>
        <v>-1.7004735000000011</v>
      </c>
      <c r="EC228" s="7">
        <f>IF(132&gt;=50,('Testes estatísticos'!$D$55+'Testes estatísticos'!$D$137)/2,"")</f>
        <v>-3.1872100000000003</v>
      </c>
      <c r="ED228" s="7">
        <f>IF(133&gt;=50,('Testes estatísticos'!$D$55+'Testes estatísticos'!$D$138)/2,"")</f>
        <v>-0.99827249999999879</v>
      </c>
      <c r="EE228" s="7">
        <f>IF(134&gt;=50,('Testes estatísticos'!$D$55+'Testes estatísticos'!$D$139)/2,"")</f>
        <v>-3.2954630000000016</v>
      </c>
      <c r="EF228" s="7">
        <f>IF(135&gt;=50,('Testes estatísticos'!$D$55+'Testes estatísticos'!$D$140)/2,"")</f>
        <v>-8.1030499999997119E-2</v>
      </c>
      <c r="EG228" s="7">
        <f>IF(136&gt;=50,('Testes estatísticos'!$D$55+'Testes estatísticos'!$D$141)/2,"")</f>
        <v>-1.7745205000000013</v>
      </c>
      <c r="EH228" s="7">
        <f>IF(137&gt;=50,('Testes estatísticos'!$D$55+'Testes estatísticos'!$D$142)/2,"")</f>
        <v>-6.9780500000000245E-2</v>
      </c>
      <c r="EI228" s="7">
        <f>IF(138&gt;=50,('Testes estatísticos'!$D$55+'Testes estatísticos'!$D$143)/2,"")</f>
        <v>-1.7347959999999958</v>
      </c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</row>
    <row r="229" spans="2:151" x14ac:dyDescent="0.3">
      <c r="B229" s="7" t="str">
        <f>IF(1&gt;=51,('Testes estatísticos'!$D$56+'Testes estatísticos'!$D$6)/2,"")</f>
        <v/>
      </c>
      <c r="C229" s="7" t="str">
        <f>IF(2&gt;=51,('Testes estatísticos'!$D$56+'Testes estatísticos'!$D$7)/2,"")</f>
        <v/>
      </c>
      <c r="D229" s="7" t="str">
        <f>IF(3&gt;=51,('Testes estatísticos'!$D$56+'Testes estatísticos'!$D$8)/2,"")</f>
        <v/>
      </c>
      <c r="E229" s="7" t="str">
        <f>IF(4&gt;=51,('Testes estatísticos'!$D$56+'Testes estatísticos'!$D$9)/2,"")</f>
        <v/>
      </c>
      <c r="F229" s="7" t="str">
        <f>IF(5&gt;=51,('Testes estatísticos'!$D$56+'Testes estatísticos'!$D$10)/2,"")</f>
        <v/>
      </c>
      <c r="G229" s="7" t="str">
        <f>IF(6&gt;=51,('Testes estatísticos'!$D$56+'Testes estatísticos'!$D$11)/2,"")</f>
        <v/>
      </c>
      <c r="H229" s="7" t="str">
        <f>IF(7&gt;=51,('Testes estatísticos'!$D$56+'Testes estatísticos'!$D$12)/2,"")</f>
        <v/>
      </c>
      <c r="I229" s="7" t="str">
        <f>IF(8&gt;=51,('Testes estatísticos'!$D$56+'Testes estatísticos'!$D$13)/2,"")</f>
        <v/>
      </c>
      <c r="J229" s="7" t="str">
        <f>IF(9&gt;=51,('Testes estatísticos'!$D$56+'Testes estatísticos'!$D$14)/2,"")</f>
        <v/>
      </c>
      <c r="K229" s="7" t="str">
        <f>IF(10&gt;=51,('Testes estatísticos'!$D$56+'Testes estatísticos'!$D$15)/2,"")</f>
        <v/>
      </c>
      <c r="L229" s="7" t="str">
        <f>IF(11&gt;=51,('Testes estatísticos'!$D$56+'Testes estatísticos'!$D$16)/2,"")</f>
        <v/>
      </c>
      <c r="M229" s="7" t="str">
        <f>IF(12&gt;=51,('Testes estatísticos'!$D$56+'Testes estatísticos'!$D$17)/2,"")</f>
        <v/>
      </c>
      <c r="N229" s="7" t="str">
        <f>IF(13&gt;=51,('Testes estatísticos'!$D$56+'Testes estatísticos'!$D$18)/2,"")</f>
        <v/>
      </c>
      <c r="O229" s="7" t="str">
        <f>IF(14&gt;=51,('Testes estatísticos'!$D$56+'Testes estatísticos'!$D$19)/2,"")</f>
        <v/>
      </c>
      <c r="P229" s="7" t="str">
        <f>IF(15&gt;=51,('Testes estatísticos'!$D$56+'Testes estatísticos'!$D$20)/2,"")</f>
        <v/>
      </c>
      <c r="Q229" s="7" t="str">
        <f>IF(16&gt;=51,('Testes estatísticos'!$D$56+'Testes estatísticos'!$D$21)/2,"")</f>
        <v/>
      </c>
      <c r="R229" s="7" t="str">
        <f>IF(17&gt;=51,('Testes estatísticos'!$D$56+'Testes estatísticos'!$D$22)/2,"")</f>
        <v/>
      </c>
      <c r="S229" s="7" t="str">
        <f>IF(18&gt;=51,('Testes estatísticos'!$D$56+'Testes estatísticos'!$D$23)/2,"")</f>
        <v/>
      </c>
      <c r="T229" s="7" t="str">
        <f>IF(19&gt;=51,('Testes estatísticos'!$D$56+'Testes estatísticos'!$D$24)/2,"")</f>
        <v/>
      </c>
      <c r="U229" s="7" t="str">
        <f>IF(20&gt;=51,('Testes estatísticos'!$D$56+'Testes estatísticos'!$D$25)/2,"")</f>
        <v/>
      </c>
      <c r="V229" s="7" t="str">
        <f>IF(21&gt;=51,('Testes estatísticos'!$D$56+'Testes estatísticos'!$D$26)/2,"")</f>
        <v/>
      </c>
      <c r="W229" s="7" t="str">
        <f>IF(22&gt;=51,('Testes estatísticos'!$D$56+'Testes estatísticos'!$D$27)/2,"")</f>
        <v/>
      </c>
      <c r="X229" s="7" t="str">
        <f>IF(23&gt;=51,('Testes estatísticos'!$D$56+'Testes estatísticos'!$D$28)/2,"")</f>
        <v/>
      </c>
      <c r="Y229" s="7" t="str">
        <f>IF(24&gt;=51,('Testes estatísticos'!$D$56+'Testes estatísticos'!$D$29)/2,"")</f>
        <v/>
      </c>
      <c r="Z229" s="7" t="str">
        <f>IF(25&gt;=51,('Testes estatísticos'!$D$56+'Testes estatísticos'!$D$30)/2,"")</f>
        <v/>
      </c>
      <c r="AA229" s="7" t="str">
        <f>IF(26&gt;=51,('Testes estatísticos'!$D$56+'Testes estatísticos'!$D$31)/2,"")</f>
        <v/>
      </c>
      <c r="AB229" s="7" t="str">
        <f>IF(27&gt;=51,('Testes estatísticos'!$D$56+'Testes estatísticos'!$D$32)/2,"")</f>
        <v/>
      </c>
      <c r="AC229" s="7" t="str">
        <f>IF(28&gt;=51,('Testes estatísticos'!$D$56+'Testes estatísticos'!$D$33)/2,"")</f>
        <v/>
      </c>
      <c r="AD229" s="7" t="str">
        <f>IF(29&gt;=51,('Testes estatísticos'!$D$56+'Testes estatísticos'!$D$34)/2,"")</f>
        <v/>
      </c>
      <c r="AE229" s="7" t="str">
        <f>IF(30&gt;=51,('Testes estatísticos'!$D$56+'Testes estatísticos'!$D$35)/2,"")</f>
        <v/>
      </c>
      <c r="AF229" s="7" t="str">
        <f>IF(31&gt;=51,('Testes estatísticos'!$D$56+'Testes estatísticos'!$D$36)/2,"")</f>
        <v/>
      </c>
      <c r="AG229" s="7" t="str">
        <f>IF(32&gt;=51,('Testes estatísticos'!$D$56+'Testes estatísticos'!$D$37)/2,"")</f>
        <v/>
      </c>
      <c r="AH229" s="7" t="str">
        <f>IF(33&gt;=51,('Testes estatísticos'!$D$56+'Testes estatísticos'!$D$38)/2,"")</f>
        <v/>
      </c>
      <c r="AI229" s="7" t="str">
        <f>IF(34&gt;=51,('Testes estatísticos'!$D$56+'Testes estatísticos'!$D$39)/2,"")</f>
        <v/>
      </c>
      <c r="AJ229" s="7" t="str">
        <f>IF(35&gt;=51,('Testes estatísticos'!$D$56+'Testes estatísticos'!$D$40)/2,"")</f>
        <v/>
      </c>
      <c r="AK229" s="7" t="str">
        <f>IF(36&gt;=51,('Testes estatísticos'!$D$56+'Testes estatísticos'!$D$41)/2,"")</f>
        <v/>
      </c>
      <c r="AL229" s="7" t="str">
        <f>IF(37&gt;=51,('Testes estatísticos'!$D$56+'Testes estatísticos'!$D$42)/2,"")</f>
        <v/>
      </c>
      <c r="AM229" s="7" t="str">
        <f>IF(38&gt;=51,('Testes estatísticos'!$D$56+'Testes estatísticos'!$D$43)/2,"")</f>
        <v/>
      </c>
      <c r="AN229" s="7" t="str">
        <f>IF(39&gt;=51,('Testes estatísticos'!$D$56+'Testes estatísticos'!$D$44)/2,"")</f>
        <v/>
      </c>
      <c r="AO229" s="7" t="str">
        <f>IF(40&gt;=51,('Testes estatísticos'!$D$56+'Testes estatísticos'!$D$45)/2,"")</f>
        <v/>
      </c>
      <c r="AP229" s="7" t="str">
        <f>IF(41&gt;=51,('Testes estatísticos'!$D$56+'Testes estatísticos'!$D$46)/2,"")</f>
        <v/>
      </c>
      <c r="AQ229" s="7" t="str">
        <f>IF(42&gt;=51,('Testes estatísticos'!$D$56+'Testes estatísticos'!$D$47)/2,"")</f>
        <v/>
      </c>
      <c r="AR229" s="7" t="str">
        <f>IF(43&gt;=51,('Testes estatísticos'!$D$56+'Testes estatísticos'!$D$48)/2,"")</f>
        <v/>
      </c>
      <c r="AS229" s="7" t="str">
        <f>IF(44&gt;=51,('Testes estatísticos'!$D$56+'Testes estatísticos'!$D$49)/2,"")</f>
        <v/>
      </c>
      <c r="AT229" s="7" t="str">
        <f>IF(45&gt;=51,('Testes estatísticos'!$D$56+'Testes estatísticos'!$D$50)/2,"")</f>
        <v/>
      </c>
      <c r="AU229" s="7" t="str">
        <f>IF(46&gt;=51,('Testes estatísticos'!$D$56+'Testes estatísticos'!$D$51)/2,"")</f>
        <v/>
      </c>
      <c r="AV229" s="7" t="str">
        <f>IF(47&gt;=51,('Testes estatísticos'!$D$56+'Testes estatísticos'!$D$52)/2,"")</f>
        <v/>
      </c>
      <c r="AW229" s="7" t="str">
        <f>IF(48&gt;=51,('Testes estatísticos'!$D$56+'Testes estatísticos'!$D$53)/2,"")</f>
        <v/>
      </c>
      <c r="AX229" s="7" t="str">
        <f>IF(49&gt;=51,('Testes estatísticos'!$D$56+'Testes estatísticos'!$D$54)/2,"")</f>
        <v/>
      </c>
      <c r="AY229" s="7" t="str">
        <f>IF(50&gt;=51,('Testes estatísticos'!$D$56+'Testes estatísticos'!$D$55)/2,"")</f>
        <v/>
      </c>
      <c r="AZ229" s="7">
        <f>IF(51&gt;=51,('Testes estatísticos'!$D$56+'Testes estatísticos'!$D$56)/2,"")</f>
        <v>0.40566199999999952</v>
      </c>
      <c r="BA229" s="7">
        <f>IF(52&gt;=51,('Testes estatísticos'!$D$56+'Testes estatísticos'!$D$57)/2,"")</f>
        <v>-3.0025539999999999</v>
      </c>
      <c r="BB229" s="7">
        <f>IF(53&gt;=51,('Testes estatísticos'!$D$56+'Testes estatísticos'!$D$58)/2,"")</f>
        <v>0.40620850000000175</v>
      </c>
      <c r="BC229" s="7">
        <f>IF(54&gt;=51,('Testes estatísticos'!$D$56+'Testes estatísticos'!$D$59)/2,"")</f>
        <v>-0.51343400000000017</v>
      </c>
      <c r="BD229" s="7">
        <f>IF(55&gt;=51,('Testes estatísticos'!$D$56+'Testes estatísticos'!$D$60)/2,"")</f>
        <v>2.5822369999999992</v>
      </c>
      <c r="BE229" s="7">
        <f>IF(56&gt;=51,('Testes estatísticos'!$D$56+'Testes estatísticos'!$D$61)/2,"")</f>
        <v>-4.7731499999997595E-2</v>
      </c>
      <c r="BF229" s="7">
        <f>IF(57&gt;=51,('Testes estatísticos'!$D$56+'Testes estatísticos'!$D$62)/2,"")</f>
        <v>-3.4479215000000032</v>
      </c>
      <c r="BG229" s="7">
        <f>IF(58&gt;=51,('Testes estatísticos'!$D$56+'Testes estatísticos'!$D$63)/2,"")</f>
        <v>1.8179735000000008</v>
      </c>
      <c r="BH229" s="7">
        <f>IF(59&gt;=51,('Testes estatísticos'!$D$56+'Testes estatísticos'!$D$64)/2,"")</f>
        <v>-4.0256390000000017</v>
      </c>
      <c r="BI229" s="7">
        <f>IF(60&gt;=51,('Testes estatísticos'!$D$56+'Testes estatísticos'!$D$65)/2,"")</f>
        <v>-2.2780479999999983</v>
      </c>
      <c r="BJ229" s="7">
        <f>IF(61&gt;=51,('Testes estatísticos'!$D$56+'Testes estatísticos'!$D$66)/2,"")</f>
        <v>0.35700699999999941</v>
      </c>
      <c r="BK229" s="7">
        <f>IF(62&gt;=51,('Testes estatísticos'!$D$56+'Testes estatísticos'!$D$67)/2,"")</f>
        <v>-0.15178799999999981</v>
      </c>
      <c r="BL229" s="7">
        <f>IF(63&gt;=51,('Testes estatísticos'!$D$56+'Testes estatísticos'!$D$68)/2,"")</f>
        <v>0.74752649999999932</v>
      </c>
      <c r="BM229" s="7">
        <f>IF(64&gt;=51,('Testes estatísticos'!$D$56+'Testes estatísticos'!$D$69)/2,"")</f>
        <v>0.7983684999999987</v>
      </c>
      <c r="BN229" s="7">
        <f>IF(65&gt;=51,('Testes estatísticos'!$D$56+'Testes estatísticos'!$D$70)/2,"")</f>
        <v>-1.3474380000000004</v>
      </c>
      <c r="BO229" s="7">
        <f>IF(66&gt;=51,('Testes estatísticos'!$D$56+'Testes estatísticos'!$D$71)/2,"")</f>
        <v>-0.4515855000000002</v>
      </c>
      <c r="BP229" s="7">
        <f>IF(67&gt;=51,('Testes estatísticos'!$D$56+'Testes estatísticos'!$D$72)/2,"")</f>
        <v>-3.3420445000000001</v>
      </c>
      <c r="BQ229" s="7">
        <f>IF(68&gt;=51,('Testes estatísticos'!$D$56+'Testes estatísticos'!$D$73)/2,"")</f>
        <v>1.3211884999999981</v>
      </c>
      <c r="BR229" s="7">
        <f>IF(69&gt;=51,('Testes estatísticos'!$D$56+'Testes estatísticos'!$D$74)/2,"")</f>
        <v>1.9533704999999983</v>
      </c>
      <c r="BS229" s="7">
        <f>IF(70&gt;=51,('Testes estatísticos'!$D$56+'Testes estatísticos'!$D$75)/2,"")</f>
        <v>0.94890599999999736</v>
      </c>
      <c r="BT229" s="7">
        <f>IF(71&gt;=51,('Testes estatísticos'!$D$56+'Testes estatísticos'!$D$76)/2,"")</f>
        <v>2.5232709999999976</v>
      </c>
      <c r="BU229" s="7">
        <f>IF(72&gt;=51,('Testes estatísticos'!$D$56+'Testes estatísticos'!$D$77)/2,"")</f>
        <v>-3.0764260000000014</v>
      </c>
      <c r="BV229" s="7">
        <f>IF(73&gt;=51,('Testes estatísticos'!$D$56+'Testes estatísticos'!$D$78)/2,"")</f>
        <v>-1.0029515000000018</v>
      </c>
      <c r="BW229" s="7">
        <f>IF(74&gt;=51,('Testes estatísticos'!$D$56+'Testes estatísticos'!$D$79)/2,"")</f>
        <v>-1.6862700000000004</v>
      </c>
      <c r="BX229" s="7">
        <f>IF(75&gt;=51,('Testes estatísticos'!$D$56+'Testes estatísticos'!$D$80)/2,"")</f>
        <v>-1.7080480000000016</v>
      </c>
      <c r="BY229" s="7">
        <f>IF(76&gt;=51,('Testes estatísticos'!$D$56+'Testes estatísticos'!$D$81)/2,"")</f>
        <v>2.4234100000000005</v>
      </c>
      <c r="BZ229" s="7">
        <f>IF(77&gt;=51,('Testes estatísticos'!$D$56+'Testes estatísticos'!$D$82)/2,"")</f>
        <v>-2.838179499999999</v>
      </c>
      <c r="CA229" s="7">
        <f>IF(78&gt;=51,('Testes estatísticos'!$D$56+'Testes estatísticos'!$D$83)/2,"")</f>
        <v>-1.0779204999999976</v>
      </c>
      <c r="CB229" s="7">
        <f>IF(79&gt;=51,('Testes estatísticos'!$D$56+'Testes estatísticos'!$D$84)/2,"")</f>
        <v>-1.0261980000000008</v>
      </c>
      <c r="CC229" s="7">
        <f>IF(80&gt;=51,('Testes estatísticos'!$D$56+'Testes estatísticos'!$D$85)/2,"")</f>
        <v>-2.8332145000000004</v>
      </c>
      <c r="CD229" s="7">
        <f>IF(81&gt;=51,('Testes estatísticos'!$D$56+'Testes estatísticos'!$D$86)/2,"")</f>
        <v>-2.883359500000001</v>
      </c>
      <c r="CE229" s="7">
        <f>IF(82&gt;=51,('Testes estatísticos'!$D$56+'Testes estatísticos'!$D$87)/2,"")</f>
        <v>-0.80556900000000198</v>
      </c>
      <c r="CF229" s="7">
        <f>IF(83&gt;=51,('Testes estatísticos'!$D$56+'Testes estatísticos'!$D$88)/2,"")</f>
        <v>-1.3343760000000024</v>
      </c>
      <c r="CG229" s="7">
        <f>IF(84&gt;=51,('Testes estatísticos'!$D$56+'Testes estatísticos'!$D$89)/2,"")</f>
        <v>-1.666283</v>
      </c>
      <c r="CH229" s="7">
        <f>IF(85&gt;=51,('Testes estatísticos'!$D$56+'Testes estatísticos'!$D$90)/2,"")</f>
        <v>0.14926399999999873</v>
      </c>
      <c r="CI229" s="7">
        <f>IF(86&gt;=51,('Testes estatísticos'!$D$56+'Testes estatísticos'!$D$91)/2,"")</f>
        <v>-2.5408954999999978</v>
      </c>
      <c r="CJ229" s="7">
        <f>IF(87&gt;=51,('Testes estatísticos'!$D$56+'Testes estatísticos'!$D$92)/2,"")</f>
        <v>-1.2986889999999995</v>
      </c>
      <c r="CK229" s="7">
        <f>IF(88&gt;=51,('Testes estatísticos'!$D$56+'Testes estatísticos'!$D$93)/2,"")</f>
        <v>-1.054605500000001</v>
      </c>
      <c r="CL229" s="7">
        <f>IF(89&gt;=51,('Testes estatísticos'!$D$56+'Testes estatísticos'!$D$94)/2,"")</f>
        <v>-1.6661975000000027</v>
      </c>
      <c r="CM229" s="7">
        <f>IF(90&gt;=51,('Testes estatísticos'!$D$56+'Testes estatísticos'!$D$95)/2,"")</f>
        <v>-4.0003294999999994</v>
      </c>
      <c r="CN229" s="7">
        <f>IF(91&gt;=51,('Testes estatísticos'!$D$56+'Testes estatísticos'!$D$96)/2,"")</f>
        <v>-1.461806499999998</v>
      </c>
      <c r="CO229" s="7">
        <f>IF(92&gt;=51,('Testes estatísticos'!$D$56+'Testes estatísticos'!$D$97)/2,"")</f>
        <v>-1.8083099999999988</v>
      </c>
      <c r="CP229" s="7">
        <f>IF(93&gt;=51,('Testes estatísticos'!$D$56+'Testes estatísticos'!$D$98)/2,"")</f>
        <v>-2.0130619999999979</v>
      </c>
      <c r="CQ229" s="7">
        <f>IF(94&gt;=51,('Testes estatísticos'!$D$56+'Testes estatísticos'!$D$99)/2,"")</f>
        <v>0.16809599999999847</v>
      </c>
      <c r="CR229" s="7">
        <f>IF(95&gt;=51,('Testes estatísticos'!$D$56+'Testes estatísticos'!$D$100)/2,"")</f>
        <v>-1.7376970000000007</v>
      </c>
      <c r="CS229" s="7">
        <f>IF(96&gt;=51,('Testes estatísticos'!$D$56+'Testes estatísticos'!$D$101)/2,"")</f>
        <v>-1.6937100000000029</v>
      </c>
      <c r="CT229" s="7">
        <f>IF(97&gt;=51,('Testes estatísticos'!$D$56+'Testes estatísticos'!$D$102)/2,"")</f>
        <v>-1.460659500000002</v>
      </c>
      <c r="CU229" s="7">
        <f>IF(98&gt;=51,('Testes estatísticos'!$D$56+'Testes estatísticos'!$D$103)/2,"")</f>
        <v>-1.4033334999999987</v>
      </c>
      <c r="CV229" s="7">
        <f>IF(99&gt;=51,('Testes estatísticos'!$D$56+'Testes estatísticos'!$D$104)/2,"")</f>
        <v>-1.8381594999999997</v>
      </c>
      <c r="CW229" s="7">
        <f>IF(100&gt;=51,('Testes estatísticos'!$D$56+'Testes estatísticos'!$D$105)/2,"")</f>
        <v>-1.9376254999999993</v>
      </c>
      <c r="CX229" s="7">
        <f>IF(101&gt;=51,('Testes estatísticos'!$D$56+'Testes estatísticos'!$D$106)/2,"")</f>
        <v>-1.4146989999999988</v>
      </c>
      <c r="CY229" s="7">
        <f>IF(102&gt;=51,('Testes estatísticos'!$D$56+'Testes estatísticos'!$D$107)/2,"")</f>
        <v>-1.470364</v>
      </c>
      <c r="CZ229" s="7">
        <f>IF(103&gt;=51,('Testes estatísticos'!$D$56+'Testes estatísticos'!$D$108)/2,"")</f>
        <v>-1.9945304999999998</v>
      </c>
      <c r="DA229" s="7">
        <f>IF(104&gt;=51,('Testes estatísticos'!$D$56+'Testes estatísticos'!$D$109)/2,"")</f>
        <v>-1.7318964999999977</v>
      </c>
      <c r="DB229" s="7">
        <f>IF(105&gt;=51,('Testes estatísticos'!$D$56+'Testes estatísticos'!$D$110)/2,"")</f>
        <v>-1.6975654999999996</v>
      </c>
      <c r="DC229" s="7">
        <f>IF(106&gt;=51,('Testes estatísticos'!$D$56+'Testes estatísticos'!$D$111)/2,"")</f>
        <v>-0.95464450000000056</v>
      </c>
      <c r="DD229" s="7">
        <f>IF(107&gt;=51,('Testes estatísticos'!$D$56+'Testes estatísticos'!$D$112)/2,"")</f>
        <v>2.5385264999999997</v>
      </c>
      <c r="DE229" s="7">
        <f>IF(108&gt;=51,('Testes estatísticos'!$D$56+'Testes estatísticos'!$D$113)/2,"")</f>
        <v>-0.8841089999999987</v>
      </c>
      <c r="DF229" s="7">
        <f>IF(109&gt;=51,('Testes estatísticos'!$D$56+'Testes estatísticos'!$D$114)/2,"")</f>
        <v>-0.9203659999999978</v>
      </c>
      <c r="DG229" s="7">
        <f>IF(110&gt;=51,('Testes estatísticos'!$D$56+'Testes estatísticos'!$D$115)/2,"")</f>
        <v>-6.4675055000000015</v>
      </c>
      <c r="DH229" s="7">
        <f>IF(111&gt;=51,('Testes estatísticos'!$D$56+'Testes estatísticos'!$D$116)/2,"")</f>
        <v>-0.7866749999999989</v>
      </c>
      <c r="DI229" s="7">
        <f>IF(112&gt;=51,('Testes estatísticos'!$D$56+'Testes estatísticos'!$D$117)/2,"")</f>
        <v>4.6417649999999995</v>
      </c>
      <c r="DJ229" s="7">
        <f>IF(113&gt;=51,('Testes estatísticos'!$D$56+'Testes estatísticos'!$D$118)/2,"")</f>
        <v>-0.81479200000000063</v>
      </c>
      <c r="DK229" s="7">
        <f>IF(114&gt;=51,('Testes estatísticos'!$D$56+'Testes estatísticos'!$D$119)/2,"")</f>
        <v>-0.91654199999999975</v>
      </c>
      <c r="DL229" s="7">
        <f>IF(115&gt;=51,('Testes estatísticos'!$D$56+'Testes estatísticos'!$D$120)/2,"")</f>
        <v>-0.87006449999999802</v>
      </c>
      <c r="DM229" s="7">
        <f>IF(116&gt;=51,('Testes estatísticos'!$D$56+'Testes estatísticos'!$D$121)/2,"")</f>
        <v>-0.86146199999999951</v>
      </c>
      <c r="DN229" s="7">
        <f>IF(117&gt;=51,('Testes estatísticos'!$D$56+'Testes estatísticos'!$D$122)/2,"")</f>
        <v>-0.83839400000000097</v>
      </c>
      <c r="DO229" s="7">
        <f>IF(118&gt;=51,('Testes estatísticos'!$D$56+'Testes estatísticos'!$D$123)/2,"")</f>
        <v>-0.78848350000000167</v>
      </c>
      <c r="DP229" s="7">
        <f>IF(119&gt;=51,('Testes estatísticos'!$D$56+'Testes estatísticos'!$D$124)/2,"")</f>
        <v>-0.80969500000000139</v>
      </c>
      <c r="DQ229" s="7">
        <f>IF(120&gt;=51,('Testes estatísticos'!$D$56+'Testes estatísticos'!$D$125)/2,"")</f>
        <v>2.2419195000000016</v>
      </c>
      <c r="DR229" s="7">
        <f>IF(121&gt;=51,('Testes estatísticos'!$D$56+'Testes estatísticos'!$D$126)/2,"")</f>
        <v>-0.54709700000000083</v>
      </c>
      <c r="DS229" s="7">
        <f>IF(122&gt;=51,('Testes estatísticos'!$D$56+'Testes estatísticos'!$D$127)/2,"")</f>
        <v>-1.6125054999999975</v>
      </c>
      <c r="DT229" s="7">
        <f>IF(123&gt;=51,('Testes estatísticos'!$D$56+'Testes estatísticos'!$D$128)/2,"")</f>
        <v>4.4563639999999971</v>
      </c>
      <c r="DU229" s="7">
        <f>IF(124&gt;=51,('Testes estatísticos'!$D$56+'Testes estatísticos'!$D$129)/2,"")</f>
        <v>-0.43940750000000151</v>
      </c>
      <c r="DV229" s="7">
        <f>IF(125&gt;=51,('Testes estatísticos'!$D$56+'Testes estatísticos'!$D$130)/2,"")</f>
        <v>0.71889999999999787</v>
      </c>
      <c r="DW229" s="7">
        <f>IF(126&gt;=51,('Testes estatísticos'!$D$56+'Testes estatísticos'!$D$131)/2,"")</f>
        <v>-1.6845759999999999</v>
      </c>
      <c r="DX229" s="7">
        <f>IF(127&gt;=51,('Testes estatísticos'!$D$56+'Testes estatísticos'!$D$132)/2,"")</f>
        <v>-3.7407675000000005</v>
      </c>
      <c r="DY229" s="7">
        <f>IF(128&gt;=51,('Testes estatísticos'!$D$56+'Testes estatísticos'!$D$133)/2,"")</f>
        <v>-4.0818569999999994</v>
      </c>
      <c r="DZ229" s="7">
        <f>IF(129&gt;=51,('Testes estatísticos'!$D$56+'Testes estatísticos'!$D$134)/2,"")</f>
        <v>-7.5056469999999997</v>
      </c>
      <c r="EA229" s="7">
        <f>IF(130&gt;=51,('Testes estatísticos'!$D$56+'Testes estatísticos'!$D$135)/2,"")</f>
        <v>-1.7438769999999977</v>
      </c>
      <c r="EB229" s="7">
        <f>IF(131&gt;=51,('Testes estatísticos'!$D$56+'Testes estatísticos'!$D$136)/2,"")</f>
        <v>-1.6560040000000029</v>
      </c>
      <c r="EC229" s="7">
        <f>IF(132&gt;=51,('Testes estatísticos'!$D$56+'Testes estatísticos'!$D$137)/2,"")</f>
        <v>-3.1427405000000022</v>
      </c>
      <c r="ED229" s="7">
        <f>IF(133&gt;=51,('Testes estatísticos'!$D$56+'Testes estatísticos'!$D$138)/2,"")</f>
        <v>-0.95380300000000062</v>
      </c>
      <c r="EE229" s="7">
        <f>IF(134&gt;=51,('Testes estatísticos'!$D$56+'Testes estatísticos'!$D$139)/2,"")</f>
        <v>-3.2509935000000034</v>
      </c>
      <c r="EF229" s="7">
        <f>IF(135&gt;=51,('Testes estatísticos'!$D$56+'Testes estatísticos'!$D$140)/2,"")</f>
        <v>-3.6560999999998955E-2</v>
      </c>
      <c r="EG229" s="7">
        <f>IF(136&gt;=51,('Testes estatísticos'!$D$56+'Testes estatísticos'!$D$141)/2,"")</f>
        <v>-1.7300510000000031</v>
      </c>
      <c r="EH229" s="7">
        <f>IF(137&gt;=51,('Testes estatísticos'!$D$56+'Testes estatísticos'!$D$142)/2,"")</f>
        <v>-2.5311000000002082E-2</v>
      </c>
      <c r="EI229" s="7">
        <f>IF(138&gt;=51,('Testes estatísticos'!$D$56+'Testes estatísticos'!$D$143)/2,"")</f>
        <v>-1.6903264999999976</v>
      </c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</row>
    <row r="230" spans="2:151" x14ac:dyDescent="0.3">
      <c r="B230" s="7" t="str">
        <f>IF(1&gt;=52,('Testes estatísticos'!$D$57+'Testes estatísticos'!$D$6)/2,"")</f>
        <v/>
      </c>
      <c r="C230" s="7" t="str">
        <f>IF(2&gt;=52,('Testes estatísticos'!$D$57+'Testes estatísticos'!$D$7)/2,"")</f>
        <v/>
      </c>
      <c r="D230" s="7" t="str">
        <f>IF(3&gt;=52,('Testes estatísticos'!$D$57+'Testes estatísticos'!$D$8)/2,"")</f>
        <v/>
      </c>
      <c r="E230" s="7" t="str">
        <f>IF(4&gt;=52,('Testes estatísticos'!$D$57+'Testes estatísticos'!$D$9)/2,"")</f>
        <v/>
      </c>
      <c r="F230" s="7" t="str">
        <f>IF(5&gt;=52,('Testes estatísticos'!$D$57+'Testes estatísticos'!$D$10)/2,"")</f>
        <v/>
      </c>
      <c r="G230" s="7" t="str">
        <f>IF(6&gt;=52,('Testes estatísticos'!$D$57+'Testes estatísticos'!$D$11)/2,"")</f>
        <v/>
      </c>
      <c r="H230" s="7" t="str">
        <f>IF(7&gt;=52,('Testes estatísticos'!$D$57+'Testes estatísticos'!$D$12)/2,"")</f>
        <v/>
      </c>
      <c r="I230" s="7" t="str">
        <f>IF(8&gt;=52,('Testes estatísticos'!$D$57+'Testes estatísticos'!$D$13)/2,"")</f>
        <v/>
      </c>
      <c r="J230" s="7" t="str">
        <f>IF(9&gt;=52,('Testes estatísticos'!$D$57+'Testes estatísticos'!$D$14)/2,"")</f>
        <v/>
      </c>
      <c r="K230" s="7" t="str">
        <f>IF(10&gt;=52,('Testes estatísticos'!$D$57+'Testes estatísticos'!$D$15)/2,"")</f>
        <v/>
      </c>
      <c r="L230" s="7" t="str">
        <f>IF(11&gt;=52,('Testes estatísticos'!$D$57+'Testes estatísticos'!$D$16)/2,"")</f>
        <v/>
      </c>
      <c r="M230" s="7" t="str">
        <f>IF(12&gt;=52,('Testes estatísticos'!$D$57+'Testes estatísticos'!$D$17)/2,"")</f>
        <v/>
      </c>
      <c r="N230" s="7" t="str">
        <f>IF(13&gt;=52,('Testes estatísticos'!$D$57+'Testes estatísticos'!$D$18)/2,"")</f>
        <v/>
      </c>
      <c r="O230" s="7" t="str">
        <f>IF(14&gt;=52,('Testes estatísticos'!$D$57+'Testes estatísticos'!$D$19)/2,"")</f>
        <v/>
      </c>
      <c r="P230" s="7" t="str">
        <f>IF(15&gt;=52,('Testes estatísticos'!$D$57+'Testes estatísticos'!$D$20)/2,"")</f>
        <v/>
      </c>
      <c r="Q230" s="7" t="str">
        <f>IF(16&gt;=52,('Testes estatísticos'!$D$57+'Testes estatísticos'!$D$21)/2,"")</f>
        <v/>
      </c>
      <c r="R230" s="7" t="str">
        <f>IF(17&gt;=52,('Testes estatísticos'!$D$57+'Testes estatísticos'!$D$22)/2,"")</f>
        <v/>
      </c>
      <c r="S230" s="7" t="str">
        <f>IF(18&gt;=52,('Testes estatísticos'!$D$57+'Testes estatísticos'!$D$23)/2,"")</f>
        <v/>
      </c>
      <c r="T230" s="7" t="str">
        <f>IF(19&gt;=52,('Testes estatísticos'!$D$57+'Testes estatísticos'!$D$24)/2,"")</f>
        <v/>
      </c>
      <c r="U230" s="7" t="str">
        <f>IF(20&gt;=52,('Testes estatísticos'!$D$57+'Testes estatísticos'!$D$25)/2,"")</f>
        <v/>
      </c>
      <c r="V230" s="7" t="str">
        <f>IF(21&gt;=52,('Testes estatísticos'!$D$57+'Testes estatísticos'!$D$26)/2,"")</f>
        <v/>
      </c>
      <c r="W230" s="7" t="str">
        <f>IF(22&gt;=52,('Testes estatísticos'!$D$57+'Testes estatísticos'!$D$27)/2,"")</f>
        <v/>
      </c>
      <c r="X230" s="7" t="str">
        <f>IF(23&gt;=52,('Testes estatísticos'!$D$57+'Testes estatísticos'!$D$28)/2,"")</f>
        <v/>
      </c>
      <c r="Y230" s="7" t="str">
        <f>IF(24&gt;=52,('Testes estatísticos'!$D$57+'Testes estatísticos'!$D$29)/2,"")</f>
        <v/>
      </c>
      <c r="Z230" s="7" t="str">
        <f>IF(25&gt;=52,('Testes estatísticos'!$D$57+'Testes estatísticos'!$D$30)/2,"")</f>
        <v/>
      </c>
      <c r="AA230" s="7" t="str">
        <f>IF(26&gt;=52,('Testes estatísticos'!$D$57+'Testes estatísticos'!$D$31)/2,"")</f>
        <v/>
      </c>
      <c r="AB230" s="7" t="str">
        <f>IF(27&gt;=52,('Testes estatísticos'!$D$57+'Testes estatísticos'!$D$32)/2,"")</f>
        <v/>
      </c>
      <c r="AC230" s="7" t="str">
        <f>IF(28&gt;=52,('Testes estatísticos'!$D$57+'Testes estatísticos'!$D$33)/2,"")</f>
        <v/>
      </c>
      <c r="AD230" s="7" t="str">
        <f>IF(29&gt;=52,('Testes estatísticos'!$D$57+'Testes estatísticos'!$D$34)/2,"")</f>
        <v/>
      </c>
      <c r="AE230" s="7" t="str">
        <f>IF(30&gt;=52,('Testes estatísticos'!$D$57+'Testes estatísticos'!$D$35)/2,"")</f>
        <v/>
      </c>
      <c r="AF230" s="7" t="str">
        <f>IF(31&gt;=52,('Testes estatísticos'!$D$57+'Testes estatísticos'!$D$36)/2,"")</f>
        <v/>
      </c>
      <c r="AG230" s="7" t="str">
        <f>IF(32&gt;=52,('Testes estatísticos'!$D$57+'Testes estatísticos'!$D$37)/2,"")</f>
        <v/>
      </c>
      <c r="AH230" s="7" t="str">
        <f>IF(33&gt;=52,('Testes estatísticos'!$D$57+'Testes estatísticos'!$D$38)/2,"")</f>
        <v/>
      </c>
      <c r="AI230" s="7" t="str">
        <f>IF(34&gt;=52,('Testes estatísticos'!$D$57+'Testes estatísticos'!$D$39)/2,"")</f>
        <v/>
      </c>
      <c r="AJ230" s="7" t="str">
        <f>IF(35&gt;=52,('Testes estatísticos'!$D$57+'Testes estatísticos'!$D$40)/2,"")</f>
        <v/>
      </c>
      <c r="AK230" s="7" t="str">
        <f>IF(36&gt;=52,('Testes estatísticos'!$D$57+'Testes estatísticos'!$D$41)/2,"")</f>
        <v/>
      </c>
      <c r="AL230" s="7" t="str">
        <f>IF(37&gt;=52,('Testes estatísticos'!$D$57+'Testes estatísticos'!$D$42)/2,"")</f>
        <v/>
      </c>
      <c r="AM230" s="7" t="str">
        <f>IF(38&gt;=52,('Testes estatísticos'!$D$57+'Testes estatísticos'!$D$43)/2,"")</f>
        <v/>
      </c>
      <c r="AN230" s="7" t="str">
        <f>IF(39&gt;=52,('Testes estatísticos'!$D$57+'Testes estatísticos'!$D$44)/2,"")</f>
        <v/>
      </c>
      <c r="AO230" s="7" t="str">
        <f>IF(40&gt;=52,('Testes estatísticos'!$D$57+'Testes estatísticos'!$D$45)/2,"")</f>
        <v/>
      </c>
      <c r="AP230" s="7" t="str">
        <f>IF(41&gt;=52,('Testes estatísticos'!$D$57+'Testes estatísticos'!$D$46)/2,"")</f>
        <v/>
      </c>
      <c r="AQ230" s="7" t="str">
        <f>IF(42&gt;=52,('Testes estatísticos'!$D$57+'Testes estatísticos'!$D$47)/2,"")</f>
        <v/>
      </c>
      <c r="AR230" s="7" t="str">
        <f>IF(43&gt;=52,('Testes estatísticos'!$D$57+'Testes estatísticos'!$D$48)/2,"")</f>
        <v/>
      </c>
      <c r="AS230" s="7" t="str">
        <f>IF(44&gt;=52,('Testes estatísticos'!$D$57+'Testes estatísticos'!$D$49)/2,"")</f>
        <v/>
      </c>
      <c r="AT230" s="7" t="str">
        <f>IF(45&gt;=52,('Testes estatísticos'!$D$57+'Testes estatísticos'!$D$50)/2,"")</f>
        <v/>
      </c>
      <c r="AU230" s="7" t="str">
        <f>IF(46&gt;=52,('Testes estatísticos'!$D$57+'Testes estatísticos'!$D$51)/2,"")</f>
        <v/>
      </c>
      <c r="AV230" s="7" t="str">
        <f>IF(47&gt;=52,('Testes estatísticos'!$D$57+'Testes estatísticos'!$D$52)/2,"")</f>
        <v/>
      </c>
      <c r="AW230" s="7" t="str">
        <f>IF(48&gt;=52,('Testes estatísticos'!$D$57+'Testes estatísticos'!$D$53)/2,"")</f>
        <v/>
      </c>
      <c r="AX230" s="7" t="str">
        <f>IF(49&gt;=52,('Testes estatísticos'!$D$57+'Testes estatísticos'!$D$54)/2,"")</f>
        <v/>
      </c>
      <c r="AY230" s="7" t="str">
        <f>IF(50&gt;=52,('Testes estatísticos'!$D$57+'Testes estatísticos'!$D$55)/2,"")</f>
        <v/>
      </c>
      <c r="AZ230" s="7" t="str">
        <f>IF(51&gt;=52,('Testes estatísticos'!$D$57+'Testes estatísticos'!$D$56)/2,"")</f>
        <v/>
      </c>
      <c r="BA230" s="7">
        <f>IF(52&gt;=52,('Testes estatísticos'!$D$57+'Testes estatísticos'!$D$57)/2,"")</f>
        <v>-6.4107699999999994</v>
      </c>
      <c r="BB230" s="7">
        <f>IF(53&gt;=52,('Testes estatísticos'!$D$57+'Testes estatísticos'!$D$58)/2,"")</f>
        <v>-3.0020074999999977</v>
      </c>
      <c r="BC230" s="7">
        <f>IF(54&gt;=52,('Testes estatísticos'!$D$57+'Testes estatísticos'!$D$59)/2,"")</f>
        <v>-3.9216499999999996</v>
      </c>
      <c r="BD230" s="7">
        <f>IF(55&gt;=52,('Testes estatísticos'!$D$57+'Testes estatísticos'!$D$60)/2,"")</f>
        <v>-0.82597900000000024</v>
      </c>
      <c r="BE230" s="7">
        <f>IF(56&gt;=52,('Testes estatísticos'!$D$57+'Testes estatísticos'!$D$61)/2,"")</f>
        <v>-3.4559474999999971</v>
      </c>
      <c r="BF230" s="7">
        <f>IF(57&gt;=52,('Testes estatísticos'!$D$57+'Testes estatísticos'!$D$62)/2,"")</f>
        <v>-6.8561375000000027</v>
      </c>
      <c r="BG230" s="7">
        <f>IF(58&gt;=52,('Testes estatísticos'!$D$57+'Testes estatísticos'!$D$63)/2,"")</f>
        <v>-1.5902424999999987</v>
      </c>
      <c r="BH230" s="7">
        <f>IF(59&gt;=52,('Testes estatísticos'!$D$57+'Testes estatísticos'!$D$64)/2,"")</f>
        <v>-7.4338550000000012</v>
      </c>
      <c r="BI230" s="7">
        <f>IF(60&gt;=52,('Testes estatísticos'!$D$57+'Testes estatísticos'!$D$65)/2,"")</f>
        <v>-5.6862639999999978</v>
      </c>
      <c r="BJ230" s="7">
        <f>IF(61&gt;=52,('Testes estatísticos'!$D$57+'Testes estatísticos'!$D$66)/2,"")</f>
        <v>-3.0512090000000001</v>
      </c>
      <c r="BK230" s="7">
        <f>IF(62&gt;=52,('Testes estatísticos'!$D$57+'Testes estatísticos'!$D$67)/2,"")</f>
        <v>-3.5600039999999993</v>
      </c>
      <c r="BL230" s="7">
        <f>IF(63&gt;=52,('Testes estatísticos'!$D$57+'Testes estatísticos'!$D$68)/2,"")</f>
        <v>-2.6606895000000002</v>
      </c>
      <c r="BM230" s="7">
        <f>IF(64&gt;=52,('Testes estatísticos'!$D$57+'Testes estatísticos'!$D$69)/2,"")</f>
        <v>-2.6098475000000008</v>
      </c>
      <c r="BN230" s="7">
        <f>IF(65&gt;=52,('Testes estatísticos'!$D$57+'Testes estatísticos'!$D$70)/2,"")</f>
        <v>-4.7556539999999998</v>
      </c>
      <c r="BO230" s="7">
        <f>IF(66&gt;=52,('Testes estatísticos'!$D$57+'Testes estatísticos'!$D$71)/2,"")</f>
        <v>-3.8598014999999997</v>
      </c>
      <c r="BP230" s="7">
        <f>IF(67&gt;=52,('Testes estatísticos'!$D$57+'Testes estatísticos'!$D$72)/2,"")</f>
        <v>-6.7502604999999996</v>
      </c>
      <c r="BQ230" s="7">
        <f>IF(68&gt;=52,('Testes estatísticos'!$D$57+'Testes estatísticos'!$D$73)/2,"")</f>
        <v>-2.0870275000000014</v>
      </c>
      <c r="BR230" s="7">
        <f>IF(69&gt;=52,('Testes estatísticos'!$D$57+'Testes estatísticos'!$D$74)/2,"")</f>
        <v>-1.4548455000000011</v>
      </c>
      <c r="BS230" s="7">
        <f>IF(70&gt;=52,('Testes estatísticos'!$D$57+'Testes estatísticos'!$D$75)/2,"")</f>
        <v>-2.4593100000000021</v>
      </c>
      <c r="BT230" s="7">
        <f>IF(71&gt;=52,('Testes estatísticos'!$D$57+'Testes estatísticos'!$D$76)/2,"")</f>
        <v>-0.88494500000000187</v>
      </c>
      <c r="BU230" s="7">
        <f>IF(72&gt;=52,('Testes estatísticos'!$D$57+'Testes estatísticos'!$D$77)/2,"")</f>
        <v>-6.4846420000000009</v>
      </c>
      <c r="BV230" s="7">
        <f>IF(73&gt;=52,('Testes estatísticos'!$D$57+'Testes estatísticos'!$D$78)/2,"")</f>
        <v>-4.4111675000000012</v>
      </c>
      <c r="BW230" s="7">
        <f>IF(74&gt;=52,('Testes estatísticos'!$D$57+'Testes estatísticos'!$D$79)/2,"")</f>
        <v>-5.0944859999999998</v>
      </c>
      <c r="BX230" s="7">
        <f>IF(75&gt;=52,('Testes estatísticos'!$D$57+'Testes estatísticos'!$D$80)/2,"")</f>
        <v>-5.116264000000001</v>
      </c>
      <c r="BY230" s="7">
        <f>IF(76&gt;=52,('Testes estatísticos'!$D$57+'Testes estatísticos'!$D$81)/2,"")</f>
        <v>-0.98480599999999896</v>
      </c>
      <c r="BZ230" s="7">
        <f>IF(77&gt;=52,('Testes estatísticos'!$D$57+'Testes estatísticos'!$D$82)/2,"")</f>
        <v>-6.2463954999999984</v>
      </c>
      <c r="CA230" s="7">
        <f>IF(78&gt;=52,('Testes estatísticos'!$D$57+'Testes estatísticos'!$D$83)/2,"")</f>
        <v>-4.4861364999999971</v>
      </c>
      <c r="CB230" s="7">
        <f>IF(79&gt;=52,('Testes estatísticos'!$D$57+'Testes estatísticos'!$D$84)/2,"")</f>
        <v>-4.4344140000000003</v>
      </c>
      <c r="CC230" s="7">
        <f>IF(80&gt;=52,('Testes estatísticos'!$D$57+'Testes estatísticos'!$D$85)/2,"")</f>
        <v>-6.2414304999999999</v>
      </c>
      <c r="CD230" s="7">
        <f>IF(81&gt;=52,('Testes estatísticos'!$D$57+'Testes estatísticos'!$D$86)/2,"")</f>
        <v>-6.2915755000000004</v>
      </c>
      <c r="CE230" s="7">
        <f>IF(82&gt;=52,('Testes estatísticos'!$D$57+'Testes estatísticos'!$D$87)/2,"")</f>
        <v>-4.2137850000000014</v>
      </c>
      <c r="CF230" s="7">
        <f>IF(83&gt;=52,('Testes estatísticos'!$D$57+'Testes estatísticos'!$D$88)/2,"")</f>
        <v>-4.7425920000000019</v>
      </c>
      <c r="CG230" s="7">
        <f>IF(84&gt;=52,('Testes estatísticos'!$D$57+'Testes estatísticos'!$D$89)/2,"")</f>
        <v>-5.0744989999999994</v>
      </c>
      <c r="CH230" s="7">
        <f>IF(85&gt;=52,('Testes estatísticos'!$D$57+'Testes estatísticos'!$D$90)/2,"")</f>
        <v>-3.2589520000000007</v>
      </c>
      <c r="CI230" s="7">
        <f>IF(86&gt;=52,('Testes estatísticos'!$D$57+'Testes estatísticos'!$D$91)/2,"")</f>
        <v>-5.9491114999999972</v>
      </c>
      <c r="CJ230" s="7">
        <f>IF(87&gt;=52,('Testes estatísticos'!$D$57+'Testes estatísticos'!$D$92)/2,"")</f>
        <v>-4.706904999999999</v>
      </c>
      <c r="CK230" s="7">
        <f>IF(88&gt;=52,('Testes estatísticos'!$D$57+'Testes estatísticos'!$D$93)/2,"")</f>
        <v>-4.4628215000000004</v>
      </c>
      <c r="CL230" s="7">
        <f>IF(89&gt;=52,('Testes estatísticos'!$D$57+'Testes estatísticos'!$D$94)/2,"")</f>
        <v>-5.0744135000000021</v>
      </c>
      <c r="CM230" s="7">
        <f>IF(90&gt;=52,('Testes estatísticos'!$D$57+'Testes estatísticos'!$D$95)/2,"")</f>
        <v>-7.4085454999999989</v>
      </c>
      <c r="CN230" s="7">
        <f>IF(91&gt;=52,('Testes estatísticos'!$D$57+'Testes estatísticos'!$D$96)/2,"")</f>
        <v>-4.8700224999999975</v>
      </c>
      <c r="CO230" s="7">
        <f>IF(92&gt;=52,('Testes estatísticos'!$D$57+'Testes estatísticos'!$D$97)/2,"")</f>
        <v>-5.2165259999999982</v>
      </c>
      <c r="CP230" s="7">
        <f>IF(93&gt;=52,('Testes estatísticos'!$D$57+'Testes estatísticos'!$D$98)/2,"")</f>
        <v>-5.4212779999999974</v>
      </c>
      <c r="CQ230" s="7">
        <f>IF(94&gt;=52,('Testes estatísticos'!$D$57+'Testes estatísticos'!$D$99)/2,"")</f>
        <v>-3.240120000000001</v>
      </c>
      <c r="CR230" s="7">
        <f>IF(95&gt;=52,('Testes estatísticos'!$D$57+'Testes estatísticos'!$D$100)/2,"")</f>
        <v>-5.1459130000000002</v>
      </c>
      <c r="CS230" s="7">
        <f>IF(96&gt;=52,('Testes estatísticos'!$D$57+'Testes estatísticos'!$D$101)/2,"")</f>
        <v>-5.1019260000000024</v>
      </c>
      <c r="CT230" s="7">
        <f>IF(97&gt;=52,('Testes estatísticos'!$D$57+'Testes estatísticos'!$D$102)/2,"")</f>
        <v>-4.8688755000000015</v>
      </c>
      <c r="CU230" s="7">
        <f>IF(98&gt;=52,('Testes estatísticos'!$D$57+'Testes estatísticos'!$D$103)/2,"")</f>
        <v>-4.8115494999999981</v>
      </c>
      <c r="CV230" s="7">
        <f>IF(99&gt;=52,('Testes estatísticos'!$D$57+'Testes estatísticos'!$D$104)/2,"")</f>
        <v>-5.2463754999999992</v>
      </c>
      <c r="CW230" s="7">
        <f>IF(100&gt;=52,('Testes estatísticos'!$D$57+'Testes estatísticos'!$D$105)/2,"")</f>
        <v>-5.3458414999999988</v>
      </c>
      <c r="CX230" s="7">
        <f>IF(101&gt;=52,('Testes estatísticos'!$D$57+'Testes estatísticos'!$D$106)/2,"")</f>
        <v>-4.8229149999999983</v>
      </c>
      <c r="CY230" s="7">
        <f>IF(102&gt;=52,('Testes estatísticos'!$D$57+'Testes estatísticos'!$D$107)/2,"")</f>
        <v>-4.8785799999999995</v>
      </c>
      <c r="CZ230" s="7">
        <f>IF(103&gt;=52,('Testes estatísticos'!$D$57+'Testes estatísticos'!$D$108)/2,"")</f>
        <v>-5.4027464999999992</v>
      </c>
      <c r="DA230" s="7">
        <f>IF(104&gt;=52,('Testes estatísticos'!$D$57+'Testes estatísticos'!$D$109)/2,"")</f>
        <v>-5.1401124999999972</v>
      </c>
      <c r="DB230" s="7">
        <f>IF(105&gt;=52,('Testes estatísticos'!$D$57+'Testes estatísticos'!$D$110)/2,"")</f>
        <v>-5.1057814999999991</v>
      </c>
      <c r="DC230" s="7">
        <f>IF(106&gt;=52,('Testes estatísticos'!$D$57+'Testes estatísticos'!$D$111)/2,"")</f>
        <v>-4.3628605</v>
      </c>
      <c r="DD230" s="7">
        <f>IF(107&gt;=52,('Testes estatísticos'!$D$57+'Testes estatísticos'!$D$112)/2,"")</f>
        <v>-0.86968949999999978</v>
      </c>
      <c r="DE230" s="7">
        <f>IF(108&gt;=52,('Testes estatísticos'!$D$57+'Testes estatísticos'!$D$113)/2,"")</f>
        <v>-4.2923249999999982</v>
      </c>
      <c r="DF230" s="7">
        <f>IF(109&gt;=52,('Testes estatísticos'!$D$57+'Testes estatísticos'!$D$114)/2,"")</f>
        <v>-4.3285819999999973</v>
      </c>
      <c r="DG230" s="7">
        <f>IF(110&gt;=52,('Testes estatísticos'!$D$57+'Testes estatísticos'!$D$115)/2,"")</f>
        <v>-9.8757215000000009</v>
      </c>
      <c r="DH230" s="7">
        <f>IF(111&gt;=52,('Testes estatísticos'!$D$57+'Testes estatísticos'!$D$116)/2,"")</f>
        <v>-4.1948909999999984</v>
      </c>
      <c r="DI230" s="7">
        <f>IF(112&gt;=52,('Testes estatísticos'!$D$57+'Testes estatísticos'!$D$117)/2,"")</f>
        <v>1.233549</v>
      </c>
      <c r="DJ230" s="7">
        <f>IF(113&gt;=52,('Testes estatísticos'!$D$57+'Testes estatísticos'!$D$118)/2,"")</f>
        <v>-4.2230080000000001</v>
      </c>
      <c r="DK230" s="7">
        <f>IF(114&gt;=52,('Testes estatísticos'!$D$57+'Testes estatísticos'!$D$119)/2,"")</f>
        <v>-4.3247579999999992</v>
      </c>
      <c r="DL230" s="7">
        <f>IF(115&gt;=52,('Testes estatísticos'!$D$57+'Testes estatísticos'!$D$120)/2,"")</f>
        <v>-4.2782804999999975</v>
      </c>
      <c r="DM230" s="7">
        <f>IF(116&gt;=52,('Testes estatísticos'!$D$57+'Testes estatísticos'!$D$121)/2,"")</f>
        <v>-4.269677999999999</v>
      </c>
      <c r="DN230" s="7">
        <f>IF(117&gt;=52,('Testes estatísticos'!$D$57+'Testes estatísticos'!$D$122)/2,"")</f>
        <v>-4.2466100000000004</v>
      </c>
      <c r="DO230" s="7">
        <f>IF(118&gt;=52,('Testes estatísticos'!$D$57+'Testes estatísticos'!$D$123)/2,"")</f>
        <v>-4.1966995000000011</v>
      </c>
      <c r="DP230" s="7">
        <f>IF(119&gt;=52,('Testes estatísticos'!$D$57+'Testes estatísticos'!$D$124)/2,"")</f>
        <v>-4.2179110000000009</v>
      </c>
      <c r="DQ230" s="7">
        <f>IF(120&gt;=52,('Testes estatísticos'!$D$57+'Testes estatísticos'!$D$125)/2,"")</f>
        <v>-1.1662964999999978</v>
      </c>
      <c r="DR230" s="7">
        <f>IF(121&gt;=52,('Testes estatísticos'!$D$57+'Testes estatísticos'!$D$126)/2,"")</f>
        <v>-3.9553130000000003</v>
      </c>
      <c r="DS230" s="7">
        <f>IF(122&gt;=52,('Testes estatísticos'!$D$57+'Testes estatísticos'!$D$127)/2,"")</f>
        <v>-5.020721499999997</v>
      </c>
      <c r="DT230" s="7">
        <f>IF(123&gt;=52,('Testes estatísticos'!$D$57+'Testes estatísticos'!$D$128)/2,"")</f>
        <v>1.0481479999999976</v>
      </c>
      <c r="DU230" s="7">
        <f>IF(124&gt;=52,('Testes estatísticos'!$D$57+'Testes estatísticos'!$D$129)/2,"")</f>
        <v>-3.847623500000001</v>
      </c>
      <c r="DV230" s="7">
        <f>IF(125&gt;=52,('Testes estatísticos'!$D$57+'Testes estatísticos'!$D$130)/2,"")</f>
        <v>-2.6893160000000016</v>
      </c>
      <c r="DW230" s="7">
        <f>IF(126&gt;=52,('Testes estatísticos'!$D$57+'Testes estatísticos'!$D$131)/2,"")</f>
        <v>-5.0927919999999993</v>
      </c>
      <c r="DX230" s="7">
        <f>IF(127&gt;=52,('Testes estatísticos'!$D$57+'Testes estatísticos'!$D$132)/2,"")</f>
        <v>-7.1489834999999999</v>
      </c>
      <c r="DY230" s="7">
        <f>IF(128&gt;=52,('Testes estatísticos'!$D$57+'Testes estatísticos'!$D$133)/2,"")</f>
        <v>-7.4900729999999989</v>
      </c>
      <c r="DZ230" s="7">
        <f>IF(129&gt;=52,('Testes estatísticos'!$D$57+'Testes estatísticos'!$D$134)/2,"")</f>
        <v>-10.913862999999999</v>
      </c>
      <c r="EA230" s="7">
        <f>IF(130&gt;=52,('Testes estatísticos'!$D$57+'Testes estatísticos'!$D$135)/2,"")</f>
        <v>-5.1520929999999971</v>
      </c>
      <c r="EB230" s="7">
        <f>IF(131&gt;=52,('Testes estatísticos'!$D$57+'Testes estatísticos'!$D$136)/2,"")</f>
        <v>-5.0642200000000024</v>
      </c>
      <c r="EC230" s="7">
        <f>IF(132&gt;=52,('Testes estatísticos'!$D$57+'Testes estatísticos'!$D$137)/2,"")</f>
        <v>-6.5509565000000016</v>
      </c>
      <c r="ED230" s="7">
        <f>IF(133&gt;=52,('Testes estatísticos'!$D$57+'Testes estatísticos'!$D$138)/2,"")</f>
        <v>-4.3620190000000001</v>
      </c>
      <c r="EE230" s="7">
        <f>IF(134&gt;=52,('Testes estatísticos'!$D$57+'Testes estatísticos'!$D$139)/2,"")</f>
        <v>-6.6592095000000029</v>
      </c>
      <c r="EF230" s="7">
        <f>IF(135&gt;=52,('Testes estatísticos'!$D$57+'Testes estatísticos'!$D$140)/2,"")</f>
        <v>-3.4447769999999984</v>
      </c>
      <c r="EG230" s="7">
        <f>IF(136&gt;=52,('Testes estatísticos'!$D$57+'Testes estatísticos'!$D$141)/2,"")</f>
        <v>-5.1382670000000026</v>
      </c>
      <c r="EH230" s="7">
        <f>IF(137&gt;=52,('Testes estatísticos'!$D$57+'Testes estatísticos'!$D$142)/2,"")</f>
        <v>-3.4335270000000016</v>
      </c>
      <c r="EI230" s="7">
        <f>IF(138&gt;=52,('Testes estatísticos'!$D$57+'Testes estatísticos'!$D$143)/2,"")</f>
        <v>-5.0985424999999971</v>
      </c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</row>
    <row r="231" spans="2:151" x14ac:dyDescent="0.3">
      <c r="B231" s="7" t="str">
        <f>IF(1&gt;=53,('Testes estatísticos'!$D$58+'Testes estatísticos'!$D$6)/2,"")</f>
        <v/>
      </c>
      <c r="C231" s="7" t="str">
        <f>IF(2&gt;=53,('Testes estatísticos'!$D$58+'Testes estatísticos'!$D$7)/2,"")</f>
        <v/>
      </c>
      <c r="D231" s="7" t="str">
        <f>IF(3&gt;=53,('Testes estatísticos'!$D$58+'Testes estatísticos'!$D$8)/2,"")</f>
        <v/>
      </c>
      <c r="E231" s="7" t="str">
        <f>IF(4&gt;=53,('Testes estatísticos'!$D$58+'Testes estatísticos'!$D$9)/2,"")</f>
        <v/>
      </c>
      <c r="F231" s="7" t="str">
        <f>IF(5&gt;=53,('Testes estatísticos'!$D$58+'Testes estatísticos'!$D$10)/2,"")</f>
        <v/>
      </c>
      <c r="G231" s="7" t="str">
        <f>IF(6&gt;=53,('Testes estatísticos'!$D$58+'Testes estatísticos'!$D$11)/2,"")</f>
        <v/>
      </c>
      <c r="H231" s="7" t="str">
        <f>IF(7&gt;=53,('Testes estatísticos'!$D$58+'Testes estatísticos'!$D$12)/2,"")</f>
        <v/>
      </c>
      <c r="I231" s="7" t="str">
        <f>IF(8&gt;=53,('Testes estatísticos'!$D$58+'Testes estatísticos'!$D$13)/2,"")</f>
        <v/>
      </c>
      <c r="J231" s="7" t="str">
        <f>IF(9&gt;=53,('Testes estatísticos'!$D$58+'Testes estatísticos'!$D$14)/2,"")</f>
        <v/>
      </c>
      <c r="K231" s="7" t="str">
        <f>IF(10&gt;=53,('Testes estatísticos'!$D$58+'Testes estatísticos'!$D$15)/2,"")</f>
        <v/>
      </c>
      <c r="L231" s="7" t="str">
        <f>IF(11&gt;=53,('Testes estatísticos'!$D$58+'Testes estatísticos'!$D$16)/2,"")</f>
        <v/>
      </c>
      <c r="M231" s="7" t="str">
        <f>IF(12&gt;=53,('Testes estatísticos'!$D$58+'Testes estatísticos'!$D$17)/2,"")</f>
        <v/>
      </c>
      <c r="N231" s="7" t="str">
        <f>IF(13&gt;=53,('Testes estatísticos'!$D$58+'Testes estatísticos'!$D$18)/2,"")</f>
        <v/>
      </c>
      <c r="O231" s="7" t="str">
        <f>IF(14&gt;=53,('Testes estatísticos'!$D$58+'Testes estatísticos'!$D$19)/2,"")</f>
        <v/>
      </c>
      <c r="P231" s="7" t="str">
        <f>IF(15&gt;=53,('Testes estatísticos'!$D$58+'Testes estatísticos'!$D$20)/2,"")</f>
        <v/>
      </c>
      <c r="Q231" s="7" t="str">
        <f>IF(16&gt;=53,('Testes estatísticos'!$D$58+'Testes estatísticos'!$D$21)/2,"")</f>
        <v/>
      </c>
      <c r="R231" s="7" t="str">
        <f>IF(17&gt;=53,('Testes estatísticos'!$D$58+'Testes estatísticos'!$D$22)/2,"")</f>
        <v/>
      </c>
      <c r="S231" s="7" t="str">
        <f>IF(18&gt;=53,('Testes estatísticos'!$D$58+'Testes estatísticos'!$D$23)/2,"")</f>
        <v/>
      </c>
      <c r="T231" s="7" t="str">
        <f>IF(19&gt;=53,('Testes estatísticos'!$D$58+'Testes estatísticos'!$D$24)/2,"")</f>
        <v/>
      </c>
      <c r="U231" s="7" t="str">
        <f>IF(20&gt;=53,('Testes estatísticos'!$D$58+'Testes estatísticos'!$D$25)/2,"")</f>
        <v/>
      </c>
      <c r="V231" s="7" t="str">
        <f>IF(21&gt;=53,('Testes estatísticos'!$D$58+'Testes estatísticos'!$D$26)/2,"")</f>
        <v/>
      </c>
      <c r="W231" s="7" t="str">
        <f>IF(22&gt;=53,('Testes estatísticos'!$D$58+'Testes estatísticos'!$D$27)/2,"")</f>
        <v/>
      </c>
      <c r="X231" s="7" t="str">
        <f>IF(23&gt;=53,('Testes estatísticos'!$D$58+'Testes estatísticos'!$D$28)/2,"")</f>
        <v/>
      </c>
      <c r="Y231" s="7" t="str">
        <f>IF(24&gt;=53,('Testes estatísticos'!$D$58+'Testes estatísticos'!$D$29)/2,"")</f>
        <v/>
      </c>
      <c r="Z231" s="7" t="str">
        <f>IF(25&gt;=53,('Testes estatísticos'!$D$58+'Testes estatísticos'!$D$30)/2,"")</f>
        <v/>
      </c>
      <c r="AA231" s="7" t="str">
        <f>IF(26&gt;=53,('Testes estatísticos'!$D$58+'Testes estatísticos'!$D$31)/2,"")</f>
        <v/>
      </c>
      <c r="AB231" s="7" t="str">
        <f>IF(27&gt;=53,('Testes estatísticos'!$D$58+'Testes estatísticos'!$D$32)/2,"")</f>
        <v/>
      </c>
      <c r="AC231" s="7" t="str">
        <f>IF(28&gt;=53,('Testes estatísticos'!$D$58+'Testes estatísticos'!$D$33)/2,"")</f>
        <v/>
      </c>
      <c r="AD231" s="7" t="str">
        <f>IF(29&gt;=53,('Testes estatísticos'!$D$58+'Testes estatísticos'!$D$34)/2,"")</f>
        <v/>
      </c>
      <c r="AE231" s="7" t="str">
        <f>IF(30&gt;=53,('Testes estatísticos'!$D$58+'Testes estatísticos'!$D$35)/2,"")</f>
        <v/>
      </c>
      <c r="AF231" s="7" t="str">
        <f>IF(31&gt;=53,('Testes estatísticos'!$D$58+'Testes estatísticos'!$D$36)/2,"")</f>
        <v/>
      </c>
      <c r="AG231" s="7" t="str">
        <f>IF(32&gt;=53,('Testes estatísticos'!$D$58+'Testes estatísticos'!$D$37)/2,"")</f>
        <v/>
      </c>
      <c r="AH231" s="7" t="str">
        <f>IF(33&gt;=53,('Testes estatísticos'!$D$58+'Testes estatísticos'!$D$38)/2,"")</f>
        <v/>
      </c>
      <c r="AI231" s="7" t="str">
        <f>IF(34&gt;=53,('Testes estatísticos'!$D$58+'Testes estatísticos'!$D$39)/2,"")</f>
        <v/>
      </c>
      <c r="AJ231" s="7" t="str">
        <f>IF(35&gt;=53,('Testes estatísticos'!$D$58+'Testes estatísticos'!$D$40)/2,"")</f>
        <v/>
      </c>
      <c r="AK231" s="7" t="str">
        <f>IF(36&gt;=53,('Testes estatísticos'!$D$58+'Testes estatísticos'!$D$41)/2,"")</f>
        <v/>
      </c>
      <c r="AL231" s="7" t="str">
        <f>IF(37&gt;=53,('Testes estatísticos'!$D$58+'Testes estatísticos'!$D$42)/2,"")</f>
        <v/>
      </c>
      <c r="AM231" s="7" t="str">
        <f>IF(38&gt;=53,('Testes estatísticos'!$D$58+'Testes estatísticos'!$D$43)/2,"")</f>
        <v/>
      </c>
      <c r="AN231" s="7" t="str">
        <f>IF(39&gt;=53,('Testes estatísticos'!$D$58+'Testes estatísticos'!$D$44)/2,"")</f>
        <v/>
      </c>
      <c r="AO231" s="7" t="str">
        <f>IF(40&gt;=53,('Testes estatísticos'!$D$58+'Testes estatísticos'!$D$45)/2,"")</f>
        <v/>
      </c>
      <c r="AP231" s="7" t="str">
        <f>IF(41&gt;=53,('Testes estatísticos'!$D$58+'Testes estatísticos'!$D$46)/2,"")</f>
        <v/>
      </c>
      <c r="AQ231" s="7" t="str">
        <f>IF(42&gt;=53,('Testes estatísticos'!$D$58+'Testes estatísticos'!$D$47)/2,"")</f>
        <v/>
      </c>
      <c r="AR231" s="7" t="str">
        <f>IF(43&gt;=53,('Testes estatísticos'!$D$58+'Testes estatísticos'!$D$48)/2,"")</f>
        <v/>
      </c>
      <c r="AS231" s="7" t="str">
        <f>IF(44&gt;=53,('Testes estatísticos'!$D$58+'Testes estatísticos'!$D$49)/2,"")</f>
        <v/>
      </c>
      <c r="AT231" s="7" t="str">
        <f>IF(45&gt;=53,('Testes estatísticos'!$D$58+'Testes estatísticos'!$D$50)/2,"")</f>
        <v/>
      </c>
      <c r="AU231" s="7" t="str">
        <f>IF(46&gt;=53,('Testes estatísticos'!$D$58+'Testes estatísticos'!$D$51)/2,"")</f>
        <v/>
      </c>
      <c r="AV231" s="7" t="str">
        <f>IF(47&gt;=53,('Testes estatísticos'!$D$58+'Testes estatísticos'!$D$52)/2,"")</f>
        <v/>
      </c>
      <c r="AW231" s="7" t="str">
        <f>IF(48&gt;=53,('Testes estatísticos'!$D$58+'Testes estatísticos'!$D$53)/2,"")</f>
        <v/>
      </c>
      <c r="AX231" s="7" t="str">
        <f>IF(49&gt;=53,('Testes estatísticos'!$D$58+'Testes estatísticos'!$D$54)/2,"")</f>
        <v/>
      </c>
      <c r="AY231" s="7" t="str">
        <f>IF(50&gt;=53,('Testes estatísticos'!$D$58+'Testes estatísticos'!$D$55)/2,"")</f>
        <v/>
      </c>
      <c r="AZ231" s="7" t="str">
        <f>IF(51&gt;=53,('Testes estatísticos'!$D$58+'Testes estatísticos'!$D$56)/2,"")</f>
        <v/>
      </c>
      <c r="BA231" s="7" t="str">
        <f>IF(52&gt;=53,('Testes estatísticos'!$D$58+'Testes estatísticos'!$D$57)/2,"")</f>
        <v/>
      </c>
      <c r="BB231" s="7">
        <f>IF(53&gt;=53,('Testes estatísticos'!$D$58+'Testes estatísticos'!$D$58)/2,"")</f>
        <v>0.40675500000000397</v>
      </c>
      <c r="BC231" s="7">
        <f>IF(54&gt;=53,('Testes estatísticos'!$D$58+'Testes estatísticos'!$D$59)/2,"")</f>
        <v>-0.51288749999999794</v>
      </c>
      <c r="BD231" s="7">
        <f>IF(55&gt;=53,('Testes estatísticos'!$D$58+'Testes estatísticos'!$D$60)/2,"")</f>
        <v>2.5827835000000015</v>
      </c>
      <c r="BE231" s="7">
        <f>IF(56&gt;=53,('Testes estatísticos'!$D$58+'Testes estatísticos'!$D$61)/2,"")</f>
        <v>-4.718499999999537E-2</v>
      </c>
      <c r="BF231" s="7">
        <f>IF(57&gt;=53,('Testes estatísticos'!$D$58+'Testes estatísticos'!$D$62)/2,"")</f>
        <v>-3.447375000000001</v>
      </c>
      <c r="BG231" s="7">
        <f>IF(58&gt;=53,('Testes estatísticos'!$D$58+'Testes estatísticos'!$D$63)/2,"")</f>
        <v>1.818520000000003</v>
      </c>
      <c r="BH231" s="7">
        <f>IF(59&gt;=53,('Testes estatísticos'!$D$58+'Testes estatísticos'!$D$64)/2,"")</f>
        <v>-4.0250924999999995</v>
      </c>
      <c r="BI231" s="7">
        <f>IF(60&gt;=53,('Testes estatísticos'!$D$58+'Testes estatísticos'!$D$65)/2,"")</f>
        <v>-2.2775014999999961</v>
      </c>
      <c r="BJ231" s="7">
        <f>IF(61&gt;=53,('Testes estatísticos'!$D$58+'Testes estatísticos'!$D$66)/2,"")</f>
        <v>0.35755350000000163</v>
      </c>
      <c r="BK231" s="7">
        <f>IF(62&gt;=53,('Testes estatísticos'!$D$58+'Testes estatísticos'!$D$67)/2,"")</f>
        <v>-0.15124149999999759</v>
      </c>
      <c r="BL231" s="7">
        <f>IF(63&gt;=53,('Testes estatísticos'!$D$58+'Testes estatísticos'!$D$68)/2,"")</f>
        <v>0.74807300000000154</v>
      </c>
      <c r="BM231" s="7">
        <f>IF(64&gt;=53,('Testes estatísticos'!$D$58+'Testes estatísticos'!$D$69)/2,"")</f>
        <v>0.79891500000000093</v>
      </c>
      <c r="BN231" s="7">
        <f>IF(65&gt;=53,('Testes estatísticos'!$D$58+'Testes estatísticos'!$D$70)/2,"")</f>
        <v>-1.3468914999999981</v>
      </c>
      <c r="BO231" s="7">
        <f>IF(66&gt;=53,('Testes estatísticos'!$D$58+'Testes estatísticos'!$D$71)/2,"")</f>
        <v>-0.45103899999999797</v>
      </c>
      <c r="BP231" s="7">
        <f>IF(67&gt;=53,('Testes estatísticos'!$D$58+'Testes estatísticos'!$D$72)/2,"")</f>
        <v>-3.3414979999999979</v>
      </c>
      <c r="BQ231" s="7">
        <f>IF(68&gt;=53,('Testes estatísticos'!$D$58+'Testes estatísticos'!$D$73)/2,"")</f>
        <v>1.3217350000000003</v>
      </c>
      <c r="BR231" s="7">
        <f>IF(69&gt;=53,('Testes estatísticos'!$D$58+'Testes estatísticos'!$D$74)/2,"")</f>
        <v>1.9539170000000006</v>
      </c>
      <c r="BS231" s="7">
        <f>IF(70&gt;=53,('Testes estatísticos'!$D$58+'Testes estatísticos'!$D$75)/2,"")</f>
        <v>0.94945249999999959</v>
      </c>
      <c r="BT231" s="7">
        <f>IF(71&gt;=53,('Testes estatísticos'!$D$58+'Testes estatísticos'!$D$76)/2,"")</f>
        <v>2.5238174999999998</v>
      </c>
      <c r="BU231" s="7">
        <f>IF(72&gt;=53,('Testes estatísticos'!$D$58+'Testes estatísticos'!$D$77)/2,"")</f>
        <v>-3.0758794999999992</v>
      </c>
      <c r="BV231" s="7">
        <f>IF(73&gt;=53,('Testes estatísticos'!$D$58+'Testes estatísticos'!$D$78)/2,"")</f>
        <v>-1.0024049999999995</v>
      </c>
      <c r="BW231" s="7">
        <f>IF(74&gt;=53,('Testes estatísticos'!$D$58+'Testes estatísticos'!$D$79)/2,"")</f>
        <v>-1.6857234999999982</v>
      </c>
      <c r="BX231" s="7">
        <f>IF(75&gt;=53,('Testes estatísticos'!$D$58+'Testes estatísticos'!$D$80)/2,"")</f>
        <v>-1.7075014999999993</v>
      </c>
      <c r="BY231" s="7">
        <f>IF(76&gt;=53,('Testes estatísticos'!$D$58+'Testes estatísticos'!$D$81)/2,"")</f>
        <v>2.4239565000000027</v>
      </c>
      <c r="BZ231" s="7">
        <f>IF(77&gt;=53,('Testes estatísticos'!$D$58+'Testes estatísticos'!$D$82)/2,"")</f>
        <v>-2.8376329999999967</v>
      </c>
      <c r="CA231" s="7">
        <f>IF(78&gt;=53,('Testes estatísticos'!$D$58+'Testes estatísticos'!$D$83)/2,"")</f>
        <v>-1.0773739999999954</v>
      </c>
      <c r="CB231" s="7">
        <f>IF(79&gt;=53,('Testes estatísticos'!$D$58+'Testes estatísticos'!$D$84)/2,"")</f>
        <v>-1.0256514999999986</v>
      </c>
      <c r="CC231" s="7">
        <f>IF(80&gt;=53,('Testes estatísticos'!$D$58+'Testes estatísticos'!$D$85)/2,"")</f>
        <v>-2.8326679999999982</v>
      </c>
      <c r="CD231" s="7">
        <f>IF(81&gt;=53,('Testes estatísticos'!$D$58+'Testes estatísticos'!$D$86)/2,"")</f>
        <v>-2.8828129999999987</v>
      </c>
      <c r="CE231" s="7">
        <f>IF(82&gt;=53,('Testes estatísticos'!$D$58+'Testes estatísticos'!$D$87)/2,"")</f>
        <v>-0.80502249999999975</v>
      </c>
      <c r="CF231" s="7">
        <f>IF(83&gt;=53,('Testes estatísticos'!$D$58+'Testes estatísticos'!$D$88)/2,"")</f>
        <v>-1.3338295000000002</v>
      </c>
      <c r="CG231" s="7">
        <f>IF(84&gt;=53,('Testes estatísticos'!$D$58+'Testes estatísticos'!$D$89)/2,"")</f>
        <v>-1.6657364999999977</v>
      </c>
      <c r="CH231" s="7">
        <f>IF(85&gt;=53,('Testes estatísticos'!$D$58+'Testes estatísticos'!$D$90)/2,"")</f>
        <v>0.14981050000000096</v>
      </c>
      <c r="CI231" s="7">
        <f>IF(86&gt;=53,('Testes estatísticos'!$D$58+'Testes estatísticos'!$D$91)/2,"")</f>
        <v>-2.5403489999999955</v>
      </c>
      <c r="CJ231" s="7">
        <f>IF(87&gt;=53,('Testes estatísticos'!$D$58+'Testes estatísticos'!$D$92)/2,"")</f>
        <v>-1.2981424999999973</v>
      </c>
      <c r="CK231" s="7">
        <f>IF(88&gt;=53,('Testes estatísticos'!$D$58+'Testes estatísticos'!$D$93)/2,"")</f>
        <v>-1.0540589999999987</v>
      </c>
      <c r="CL231" s="7">
        <f>IF(89&gt;=53,('Testes estatísticos'!$D$58+'Testes estatísticos'!$D$94)/2,"")</f>
        <v>-1.6656510000000004</v>
      </c>
      <c r="CM231" s="7">
        <f>IF(90&gt;=53,('Testes estatísticos'!$D$58+'Testes estatísticos'!$D$95)/2,"")</f>
        <v>-3.9997829999999972</v>
      </c>
      <c r="CN231" s="7">
        <f>IF(91&gt;=53,('Testes estatísticos'!$D$58+'Testes estatísticos'!$D$96)/2,"")</f>
        <v>-1.4612599999999958</v>
      </c>
      <c r="CO231" s="7">
        <f>IF(92&gt;=53,('Testes estatísticos'!$D$58+'Testes estatísticos'!$D$97)/2,"")</f>
        <v>-1.8077634999999965</v>
      </c>
      <c r="CP231" s="7">
        <f>IF(93&gt;=53,('Testes estatísticos'!$D$58+'Testes estatísticos'!$D$98)/2,"")</f>
        <v>-2.0125154999999957</v>
      </c>
      <c r="CQ231" s="7">
        <f>IF(94&gt;=53,('Testes estatísticos'!$D$58+'Testes estatísticos'!$D$99)/2,"")</f>
        <v>0.16864250000000069</v>
      </c>
      <c r="CR231" s="7">
        <f>IF(95&gt;=53,('Testes estatísticos'!$D$58+'Testes estatísticos'!$D$100)/2,"")</f>
        <v>-1.7371504999999985</v>
      </c>
      <c r="CS231" s="7">
        <f>IF(96&gt;=53,('Testes estatísticos'!$D$58+'Testes estatísticos'!$D$101)/2,"")</f>
        <v>-1.6931635000000007</v>
      </c>
      <c r="CT231" s="7">
        <f>IF(97&gt;=53,('Testes estatísticos'!$D$58+'Testes estatísticos'!$D$102)/2,"")</f>
        <v>-1.4601129999999998</v>
      </c>
      <c r="CU231" s="7">
        <f>IF(98&gt;=53,('Testes estatísticos'!$D$58+'Testes estatísticos'!$D$103)/2,"")</f>
        <v>-1.4027869999999965</v>
      </c>
      <c r="CV231" s="7">
        <f>IF(99&gt;=53,('Testes estatísticos'!$D$58+'Testes estatísticos'!$D$104)/2,"")</f>
        <v>-1.8376129999999975</v>
      </c>
      <c r="CW231" s="7">
        <f>IF(100&gt;=53,('Testes estatísticos'!$D$58+'Testes estatísticos'!$D$105)/2,"")</f>
        <v>-1.9370789999999971</v>
      </c>
      <c r="CX231" s="7">
        <f>IF(101&gt;=53,('Testes estatísticos'!$D$58+'Testes estatísticos'!$D$106)/2,"")</f>
        <v>-1.4141524999999966</v>
      </c>
      <c r="CY231" s="7">
        <f>IF(102&gt;=53,('Testes estatísticos'!$D$58+'Testes estatísticos'!$D$107)/2,"")</f>
        <v>-1.4698174999999978</v>
      </c>
      <c r="CZ231" s="7">
        <f>IF(103&gt;=53,('Testes estatísticos'!$D$58+'Testes estatísticos'!$D$108)/2,"")</f>
        <v>-1.9939839999999975</v>
      </c>
      <c r="DA231" s="7">
        <f>IF(104&gt;=53,('Testes estatísticos'!$D$58+'Testes estatísticos'!$D$109)/2,"")</f>
        <v>-1.7313499999999955</v>
      </c>
      <c r="DB231" s="7">
        <f>IF(105&gt;=53,('Testes estatísticos'!$D$58+'Testes estatísticos'!$D$110)/2,"")</f>
        <v>-1.6970189999999974</v>
      </c>
      <c r="DC231" s="7">
        <f>IF(106&gt;=53,('Testes estatísticos'!$D$58+'Testes estatísticos'!$D$111)/2,"")</f>
        <v>-0.95409799999999834</v>
      </c>
      <c r="DD231" s="7">
        <f>IF(107&gt;=53,('Testes estatísticos'!$D$58+'Testes estatísticos'!$D$112)/2,"")</f>
        <v>2.5390730000000019</v>
      </c>
      <c r="DE231" s="7">
        <f>IF(108&gt;=53,('Testes estatísticos'!$D$58+'Testes estatísticos'!$D$113)/2,"")</f>
        <v>-0.88356249999999648</v>
      </c>
      <c r="DF231" s="7">
        <f>IF(109&gt;=53,('Testes estatísticos'!$D$58+'Testes estatísticos'!$D$114)/2,"")</f>
        <v>-0.91981949999999557</v>
      </c>
      <c r="DG231" s="7">
        <f>IF(110&gt;=53,('Testes estatísticos'!$D$58+'Testes estatísticos'!$D$115)/2,"")</f>
        <v>-6.4669589999999992</v>
      </c>
      <c r="DH231" s="7">
        <f>IF(111&gt;=53,('Testes estatísticos'!$D$58+'Testes estatísticos'!$D$116)/2,"")</f>
        <v>-0.78612849999999668</v>
      </c>
      <c r="DI231" s="7">
        <f>IF(112&gt;=53,('Testes estatísticos'!$D$58+'Testes estatísticos'!$D$117)/2,"")</f>
        <v>4.6423115000000017</v>
      </c>
      <c r="DJ231" s="7">
        <f>IF(113&gt;=53,('Testes estatísticos'!$D$58+'Testes estatísticos'!$D$118)/2,"")</f>
        <v>-0.8142454999999984</v>
      </c>
      <c r="DK231" s="7">
        <f>IF(114&gt;=53,('Testes estatísticos'!$D$58+'Testes estatísticos'!$D$119)/2,"")</f>
        <v>-0.91599549999999752</v>
      </c>
      <c r="DL231" s="7">
        <f>IF(115&gt;=53,('Testes estatísticos'!$D$58+'Testes estatísticos'!$D$120)/2,"")</f>
        <v>-0.86951799999999579</v>
      </c>
      <c r="DM231" s="7">
        <f>IF(116&gt;=53,('Testes estatísticos'!$D$58+'Testes estatísticos'!$D$121)/2,"")</f>
        <v>-0.86091549999999728</v>
      </c>
      <c r="DN231" s="7">
        <f>IF(117&gt;=53,('Testes estatísticos'!$D$58+'Testes estatísticos'!$D$122)/2,"")</f>
        <v>-0.83784749999999875</v>
      </c>
      <c r="DO231" s="7">
        <f>IF(118&gt;=53,('Testes estatísticos'!$D$58+'Testes estatísticos'!$D$123)/2,"")</f>
        <v>-0.78793699999999944</v>
      </c>
      <c r="DP231" s="7">
        <f>IF(119&gt;=53,('Testes estatísticos'!$D$58+'Testes estatísticos'!$D$124)/2,"")</f>
        <v>-0.80914849999999916</v>
      </c>
      <c r="DQ231" s="7">
        <f>IF(120&gt;=53,('Testes estatísticos'!$D$58+'Testes estatísticos'!$D$125)/2,"")</f>
        <v>2.2424660000000038</v>
      </c>
      <c r="DR231" s="7">
        <f>IF(121&gt;=53,('Testes estatísticos'!$D$58+'Testes estatísticos'!$D$126)/2,"")</f>
        <v>-0.54655049999999861</v>
      </c>
      <c r="DS231" s="7">
        <f>IF(122&gt;=53,('Testes estatísticos'!$D$58+'Testes estatísticos'!$D$127)/2,"")</f>
        <v>-1.6119589999999953</v>
      </c>
      <c r="DT231" s="7">
        <f>IF(123&gt;=53,('Testes estatísticos'!$D$58+'Testes estatísticos'!$D$128)/2,"")</f>
        <v>4.4569104999999993</v>
      </c>
      <c r="DU231" s="7">
        <f>IF(124&gt;=53,('Testes estatísticos'!$D$58+'Testes estatísticos'!$D$129)/2,"")</f>
        <v>-0.43886099999999928</v>
      </c>
      <c r="DV231" s="7">
        <f>IF(125&gt;=53,('Testes estatísticos'!$D$58+'Testes estatísticos'!$D$130)/2,"")</f>
        <v>0.7194465000000001</v>
      </c>
      <c r="DW231" s="7">
        <f>IF(126&gt;=53,('Testes estatísticos'!$D$58+'Testes estatísticos'!$D$131)/2,"")</f>
        <v>-1.6840294999999976</v>
      </c>
      <c r="DX231" s="7">
        <f>IF(127&gt;=53,('Testes estatísticos'!$D$58+'Testes estatísticos'!$D$132)/2,"")</f>
        <v>-3.7402209999999982</v>
      </c>
      <c r="DY231" s="7">
        <f>IF(128&gt;=53,('Testes estatísticos'!$D$58+'Testes estatísticos'!$D$133)/2,"")</f>
        <v>-4.0813104999999972</v>
      </c>
      <c r="DZ231" s="7">
        <f>IF(129&gt;=53,('Testes estatísticos'!$D$58+'Testes estatísticos'!$D$134)/2,"")</f>
        <v>-7.5051004999999975</v>
      </c>
      <c r="EA231" s="7">
        <f>IF(130&gt;=53,('Testes estatísticos'!$D$58+'Testes estatísticos'!$D$135)/2,"")</f>
        <v>-1.7433304999999955</v>
      </c>
      <c r="EB231" s="7">
        <f>IF(131&gt;=53,('Testes estatísticos'!$D$58+'Testes estatísticos'!$D$136)/2,"")</f>
        <v>-1.6554575000000007</v>
      </c>
      <c r="EC231" s="7">
        <f>IF(132&gt;=53,('Testes estatísticos'!$D$58+'Testes estatísticos'!$D$137)/2,"")</f>
        <v>-3.1421939999999999</v>
      </c>
      <c r="ED231" s="7">
        <f>IF(133&gt;=53,('Testes estatísticos'!$D$58+'Testes estatísticos'!$D$138)/2,"")</f>
        <v>-0.9532564999999984</v>
      </c>
      <c r="EE231" s="7">
        <f>IF(134&gt;=53,('Testes estatísticos'!$D$58+'Testes estatísticos'!$D$139)/2,"")</f>
        <v>-3.2504470000000012</v>
      </c>
      <c r="EF231" s="7">
        <f>IF(135&gt;=53,('Testes estatísticos'!$D$58+'Testes estatísticos'!$D$140)/2,"")</f>
        <v>-3.601449999999673E-2</v>
      </c>
      <c r="EG231" s="7">
        <f>IF(136&gt;=53,('Testes estatísticos'!$D$58+'Testes estatísticos'!$D$141)/2,"")</f>
        <v>-1.7295045000000009</v>
      </c>
      <c r="EH231" s="7">
        <f>IF(137&gt;=53,('Testes estatísticos'!$D$58+'Testes estatísticos'!$D$142)/2,"")</f>
        <v>-2.4764499999999856E-2</v>
      </c>
      <c r="EI231" s="7">
        <f>IF(138&gt;=53,('Testes estatísticos'!$D$58+'Testes estatísticos'!$D$143)/2,"")</f>
        <v>-1.6897799999999954</v>
      </c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</row>
    <row r="232" spans="2:151" x14ac:dyDescent="0.3">
      <c r="B232" s="7" t="str">
        <f>IF(1&gt;=54,('Testes estatísticos'!$D$59+'Testes estatísticos'!$D$6)/2,"")</f>
        <v/>
      </c>
      <c r="C232" s="7" t="str">
        <f>IF(2&gt;=54,('Testes estatísticos'!$D$59+'Testes estatísticos'!$D$7)/2,"")</f>
        <v/>
      </c>
      <c r="D232" s="7" t="str">
        <f>IF(3&gt;=54,('Testes estatísticos'!$D$59+'Testes estatísticos'!$D$8)/2,"")</f>
        <v/>
      </c>
      <c r="E232" s="7" t="str">
        <f>IF(4&gt;=54,('Testes estatísticos'!$D$59+'Testes estatísticos'!$D$9)/2,"")</f>
        <v/>
      </c>
      <c r="F232" s="7" t="str">
        <f>IF(5&gt;=54,('Testes estatísticos'!$D$59+'Testes estatísticos'!$D$10)/2,"")</f>
        <v/>
      </c>
      <c r="G232" s="7" t="str">
        <f>IF(6&gt;=54,('Testes estatísticos'!$D$59+'Testes estatísticos'!$D$11)/2,"")</f>
        <v/>
      </c>
      <c r="H232" s="7" t="str">
        <f>IF(7&gt;=54,('Testes estatísticos'!$D$59+'Testes estatísticos'!$D$12)/2,"")</f>
        <v/>
      </c>
      <c r="I232" s="7" t="str">
        <f>IF(8&gt;=54,('Testes estatísticos'!$D$59+'Testes estatísticos'!$D$13)/2,"")</f>
        <v/>
      </c>
      <c r="J232" s="7" t="str">
        <f>IF(9&gt;=54,('Testes estatísticos'!$D$59+'Testes estatísticos'!$D$14)/2,"")</f>
        <v/>
      </c>
      <c r="K232" s="7" t="str">
        <f>IF(10&gt;=54,('Testes estatísticos'!$D$59+'Testes estatísticos'!$D$15)/2,"")</f>
        <v/>
      </c>
      <c r="L232" s="7" t="str">
        <f>IF(11&gt;=54,('Testes estatísticos'!$D$59+'Testes estatísticos'!$D$16)/2,"")</f>
        <v/>
      </c>
      <c r="M232" s="7" t="str">
        <f>IF(12&gt;=54,('Testes estatísticos'!$D$59+'Testes estatísticos'!$D$17)/2,"")</f>
        <v/>
      </c>
      <c r="N232" s="7" t="str">
        <f>IF(13&gt;=54,('Testes estatísticos'!$D$59+'Testes estatísticos'!$D$18)/2,"")</f>
        <v/>
      </c>
      <c r="O232" s="7" t="str">
        <f>IF(14&gt;=54,('Testes estatísticos'!$D$59+'Testes estatísticos'!$D$19)/2,"")</f>
        <v/>
      </c>
      <c r="P232" s="7" t="str">
        <f>IF(15&gt;=54,('Testes estatísticos'!$D$59+'Testes estatísticos'!$D$20)/2,"")</f>
        <v/>
      </c>
      <c r="Q232" s="7" t="str">
        <f>IF(16&gt;=54,('Testes estatísticos'!$D$59+'Testes estatísticos'!$D$21)/2,"")</f>
        <v/>
      </c>
      <c r="R232" s="7" t="str">
        <f>IF(17&gt;=54,('Testes estatísticos'!$D$59+'Testes estatísticos'!$D$22)/2,"")</f>
        <v/>
      </c>
      <c r="S232" s="7" t="str">
        <f>IF(18&gt;=54,('Testes estatísticos'!$D$59+'Testes estatísticos'!$D$23)/2,"")</f>
        <v/>
      </c>
      <c r="T232" s="7" t="str">
        <f>IF(19&gt;=54,('Testes estatísticos'!$D$59+'Testes estatísticos'!$D$24)/2,"")</f>
        <v/>
      </c>
      <c r="U232" s="7" t="str">
        <f>IF(20&gt;=54,('Testes estatísticos'!$D$59+'Testes estatísticos'!$D$25)/2,"")</f>
        <v/>
      </c>
      <c r="V232" s="7" t="str">
        <f>IF(21&gt;=54,('Testes estatísticos'!$D$59+'Testes estatísticos'!$D$26)/2,"")</f>
        <v/>
      </c>
      <c r="W232" s="7" t="str">
        <f>IF(22&gt;=54,('Testes estatísticos'!$D$59+'Testes estatísticos'!$D$27)/2,"")</f>
        <v/>
      </c>
      <c r="X232" s="7" t="str">
        <f>IF(23&gt;=54,('Testes estatísticos'!$D$59+'Testes estatísticos'!$D$28)/2,"")</f>
        <v/>
      </c>
      <c r="Y232" s="7" t="str">
        <f>IF(24&gt;=54,('Testes estatísticos'!$D$59+'Testes estatísticos'!$D$29)/2,"")</f>
        <v/>
      </c>
      <c r="Z232" s="7" t="str">
        <f>IF(25&gt;=54,('Testes estatísticos'!$D$59+'Testes estatísticos'!$D$30)/2,"")</f>
        <v/>
      </c>
      <c r="AA232" s="7" t="str">
        <f>IF(26&gt;=54,('Testes estatísticos'!$D$59+'Testes estatísticos'!$D$31)/2,"")</f>
        <v/>
      </c>
      <c r="AB232" s="7" t="str">
        <f>IF(27&gt;=54,('Testes estatísticos'!$D$59+'Testes estatísticos'!$D$32)/2,"")</f>
        <v/>
      </c>
      <c r="AC232" s="7" t="str">
        <f>IF(28&gt;=54,('Testes estatísticos'!$D$59+'Testes estatísticos'!$D$33)/2,"")</f>
        <v/>
      </c>
      <c r="AD232" s="7" t="str">
        <f>IF(29&gt;=54,('Testes estatísticos'!$D$59+'Testes estatísticos'!$D$34)/2,"")</f>
        <v/>
      </c>
      <c r="AE232" s="7" t="str">
        <f>IF(30&gt;=54,('Testes estatísticos'!$D$59+'Testes estatísticos'!$D$35)/2,"")</f>
        <v/>
      </c>
      <c r="AF232" s="7" t="str">
        <f>IF(31&gt;=54,('Testes estatísticos'!$D$59+'Testes estatísticos'!$D$36)/2,"")</f>
        <v/>
      </c>
      <c r="AG232" s="7" t="str">
        <f>IF(32&gt;=54,('Testes estatísticos'!$D$59+'Testes estatísticos'!$D$37)/2,"")</f>
        <v/>
      </c>
      <c r="AH232" s="7" t="str">
        <f>IF(33&gt;=54,('Testes estatísticos'!$D$59+'Testes estatísticos'!$D$38)/2,"")</f>
        <v/>
      </c>
      <c r="AI232" s="7" t="str">
        <f>IF(34&gt;=54,('Testes estatísticos'!$D$59+'Testes estatísticos'!$D$39)/2,"")</f>
        <v/>
      </c>
      <c r="AJ232" s="7" t="str">
        <f>IF(35&gt;=54,('Testes estatísticos'!$D$59+'Testes estatísticos'!$D$40)/2,"")</f>
        <v/>
      </c>
      <c r="AK232" s="7" t="str">
        <f>IF(36&gt;=54,('Testes estatísticos'!$D$59+'Testes estatísticos'!$D$41)/2,"")</f>
        <v/>
      </c>
      <c r="AL232" s="7" t="str">
        <f>IF(37&gt;=54,('Testes estatísticos'!$D$59+'Testes estatísticos'!$D$42)/2,"")</f>
        <v/>
      </c>
      <c r="AM232" s="7" t="str">
        <f>IF(38&gt;=54,('Testes estatísticos'!$D$59+'Testes estatísticos'!$D$43)/2,"")</f>
        <v/>
      </c>
      <c r="AN232" s="7" t="str">
        <f>IF(39&gt;=54,('Testes estatísticos'!$D$59+'Testes estatísticos'!$D$44)/2,"")</f>
        <v/>
      </c>
      <c r="AO232" s="7" t="str">
        <f>IF(40&gt;=54,('Testes estatísticos'!$D$59+'Testes estatísticos'!$D$45)/2,"")</f>
        <v/>
      </c>
      <c r="AP232" s="7" t="str">
        <f>IF(41&gt;=54,('Testes estatísticos'!$D$59+'Testes estatísticos'!$D$46)/2,"")</f>
        <v/>
      </c>
      <c r="AQ232" s="7" t="str">
        <f>IF(42&gt;=54,('Testes estatísticos'!$D$59+'Testes estatísticos'!$D$47)/2,"")</f>
        <v/>
      </c>
      <c r="AR232" s="7" t="str">
        <f>IF(43&gt;=54,('Testes estatísticos'!$D$59+'Testes estatísticos'!$D$48)/2,"")</f>
        <v/>
      </c>
      <c r="AS232" s="7" t="str">
        <f>IF(44&gt;=54,('Testes estatísticos'!$D$59+'Testes estatísticos'!$D$49)/2,"")</f>
        <v/>
      </c>
      <c r="AT232" s="7" t="str">
        <f>IF(45&gt;=54,('Testes estatísticos'!$D$59+'Testes estatísticos'!$D$50)/2,"")</f>
        <v/>
      </c>
      <c r="AU232" s="7" t="str">
        <f>IF(46&gt;=54,('Testes estatísticos'!$D$59+'Testes estatísticos'!$D$51)/2,"")</f>
        <v/>
      </c>
      <c r="AV232" s="7" t="str">
        <f>IF(47&gt;=54,('Testes estatísticos'!$D$59+'Testes estatísticos'!$D$52)/2,"")</f>
        <v/>
      </c>
      <c r="AW232" s="7" t="str">
        <f>IF(48&gt;=54,('Testes estatísticos'!$D$59+'Testes estatísticos'!$D$53)/2,"")</f>
        <v/>
      </c>
      <c r="AX232" s="7" t="str">
        <f>IF(49&gt;=54,('Testes estatísticos'!$D$59+'Testes estatísticos'!$D$54)/2,"")</f>
        <v/>
      </c>
      <c r="AY232" s="7" t="str">
        <f>IF(50&gt;=54,('Testes estatísticos'!$D$59+'Testes estatísticos'!$D$55)/2,"")</f>
        <v/>
      </c>
      <c r="AZ232" s="7" t="str">
        <f>IF(51&gt;=54,('Testes estatísticos'!$D$59+'Testes estatísticos'!$D$56)/2,"")</f>
        <v/>
      </c>
      <c r="BA232" s="7" t="str">
        <f>IF(52&gt;=54,('Testes estatísticos'!$D$59+'Testes estatísticos'!$D$57)/2,"")</f>
        <v/>
      </c>
      <c r="BB232" s="7" t="str">
        <f>IF(53&gt;=54,('Testes estatísticos'!$D$59+'Testes estatísticos'!$D$58)/2,"")</f>
        <v/>
      </c>
      <c r="BC232" s="7">
        <f>IF(54&gt;=54,('Testes estatísticos'!$D$59+'Testes estatísticos'!$D$59)/2,"")</f>
        <v>-1.4325299999999999</v>
      </c>
      <c r="BD232" s="7">
        <f>IF(55&gt;=54,('Testes estatísticos'!$D$59+'Testes estatísticos'!$D$60)/2,"")</f>
        <v>1.6631409999999995</v>
      </c>
      <c r="BE232" s="7">
        <f>IF(56&gt;=54,('Testes estatísticos'!$D$59+'Testes estatísticos'!$D$61)/2,"")</f>
        <v>-0.96682749999999729</v>
      </c>
      <c r="BF232" s="7">
        <f>IF(57&gt;=54,('Testes estatísticos'!$D$59+'Testes estatísticos'!$D$62)/2,"")</f>
        <v>-4.3670175000000029</v>
      </c>
      <c r="BG232" s="7">
        <f>IF(58&gt;=54,('Testes estatísticos'!$D$59+'Testes estatísticos'!$D$63)/2,"")</f>
        <v>0.89887750000000111</v>
      </c>
      <c r="BH232" s="7">
        <f>IF(59&gt;=54,('Testes estatísticos'!$D$59+'Testes estatísticos'!$D$64)/2,"")</f>
        <v>-4.9447350000000014</v>
      </c>
      <c r="BI232" s="7">
        <f>IF(60&gt;=54,('Testes estatísticos'!$D$59+'Testes estatísticos'!$D$65)/2,"")</f>
        <v>-3.197143999999998</v>
      </c>
      <c r="BJ232" s="7">
        <f>IF(61&gt;=54,('Testes estatísticos'!$D$59+'Testes estatísticos'!$D$66)/2,"")</f>
        <v>-0.56208900000000028</v>
      </c>
      <c r="BK232" s="7">
        <f>IF(62&gt;=54,('Testes estatísticos'!$D$59+'Testes estatísticos'!$D$67)/2,"")</f>
        <v>-1.0708839999999995</v>
      </c>
      <c r="BL232" s="7">
        <f>IF(63&gt;=54,('Testes estatísticos'!$D$59+'Testes estatísticos'!$D$68)/2,"")</f>
        <v>-0.17156950000000037</v>
      </c>
      <c r="BM232" s="7">
        <f>IF(64&gt;=54,('Testes estatísticos'!$D$59+'Testes estatísticos'!$D$69)/2,"")</f>
        <v>-0.12072750000000099</v>
      </c>
      <c r="BN232" s="7">
        <f>IF(65&gt;=54,('Testes estatísticos'!$D$59+'Testes estatísticos'!$D$70)/2,"")</f>
        <v>-2.266534</v>
      </c>
      <c r="BO232" s="7">
        <f>IF(66&gt;=54,('Testes estatísticos'!$D$59+'Testes estatísticos'!$D$71)/2,"")</f>
        <v>-1.3706814999999999</v>
      </c>
      <c r="BP232" s="7">
        <f>IF(67&gt;=54,('Testes estatísticos'!$D$59+'Testes estatísticos'!$D$72)/2,"")</f>
        <v>-4.2611404999999998</v>
      </c>
      <c r="BQ232" s="7">
        <f>IF(68&gt;=54,('Testes estatísticos'!$D$59+'Testes estatísticos'!$D$73)/2,"")</f>
        <v>0.40209249999999841</v>
      </c>
      <c r="BR232" s="7">
        <f>IF(69&gt;=54,('Testes estatísticos'!$D$59+'Testes estatísticos'!$D$74)/2,"")</f>
        <v>1.0342744999999987</v>
      </c>
      <c r="BS232" s="7">
        <f>IF(70&gt;=54,('Testes estatísticos'!$D$59+'Testes estatísticos'!$D$75)/2,"")</f>
        <v>2.9809999999997672E-2</v>
      </c>
      <c r="BT232" s="7">
        <f>IF(71&gt;=54,('Testes estatísticos'!$D$59+'Testes estatísticos'!$D$76)/2,"")</f>
        <v>1.6041749999999979</v>
      </c>
      <c r="BU232" s="7">
        <f>IF(72&gt;=54,('Testes estatísticos'!$D$59+'Testes estatísticos'!$D$77)/2,"")</f>
        <v>-3.9955220000000011</v>
      </c>
      <c r="BV232" s="7">
        <f>IF(73&gt;=54,('Testes estatísticos'!$D$59+'Testes estatísticos'!$D$78)/2,"")</f>
        <v>-1.9220475000000015</v>
      </c>
      <c r="BW232" s="7">
        <f>IF(74&gt;=54,('Testes estatísticos'!$D$59+'Testes estatísticos'!$D$79)/2,"")</f>
        <v>-2.6053660000000001</v>
      </c>
      <c r="BX232" s="7">
        <f>IF(75&gt;=54,('Testes estatísticos'!$D$59+'Testes estatísticos'!$D$80)/2,"")</f>
        <v>-2.6271440000000013</v>
      </c>
      <c r="BY232" s="7">
        <f>IF(76&gt;=54,('Testes estatísticos'!$D$59+'Testes estatísticos'!$D$81)/2,"")</f>
        <v>1.5043140000000008</v>
      </c>
      <c r="BZ232" s="7">
        <f>IF(77&gt;=54,('Testes estatísticos'!$D$59+'Testes estatísticos'!$D$82)/2,"")</f>
        <v>-3.7572754999999987</v>
      </c>
      <c r="CA232" s="7">
        <f>IF(78&gt;=54,('Testes estatísticos'!$D$59+'Testes estatísticos'!$D$83)/2,"")</f>
        <v>-1.9970164999999973</v>
      </c>
      <c r="CB232" s="7">
        <f>IF(79&gt;=54,('Testes estatísticos'!$D$59+'Testes estatísticos'!$D$84)/2,"")</f>
        <v>-1.9452940000000005</v>
      </c>
      <c r="CC232" s="7">
        <f>IF(80&gt;=54,('Testes estatísticos'!$D$59+'Testes estatísticos'!$D$85)/2,"")</f>
        <v>-3.7523105000000001</v>
      </c>
      <c r="CD232" s="7">
        <f>IF(81&gt;=54,('Testes estatísticos'!$D$59+'Testes estatísticos'!$D$86)/2,"")</f>
        <v>-3.8024555000000007</v>
      </c>
      <c r="CE232" s="7">
        <f>IF(82&gt;=54,('Testes estatísticos'!$D$59+'Testes estatísticos'!$D$87)/2,"")</f>
        <v>-1.7246650000000017</v>
      </c>
      <c r="CF232" s="7">
        <f>IF(83&gt;=54,('Testes estatísticos'!$D$59+'Testes estatísticos'!$D$88)/2,"")</f>
        <v>-2.2534720000000021</v>
      </c>
      <c r="CG232" s="7">
        <f>IF(84&gt;=54,('Testes estatísticos'!$D$59+'Testes estatísticos'!$D$89)/2,"")</f>
        <v>-2.5853789999999996</v>
      </c>
      <c r="CH232" s="7">
        <f>IF(85&gt;=54,('Testes estatísticos'!$D$59+'Testes estatísticos'!$D$90)/2,"")</f>
        <v>-0.76983200000000096</v>
      </c>
      <c r="CI232" s="7">
        <f>IF(86&gt;=54,('Testes estatísticos'!$D$59+'Testes estatísticos'!$D$91)/2,"")</f>
        <v>-3.4599914999999974</v>
      </c>
      <c r="CJ232" s="7">
        <f>IF(87&gt;=54,('Testes estatísticos'!$D$59+'Testes estatísticos'!$D$92)/2,"")</f>
        <v>-2.2177849999999992</v>
      </c>
      <c r="CK232" s="7">
        <f>IF(88&gt;=54,('Testes estatísticos'!$D$59+'Testes estatísticos'!$D$93)/2,"")</f>
        <v>-1.9737015000000007</v>
      </c>
      <c r="CL232" s="7">
        <f>IF(89&gt;=54,('Testes estatísticos'!$D$59+'Testes estatísticos'!$D$94)/2,"")</f>
        <v>-2.5852935000000024</v>
      </c>
      <c r="CM232" s="7">
        <f>IF(90&gt;=54,('Testes estatísticos'!$D$59+'Testes estatísticos'!$D$95)/2,"")</f>
        <v>-4.9194254999999991</v>
      </c>
      <c r="CN232" s="7">
        <f>IF(91&gt;=54,('Testes estatísticos'!$D$59+'Testes estatísticos'!$D$96)/2,"")</f>
        <v>-2.3809024999999977</v>
      </c>
      <c r="CO232" s="7">
        <f>IF(92&gt;=54,('Testes estatísticos'!$D$59+'Testes estatísticos'!$D$97)/2,"")</f>
        <v>-2.7274059999999984</v>
      </c>
      <c r="CP232" s="7">
        <f>IF(93&gt;=54,('Testes estatísticos'!$D$59+'Testes estatísticos'!$D$98)/2,"")</f>
        <v>-2.9321579999999976</v>
      </c>
      <c r="CQ232" s="7">
        <f>IF(94&gt;=54,('Testes estatísticos'!$D$59+'Testes estatísticos'!$D$99)/2,"")</f>
        <v>-0.75100000000000122</v>
      </c>
      <c r="CR232" s="7">
        <f>IF(95&gt;=54,('Testes estatísticos'!$D$59+'Testes estatísticos'!$D$100)/2,"")</f>
        <v>-2.6567930000000004</v>
      </c>
      <c r="CS232" s="7">
        <f>IF(96&gt;=54,('Testes estatísticos'!$D$59+'Testes estatísticos'!$D$101)/2,"")</f>
        <v>-2.6128060000000026</v>
      </c>
      <c r="CT232" s="7">
        <f>IF(97&gt;=54,('Testes estatísticos'!$D$59+'Testes estatísticos'!$D$102)/2,"")</f>
        <v>-2.3797555000000017</v>
      </c>
      <c r="CU232" s="7">
        <f>IF(98&gt;=54,('Testes estatísticos'!$D$59+'Testes estatísticos'!$D$103)/2,"")</f>
        <v>-2.3224294999999984</v>
      </c>
      <c r="CV232" s="7">
        <f>IF(99&gt;=54,('Testes estatísticos'!$D$59+'Testes estatísticos'!$D$104)/2,"")</f>
        <v>-2.7572554999999994</v>
      </c>
      <c r="CW232" s="7">
        <f>IF(100&gt;=54,('Testes estatísticos'!$D$59+'Testes estatísticos'!$D$105)/2,"")</f>
        <v>-2.856721499999999</v>
      </c>
      <c r="CX232" s="7">
        <f>IF(101&gt;=54,('Testes estatísticos'!$D$59+'Testes estatísticos'!$D$106)/2,"")</f>
        <v>-2.3337949999999985</v>
      </c>
      <c r="CY232" s="7">
        <f>IF(102&gt;=54,('Testes estatísticos'!$D$59+'Testes estatísticos'!$D$107)/2,"")</f>
        <v>-2.3894599999999997</v>
      </c>
      <c r="CZ232" s="7">
        <f>IF(103&gt;=54,('Testes estatísticos'!$D$59+'Testes estatísticos'!$D$108)/2,"")</f>
        <v>-2.9136264999999995</v>
      </c>
      <c r="DA232" s="7">
        <f>IF(104&gt;=54,('Testes estatísticos'!$D$59+'Testes estatísticos'!$D$109)/2,"")</f>
        <v>-2.6509924999999974</v>
      </c>
      <c r="DB232" s="7">
        <f>IF(105&gt;=54,('Testes estatísticos'!$D$59+'Testes estatísticos'!$D$110)/2,"")</f>
        <v>-2.6166614999999993</v>
      </c>
      <c r="DC232" s="7">
        <f>IF(106&gt;=54,('Testes estatísticos'!$D$59+'Testes estatísticos'!$D$111)/2,"")</f>
        <v>-1.8737405000000003</v>
      </c>
      <c r="DD232" s="7">
        <f>IF(107&gt;=54,('Testes estatísticos'!$D$59+'Testes estatísticos'!$D$112)/2,"")</f>
        <v>1.6194305</v>
      </c>
      <c r="DE232" s="7">
        <f>IF(108&gt;=54,('Testes estatísticos'!$D$59+'Testes estatísticos'!$D$113)/2,"")</f>
        <v>-1.8032049999999984</v>
      </c>
      <c r="DF232" s="7">
        <f>IF(109&gt;=54,('Testes estatísticos'!$D$59+'Testes estatísticos'!$D$114)/2,"")</f>
        <v>-1.8394619999999975</v>
      </c>
      <c r="DG232" s="7">
        <f>IF(110&gt;=54,('Testes estatísticos'!$D$59+'Testes estatísticos'!$D$115)/2,"")</f>
        <v>-7.3866015000000012</v>
      </c>
      <c r="DH232" s="7">
        <f>IF(111&gt;=54,('Testes estatísticos'!$D$59+'Testes estatísticos'!$D$116)/2,"")</f>
        <v>-1.7057709999999986</v>
      </c>
      <c r="DI232" s="7">
        <f>IF(112&gt;=54,('Testes estatísticos'!$D$59+'Testes estatísticos'!$D$117)/2,"")</f>
        <v>3.7226689999999998</v>
      </c>
      <c r="DJ232" s="7">
        <f>IF(113&gt;=54,('Testes estatísticos'!$D$59+'Testes estatísticos'!$D$118)/2,"")</f>
        <v>-1.7338880000000003</v>
      </c>
      <c r="DK232" s="7">
        <f>IF(114&gt;=54,('Testes estatísticos'!$D$59+'Testes estatísticos'!$D$119)/2,"")</f>
        <v>-1.8356379999999994</v>
      </c>
      <c r="DL232" s="7">
        <f>IF(115&gt;=54,('Testes estatísticos'!$D$59+'Testes estatísticos'!$D$120)/2,"")</f>
        <v>-1.7891604999999977</v>
      </c>
      <c r="DM232" s="7">
        <f>IF(116&gt;=54,('Testes estatísticos'!$D$59+'Testes estatísticos'!$D$121)/2,"")</f>
        <v>-1.7805579999999992</v>
      </c>
      <c r="DN232" s="7">
        <f>IF(117&gt;=54,('Testes estatísticos'!$D$59+'Testes estatísticos'!$D$122)/2,"")</f>
        <v>-1.7574900000000007</v>
      </c>
      <c r="DO232" s="7">
        <f>IF(118&gt;=54,('Testes estatísticos'!$D$59+'Testes estatísticos'!$D$123)/2,"")</f>
        <v>-1.7075795000000014</v>
      </c>
      <c r="DP232" s="7">
        <f>IF(119&gt;=54,('Testes estatísticos'!$D$59+'Testes estatísticos'!$D$124)/2,"")</f>
        <v>-1.7287910000000011</v>
      </c>
      <c r="DQ232" s="7">
        <f>IF(120&gt;=54,('Testes estatísticos'!$D$59+'Testes estatísticos'!$D$125)/2,"")</f>
        <v>1.3228235000000019</v>
      </c>
      <c r="DR232" s="7">
        <f>IF(121&gt;=54,('Testes estatísticos'!$D$59+'Testes estatísticos'!$D$126)/2,"")</f>
        <v>-1.4661930000000005</v>
      </c>
      <c r="DS232" s="7">
        <f>IF(122&gt;=54,('Testes estatísticos'!$D$59+'Testes estatísticos'!$D$127)/2,"")</f>
        <v>-2.5316014999999972</v>
      </c>
      <c r="DT232" s="7">
        <f>IF(123&gt;=54,('Testes estatísticos'!$D$59+'Testes estatísticos'!$D$128)/2,"")</f>
        <v>3.5372679999999974</v>
      </c>
      <c r="DU232" s="7">
        <f>IF(124&gt;=54,('Testes estatísticos'!$D$59+'Testes estatísticos'!$D$129)/2,"")</f>
        <v>-1.3585035000000012</v>
      </c>
      <c r="DV232" s="7">
        <f>IF(125&gt;=54,('Testes estatísticos'!$D$59+'Testes estatísticos'!$D$130)/2,"")</f>
        <v>-0.20019600000000182</v>
      </c>
      <c r="DW232" s="7">
        <f>IF(126&gt;=54,('Testes estatísticos'!$D$59+'Testes estatísticos'!$D$131)/2,"")</f>
        <v>-2.6036719999999995</v>
      </c>
      <c r="DX232" s="7">
        <f>IF(127&gt;=54,('Testes estatísticos'!$D$59+'Testes estatísticos'!$D$132)/2,"")</f>
        <v>-4.6598635000000002</v>
      </c>
      <c r="DY232" s="7">
        <f>IF(128&gt;=54,('Testes estatísticos'!$D$59+'Testes estatísticos'!$D$133)/2,"")</f>
        <v>-5.0009529999999991</v>
      </c>
      <c r="DZ232" s="7">
        <f>IF(129&gt;=54,('Testes estatísticos'!$D$59+'Testes estatísticos'!$D$134)/2,"")</f>
        <v>-8.4247429999999994</v>
      </c>
      <c r="EA232" s="7">
        <f>IF(130&gt;=54,('Testes estatísticos'!$D$59+'Testes estatísticos'!$D$135)/2,"")</f>
        <v>-2.6629729999999974</v>
      </c>
      <c r="EB232" s="7">
        <f>IF(131&gt;=54,('Testes estatísticos'!$D$59+'Testes estatísticos'!$D$136)/2,"")</f>
        <v>-2.5751000000000026</v>
      </c>
      <c r="EC232" s="7">
        <f>IF(132&gt;=54,('Testes estatísticos'!$D$59+'Testes estatísticos'!$D$137)/2,"")</f>
        <v>-4.0618365000000018</v>
      </c>
      <c r="ED232" s="7">
        <f>IF(133&gt;=54,('Testes estatísticos'!$D$59+'Testes estatísticos'!$D$138)/2,"")</f>
        <v>-1.8728990000000003</v>
      </c>
      <c r="EE232" s="7">
        <f>IF(134&gt;=54,('Testes estatísticos'!$D$59+'Testes estatísticos'!$D$139)/2,"")</f>
        <v>-4.1700895000000031</v>
      </c>
      <c r="EF232" s="7">
        <f>IF(135&gt;=54,('Testes estatísticos'!$D$59+'Testes estatísticos'!$D$140)/2,"")</f>
        <v>-0.95565699999999865</v>
      </c>
      <c r="EG232" s="7">
        <f>IF(136&gt;=54,('Testes estatísticos'!$D$59+'Testes estatísticos'!$D$141)/2,"")</f>
        <v>-2.6491470000000028</v>
      </c>
      <c r="EH232" s="7">
        <f>IF(137&gt;=54,('Testes estatísticos'!$D$59+'Testes estatísticos'!$D$142)/2,"")</f>
        <v>-0.94440700000000177</v>
      </c>
      <c r="EI232" s="7">
        <f>IF(138&gt;=54,('Testes estatísticos'!$D$59+'Testes estatísticos'!$D$143)/2,"")</f>
        <v>-2.6094224999999973</v>
      </c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</row>
    <row r="233" spans="2:151" x14ac:dyDescent="0.3">
      <c r="B233" s="7" t="str">
        <f>IF(1&gt;=55,('Testes estatísticos'!$D$60+'Testes estatísticos'!$D$6)/2,"")</f>
        <v/>
      </c>
      <c r="C233" s="7" t="str">
        <f>IF(2&gt;=55,('Testes estatísticos'!$D$60+'Testes estatísticos'!$D$7)/2,"")</f>
        <v/>
      </c>
      <c r="D233" s="7" t="str">
        <f>IF(3&gt;=55,('Testes estatísticos'!$D$60+'Testes estatísticos'!$D$8)/2,"")</f>
        <v/>
      </c>
      <c r="E233" s="7" t="str">
        <f>IF(4&gt;=55,('Testes estatísticos'!$D$60+'Testes estatísticos'!$D$9)/2,"")</f>
        <v/>
      </c>
      <c r="F233" s="7" t="str">
        <f>IF(5&gt;=55,('Testes estatísticos'!$D$60+'Testes estatísticos'!$D$10)/2,"")</f>
        <v/>
      </c>
      <c r="G233" s="7" t="str">
        <f>IF(6&gt;=55,('Testes estatísticos'!$D$60+'Testes estatísticos'!$D$11)/2,"")</f>
        <v/>
      </c>
      <c r="H233" s="7" t="str">
        <f>IF(7&gt;=55,('Testes estatísticos'!$D$60+'Testes estatísticos'!$D$12)/2,"")</f>
        <v/>
      </c>
      <c r="I233" s="7" t="str">
        <f>IF(8&gt;=55,('Testes estatísticos'!$D$60+'Testes estatísticos'!$D$13)/2,"")</f>
        <v/>
      </c>
      <c r="J233" s="7" t="str">
        <f>IF(9&gt;=55,('Testes estatísticos'!$D$60+'Testes estatísticos'!$D$14)/2,"")</f>
        <v/>
      </c>
      <c r="K233" s="7" t="str">
        <f>IF(10&gt;=55,('Testes estatísticos'!$D$60+'Testes estatísticos'!$D$15)/2,"")</f>
        <v/>
      </c>
      <c r="L233" s="7" t="str">
        <f>IF(11&gt;=55,('Testes estatísticos'!$D$60+'Testes estatísticos'!$D$16)/2,"")</f>
        <v/>
      </c>
      <c r="M233" s="7" t="str">
        <f>IF(12&gt;=55,('Testes estatísticos'!$D$60+'Testes estatísticos'!$D$17)/2,"")</f>
        <v/>
      </c>
      <c r="N233" s="7" t="str">
        <f>IF(13&gt;=55,('Testes estatísticos'!$D$60+'Testes estatísticos'!$D$18)/2,"")</f>
        <v/>
      </c>
      <c r="O233" s="7" t="str">
        <f>IF(14&gt;=55,('Testes estatísticos'!$D$60+'Testes estatísticos'!$D$19)/2,"")</f>
        <v/>
      </c>
      <c r="P233" s="7" t="str">
        <f>IF(15&gt;=55,('Testes estatísticos'!$D$60+'Testes estatísticos'!$D$20)/2,"")</f>
        <v/>
      </c>
      <c r="Q233" s="7" t="str">
        <f>IF(16&gt;=55,('Testes estatísticos'!$D$60+'Testes estatísticos'!$D$21)/2,"")</f>
        <v/>
      </c>
      <c r="R233" s="7" t="str">
        <f>IF(17&gt;=55,('Testes estatísticos'!$D$60+'Testes estatísticos'!$D$22)/2,"")</f>
        <v/>
      </c>
      <c r="S233" s="7" t="str">
        <f>IF(18&gt;=55,('Testes estatísticos'!$D$60+'Testes estatísticos'!$D$23)/2,"")</f>
        <v/>
      </c>
      <c r="T233" s="7" t="str">
        <f>IF(19&gt;=55,('Testes estatísticos'!$D$60+'Testes estatísticos'!$D$24)/2,"")</f>
        <v/>
      </c>
      <c r="U233" s="7" t="str">
        <f>IF(20&gt;=55,('Testes estatísticos'!$D$60+'Testes estatísticos'!$D$25)/2,"")</f>
        <v/>
      </c>
      <c r="V233" s="7" t="str">
        <f>IF(21&gt;=55,('Testes estatísticos'!$D$60+'Testes estatísticos'!$D$26)/2,"")</f>
        <v/>
      </c>
      <c r="W233" s="7" t="str">
        <f>IF(22&gt;=55,('Testes estatísticos'!$D$60+'Testes estatísticos'!$D$27)/2,"")</f>
        <v/>
      </c>
      <c r="X233" s="7" t="str">
        <f>IF(23&gt;=55,('Testes estatísticos'!$D$60+'Testes estatísticos'!$D$28)/2,"")</f>
        <v/>
      </c>
      <c r="Y233" s="7" t="str">
        <f>IF(24&gt;=55,('Testes estatísticos'!$D$60+'Testes estatísticos'!$D$29)/2,"")</f>
        <v/>
      </c>
      <c r="Z233" s="7" t="str">
        <f>IF(25&gt;=55,('Testes estatísticos'!$D$60+'Testes estatísticos'!$D$30)/2,"")</f>
        <v/>
      </c>
      <c r="AA233" s="7" t="str">
        <f>IF(26&gt;=55,('Testes estatísticos'!$D$60+'Testes estatísticos'!$D$31)/2,"")</f>
        <v/>
      </c>
      <c r="AB233" s="7" t="str">
        <f>IF(27&gt;=55,('Testes estatísticos'!$D$60+'Testes estatísticos'!$D$32)/2,"")</f>
        <v/>
      </c>
      <c r="AC233" s="7" t="str">
        <f>IF(28&gt;=55,('Testes estatísticos'!$D$60+'Testes estatísticos'!$D$33)/2,"")</f>
        <v/>
      </c>
      <c r="AD233" s="7" t="str">
        <f>IF(29&gt;=55,('Testes estatísticos'!$D$60+'Testes estatísticos'!$D$34)/2,"")</f>
        <v/>
      </c>
      <c r="AE233" s="7" t="str">
        <f>IF(30&gt;=55,('Testes estatísticos'!$D$60+'Testes estatísticos'!$D$35)/2,"")</f>
        <v/>
      </c>
      <c r="AF233" s="7" t="str">
        <f>IF(31&gt;=55,('Testes estatísticos'!$D$60+'Testes estatísticos'!$D$36)/2,"")</f>
        <v/>
      </c>
      <c r="AG233" s="7" t="str">
        <f>IF(32&gt;=55,('Testes estatísticos'!$D$60+'Testes estatísticos'!$D$37)/2,"")</f>
        <v/>
      </c>
      <c r="AH233" s="7" t="str">
        <f>IF(33&gt;=55,('Testes estatísticos'!$D$60+'Testes estatísticos'!$D$38)/2,"")</f>
        <v/>
      </c>
      <c r="AI233" s="7" t="str">
        <f>IF(34&gt;=55,('Testes estatísticos'!$D$60+'Testes estatísticos'!$D$39)/2,"")</f>
        <v/>
      </c>
      <c r="AJ233" s="7" t="str">
        <f>IF(35&gt;=55,('Testes estatísticos'!$D$60+'Testes estatísticos'!$D$40)/2,"")</f>
        <v/>
      </c>
      <c r="AK233" s="7" t="str">
        <f>IF(36&gt;=55,('Testes estatísticos'!$D$60+'Testes estatísticos'!$D$41)/2,"")</f>
        <v/>
      </c>
      <c r="AL233" s="7" t="str">
        <f>IF(37&gt;=55,('Testes estatísticos'!$D$60+'Testes estatísticos'!$D$42)/2,"")</f>
        <v/>
      </c>
      <c r="AM233" s="7" t="str">
        <f>IF(38&gt;=55,('Testes estatísticos'!$D$60+'Testes estatísticos'!$D$43)/2,"")</f>
        <v/>
      </c>
      <c r="AN233" s="7" t="str">
        <f>IF(39&gt;=55,('Testes estatísticos'!$D$60+'Testes estatísticos'!$D$44)/2,"")</f>
        <v/>
      </c>
      <c r="AO233" s="7" t="str">
        <f>IF(40&gt;=55,('Testes estatísticos'!$D$60+'Testes estatísticos'!$D$45)/2,"")</f>
        <v/>
      </c>
      <c r="AP233" s="7" t="str">
        <f>IF(41&gt;=55,('Testes estatísticos'!$D$60+'Testes estatísticos'!$D$46)/2,"")</f>
        <v/>
      </c>
      <c r="AQ233" s="7" t="str">
        <f>IF(42&gt;=55,('Testes estatísticos'!$D$60+'Testes estatísticos'!$D$47)/2,"")</f>
        <v/>
      </c>
      <c r="AR233" s="7" t="str">
        <f>IF(43&gt;=55,('Testes estatísticos'!$D$60+'Testes estatísticos'!$D$48)/2,"")</f>
        <v/>
      </c>
      <c r="AS233" s="7" t="str">
        <f>IF(44&gt;=55,('Testes estatísticos'!$D$60+'Testes estatísticos'!$D$49)/2,"")</f>
        <v/>
      </c>
      <c r="AT233" s="7" t="str">
        <f>IF(45&gt;=55,('Testes estatísticos'!$D$60+'Testes estatísticos'!$D$50)/2,"")</f>
        <v/>
      </c>
      <c r="AU233" s="7" t="str">
        <f>IF(46&gt;=55,('Testes estatísticos'!$D$60+'Testes estatísticos'!$D$51)/2,"")</f>
        <v/>
      </c>
      <c r="AV233" s="7" t="str">
        <f>IF(47&gt;=55,('Testes estatísticos'!$D$60+'Testes estatísticos'!$D$52)/2,"")</f>
        <v/>
      </c>
      <c r="AW233" s="7" t="str">
        <f>IF(48&gt;=55,('Testes estatísticos'!$D$60+'Testes estatísticos'!$D$53)/2,"")</f>
        <v/>
      </c>
      <c r="AX233" s="7" t="str">
        <f>IF(49&gt;=55,('Testes estatísticos'!$D$60+'Testes estatísticos'!$D$54)/2,"")</f>
        <v/>
      </c>
      <c r="AY233" s="7" t="str">
        <f>IF(50&gt;=55,('Testes estatísticos'!$D$60+'Testes estatísticos'!$D$55)/2,"")</f>
        <v/>
      </c>
      <c r="AZ233" s="7" t="str">
        <f>IF(51&gt;=55,('Testes estatísticos'!$D$60+'Testes estatísticos'!$D$56)/2,"")</f>
        <v/>
      </c>
      <c r="BA233" s="7" t="str">
        <f>IF(52&gt;=55,('Testes estatísticos'!$D$60+'Testes estatísticos'!$D$57)/2,"")</f>
        <v/>
      </c>
      <c r="BB233" s="7" t="str">
        <f>IF(53&gt;=55,('Testes estatísticos'!$D$60+'Testes estatísticos'!$D$58)/2,"")</f>
        <v/>
      </c>
      <c r="BC233" s="7" t="str">
        <f>IF(54&gt;=55,('Testes estatísticos'!$D$60+'Testes estatísticos'!$D$59)/2,"")</f>
        <v/>
      </c>
      <c r="BD233" s="7">
        <f>IF(55&gt;=55,('Testes estatísticos'!$D$60+'Testes estatísticos'!$D$60)/2,"")</f>
        <v>4.7588119999999989</v>
      </c>
      <c r="BE233" s="7">
        <f>IF(56&gt;=55,('Testes estatísticos'!$D$60+'Testes estatísticos'!$D$61)/2,"")</f>
        <v>2.1288435000000021</v>
      </c>
      <c r="BF233" s="7">
        <f>IF(57&gt;=55,('Testes estatísticos'!$D$60+'Testes estatísticos'!$D$62)/2,"")</f>
        <v>-1.2713465000000035</v>
      </c>
      <c r="BG233" s="7">
        <f>IF(58&gt;=55,('Testes estatísticos'!$D$60+'Testes estatísticos'!$D$63)/2,"")</f>
        <v>3.9945485000000005</v>
      </c>
      <c r="BH233" s="7">
        <f>IF(59&gt;=55,('Testes estatísticos'!$D$60+'Testes estatísticos'!$D$64)/2,"")</f>
        <v>-1.849064000000002</v>
      </c>
      <c r="BI233" s="7">
        <f>IF(60&gt;=55,('Testes estatísticos'!$D$60+'Testes estatísticos'!$D$65)/2,"")</f>
        <v>-0.10147299999999859</v>
      </c>
      <c r="BJ233" s="7">
        <f>IF(61&gt;=55,('Testes estatísticos'!$D$60+'Testes estatísticos'!$D$66)/2,"")</f>
        <v>2.5335819999999991</v>
      </c>
      <c r="BK233" s="7">
        <f>IF(62&gt;=55,('Testes estatísticos'!$D$60+'Testes estatísticos'!$D$67)/2,"")</f>
        <v>2.0247869999999999</v>
      </c>
      <c r="BL233" s="7">
        <f>IF(63&gt;=55,('Testes estatísticos'!$D$60+'Testes estatísticos'!$D$68)/2,"")</f>
        <v>2.924101499999999</v>
      </c>
      <c r="BM233" s="7">
        <f>IF(64&gt;=55,('Testes estatísticos'!$D$60+'Testes estatísticos'!$D$69)/2,"")</f>
        <v>2.9749434999999984</v>
      </c>
      <c r="BN233" s="7">
        <f>IF(65&gt;=55,('Testes estatísticos'!$D$60+'Testes estatísticos'!$D$70)/2,"")</f>
        <v>0.82913699999999935</v>
      </c>
      <c r="BO233" s="7">
        <f>IF(66&gt;=55,('Testes estatísticos'!$D$60+'Testes estatísticos'!$D$71)/2,"")</f>
        <v>1.7249894999999995</v>
      </c>
      <c r="BP233" s="7">
        <f>IF(67&gt;=55,('Testes estatísticos'!$D$60+'Testes estatísticos'!$D$72)/2,"")</f>
        <v>-1.1654695000000004</v>
      </c>
      <c r="BQ233" s="7">
        <f>IF(68&gt;=55,('Testes estatísticos'!$D$60+'Testes estatísticos'!$D$73)/2,"")</f>
        <v>3.4977634999999978</v>
      </c>
      <c r="BR233" s="7">
        <f>IF(69&gt;=55,('Testes estatísticos'!$D$60+'Testes estatísticos'!$D$74)/2,"")</f>
        <v>4.129945499999998</v>
      </c>
      <c r="BS233" s="7">
        <f>IF(70&gt;=55,('Testes estatísticos'!$D$60+'Testes estatísticos'!$D$75)/2,"")</f>
        <v>3.1254809999999971</v>
      </c>
      <c r="BT233" s="7">
        <f>IF(71&gt;=55,('Testes estatísticos'!$D$60+'Testes estatísticos'!$D$76)/2,"")</f>
        <v>4.6998459999999973</v>
      </c>
      <c r="BU233" s="7">
        <f>IF(72&gt;=55,('Testes estatísticos'!$D$60+'Testes estatísticos'!$D$77)/2,"")</f>
        <v>-0.89985100000000173</v>
      </c>
      <c r="BV233" s="7">
        <f>IF(73&gt;=55,('Testes estatísticos'!$D$60+'Testes estatísticos'!$D$78)/2,"")</f>
        <v>1.1736234999999979</v>
      </c>
      <c r="BW233" s="7">
        <f>IF(74&gt;=55,('Testes estatísticos'!$D$60+'Testes estatísticos'!$D$79)/2,"")</f>
        <v>0.49030499999999932</v>
      </c>
      <c r="BX233" s="7">
        <f>IF(75&gt;=55,('Testes estatísticos'!$D$60+'Testes estatísticos'!$D$80)/2,"")</f>
        <v>0.46852699999999814</v>
      </c>
      <c r="BY233" s="7">
        <f>IF(76&gt;=55,('Testes estatísticos'!$D$60+'Testes estatísticos'!$D$81)/2,"")</f>
        <v>4.5999850000000002</v>
      </c>
      <c r="BZ233" s="7">
        <f>IF(77&gt;=55,('Testes estatísticos'!$D$60+'Testes estatísticos'!$D$82)/2,"")</f>
        <v>-0.66160449999999926</v>
      </c>
      <c r="CA233" s="7">
        <f>IF(78&gt;=55,('Testes estatísticos'!$D$60+'Testes estatísticos'!$D$83)/2,"")</f>
        <v>1.0986545000000021</v>
      </c>
      <c r="CB233" s="7">
        <f>IF(79&gt;=55,('Testes estatísticos'!$D$60+'Testes estatísticos'!$D$84)/2,"")</f>
        <v>1.1503769999999989</v>
      </c>
      <c r="CC233" s="7">
        <f>IF(80&gt;=55,('Testes estatísticos'!$D$60+'Testes estatísticos'!$D$85)/2,"")</f>
        <v>-0.65663950000000071</v>
      </c>
      <c r="CD233" s="7">
        <f>IF(81&gt;=55,('Testes estatísticos'!$D$60+'Testes estatísticos'!$D$86)/2,"")</f>
        <v>-0.70678450000000126</v>
      </c>
      <c r="CE233" s="7">
        <f>IF(82&gt;=55,('Testes estatísticos'!$D$60+'Testes estatísticos'!$D$87)/2,"")</f>
        <v>1.3710059999999977</v>
      </c>
      <c r="CF233" s="7">
        <f>IF(83&gt;=55,('Testes estatísticos'!$D$60+'Testes estatísticos'!$D$88)/2,"")</f>
        <v>0.84219899999999726</v>
      </c>
      <c r="CG233" s="7">
        <f>IF(84&gt;=55,('Testes estatísticos'!$D$60+'Testes estatísticos'!$D$89)/2,"")</f>
        <v>0.51029199999999975</v>
      </c>
      <c r="CH233" s="7">
        <f>IF(85&gt;=55,('Testes estatísticos'!$D$60+'Testes estatísticos'!$D$90)/2,"")</f>
        <v>2.3258389999999984</v>
      </c>
      <c r="CI233" s="7">
        <f>IF(86&gt;=55,('Testes estatísticos'!$D$60+'Testes estatísticos'!$D$91)/2,"")</f>
        <v>-0.36432049999999805</v>
      </c>
      <c r="CJ233" s="7">
        <f>IF(87&gt;=55,('Testes estatísticos'!$D$60+'Testes estatísticos'!$D$92)/2,"")</f>
        <v>0.87788600000000017</v>
      </c>
      <c r="CK233" s="7">
        <f>IF(88&gt;=55,('Testes estatísticos'!$D$60+'Testes estatísticos'!$D$93)/2,"")</f>
        <v>1.1219694999999987</v>
      </c>
      <c r="CL233" s="7">
        <f>IF(89&gt;=55,('Testes estatísticos'!$D$60+'Testes estatísticos'!$D$94)/2,"")</f>
        <v>0.51037749999999704</v>
      </c>
      <c r="CM233" s="7">
        <f>IF(90&gt;=55,('Testes estatísticos'!$D$60+'Testes estatísticos'!$D$95)/2,"")</f>
        <v>-1.8237544999999997</v>
      </c>
      <c r="CN233" s="7">
        <f>IF(91&gt;=55,('Testes estatísticos'!$D$60+'Testes estatísticos'!$D$96)/2,"")</f>
        <v>0.71476850000000169</v>
      </c>
      <c r="CO233" s="7">
        <f>IF(92&gt;=55,('Testes estatísticos'!$D$60+'Testes estatísticos'!$D$97)/2,"")</f>
        <v>0.36826500000000095</v>
      </c>
      <c r="CP233" s="7">
        <f>IF(93&gt;=55,('Testes estatísticos'!$D$60+'Testes estatísticos'!$D$98)/2,"")</f>
        <v>0.1635130000000018</v>
      </c>
      <c r="CQ233" s="7">
        <f>IF(94&gt;=55,('Testes estatísticos'!$D$60+'Testes estatísticos'!$D$99)/2,"")</f>
        <v>2.3446709999999982</v>
      </c>
      <c r="CR233" s="7">
        <f>IF(95&gt;=55,('Testes estatísticos'!$D$60+'Testes estatísticos'!$D$100)/2,"")</f>
        <v>0.43887799999999899</v>
      </c>
      <c r="CS233" s="7">
        <f>IF(96&gt;=55,('Testes estatísticos'!$D$60+'Testes estatísticos'!$D$101)/2,"")</f>
        <v>0.48286499999999677</v>
      </c>
      <c r="CT233" s="7">
        <f>IF(97&gt;=55,('Testes estatísticos'!$D$60+'Testes estatísticos'!$D$102)/2,"")</f>
        <v>0.71591549999999771</v>
      </c>
      <c r="CU233" s="7">
        <f>IF(98&gt;=55,('Testes estatísticos'!$D$60+'Testes estatísticos'!$D$103)/2,"")</f>
        <v>0.77324150000000103</v>
      </c>
      <c r="CV233" s="7">
        <f>IF(99&gt;=55,('Testes estatísticos'!$D$60+'Testes estatísticos'!$D$104)/2,"")</f>
        <v>0.33841549999999998</v>
      </c>
      <c r="CW233" s="7">
        <f>IF(100&gt;=55,('Testes estatísticos'!$D$60+'Testes estatísticos'!$D$105)/2,"")</f>
        <v>0.23894950000000037</v>
      </c>
      <c r="CX233" s="7">
        <f>IF(101&gt;=55,('Testes estatísticos'!$D$60+'Testes estatísticos'!$D$106)/2,"")</f>
        <v>0.76187600000000089</v>
      </c>
      <c r="CY233" s="7">
        <f>IF(102&gt;=55,('Testes estatísticos'!$D$60+'Testes estatísticos'!$D$107)/2,"")</f>
        <v>0.7062109999999997</v>
      </c>
      <c r="CZ233" s="7">
        <f>IF(103&gt;=55,('Testes estatísticos'!$D$60+'Testes estatísticos'!$D$108)/2,"")</f>
        <v>0.18204449999999994</v>
      </c>
      <c r="DA233" s="7">
        <f>IF(104&gt;=55,('Testes estatísticos'!$D$60+'Testes estatísticos'!$D$109)/2,"")</f>
        <v>0.44467850000000197</v>
      </c>
      <c r="DB233" s="7">
        <f>IF(105&gt;=55,('Testes estatísticos'!$D$60+'Testes estatísticos'!$D$110)/2,"")</f>
        <v>0.47900950000000009</v>
      </c>
      <c r="DC233" s="7">
        <f>IF(106&gt;=55,('Testes estatísticos'!$D$60+'Testes estatísticos'!$D$111)/2,"")</f>
        <v>1.2219304999999991</v>
      </c>
      <c r="DD233" s="7">
        <f>IF(107&gt;=55,('Testes estatísticos'!$D$60+'Testes estatísticos'!$D$112)/2,"")</f>
        <v>4.7151014999999994</v>
      </c>
      <c r="DE233" s="7">
        <f>IF(108&gt;=55,('Testes estatísticos'!$D$60+'Testes estatísticos'!$D$113)/2,"")</f>
        <v>1.292466000000001</v>
      </c>
      <c r="DF233" s="7">
        <f>IF(109&gt;=55,('Testes estatísticos'!$D$60+'Testes estatísticos'!$D$114)/2,"")</f>
        <v>1.2562090000000019</v>
      </c>
      <c r="DG233" s="7">
        <f>IF(110&gt;=55,('Testes estatísticos'!$D$60+'Testes estatísticos'!$D$115)/2,"")</f>
        <v>-4.2909305000000018</v>
      </c>
      <c r="DH233" s="7">
        <f>IF(111&gt;=55,('Testes estatísticos'!$D$60+'Testes estatísticos'!$D$116)/2,"")</f>
        <v>1.3899000000000008</v>
      </c>
      <c r="DI233" s="7">
        <f>IF(112&gt;=55,('Testes estatísticos'!$D$60+'Testes estatísticos'!$D$117)/2,"")</f>
        <v>6.8183399999999992</v>
      </c>
      <c r="DJ233" s="7">
        <f>IF(113&gt;=55,('Testes estatísticos'!$D$60+'Testes estatísticos'!$D$118)/2,"")</f>
        <v>1.3617829999999991</v>
      </c>
      <c r="DK233" s="7">
        <f>IF(114&gt;=55,('Testes estatísticos'!$D$60+'Testes estatísticos'!$D$119)/2,"")</f>
        <v>1.260033</v>
      </c>
      <c r="DL233" s="7">
        <f>IF(115&gt;=55,('Testes estatísticos'!$D$60+'Testes estatísticos'!$D$120)/2,"")</f>
        <v>1.3065105000000017</v>
      </c>
      <c r="DM233" s="7">
        <f>IF(116&gt;=55,('Testes estatísticos'!$D$60+'Testes estatísticos'!$D$121)/2,"")</f>
        <v>1.3151130000000002</v>
      </c>
      <c r="DN233" s="7">
        <f>IF(117&gt;=55,('Testes estatísticos'!$D$60+'Testes estatísticos'!$D$122)/2,"")</f>
        <v>1.3381809999999987</v>
      </c>
      <c r="DO233" s="7">
        <f>IF(118&gt;=55,('Testes estatísticos'!$D$60+'Testes estatísticos'!$D$123)/2,"")</f>
        <v>1.388091499999998</v>
      </c>
      <c r="DP233" s="7">
        <f>IF(119&gt;=55,('Testes estatísticos'!$D$60+'Testes estatísticos'!$D$124)/2,"")</f>
        <v>1.3668799999999983</v>
      </c>
      <c r="DQ233" s="7">
        <f>IF(120&gt;=55,('Testes estatísticos'!$D$60+'Testes estatísticos'!$D$125)/2,"")</f>
        <v>4.4184945000000013</v>
      </c>
      <c r="DR233" s="7">
        <f>IF(121&gt;=55,('Testes estatísticos'!$D$60+'Testes estatísticos'!$D$126)/2,"")</f>
        <v>1.6294779999999989</v>
      </c>
      <c r="DS233" s="7">
        <f>IF(122&gt;=55,('Testes estatísticos'!$D$60+'Testes estatísticos'!$D$127)/2,"")</f>
        <v>0.56406950000000222</v>
      </c>
      <c r="DT233" s="7">
        <f>IF(123&gt;=55,('Testes estatísticos'!$D$60+'Testes estatísticos'!$D$128)/2,"")</f>
        <v>6.6329389999999968</v>
      </c>
      <c r="DU233" s="7">
        <f>IF(124&gt;=55,('Testes estatísticos'!$D$60+'Testes estatísticos'!$D$129)/2,"")</f>
        <v>1.7371674999999982</v>
      </c>
      <c r="DV233" s="7">
        <f>IF(125&gt;=55,('Testes estatísticos'!$D$60+'Testes estatísticos'!$D$130)/2,"")</f>
        <v>2.8954749999999976</v>
      </c>
      <c r="DW233" s="7">
        <f>IF(126&gt;=55,('Testes estatísticos'!$D$60+'Testes estatísticos'!$D$131)/2,"")</f>
        <v>0.49199899999999985</v>
      </c>
      <c r="DX233" s="7">
        <f>IF(127&gt;=55,('Testes estatísticos'!$D$60+'Testes estatísticos'!$D$132)/2,"")</f>
        <v>-1.5641925000000008</v>
      </c>
      <c r="DY233" s="7">
        <f>IF(128&gt;=55,('Testes estatísticos'!$D$60+'Testes estatísticos'!$D$133)/2,"")</f>
        <v>-1.9052819999999997</v>
      </c>
      <c r="DZ233" s="7">
        <f>IF(129&gt;=55,('Testes estatísticos'!$D$60+'Testes estatísticos'!$D$134)/2,"")</f>
        <v>-5.329072</v>
      </c>
      <c r="EA233" s="7">
        <f>IF(130&gt;=55,('Testes estatísticos'!$D$60+'Testes estatísticos'!$D$135)/2,"")</f>
        <v>0.43269800000000203</v>
      </c>
      <c r="EB233" s="7">
        <f>IF(131&gt;=55,('Testes estatísticos'!$D$60+'Testes estatísticos'!$D$136)/2,"")</f>
        <v>0.52057099999999679</v>
      </c>
      <c r="EC233" s="7">
        <f>IF(132&gt;=55,('Testes estatísticos'!$D$60+'Testes estatísticos'!$D$137)/2,"")</f>
        <v>-0.96616550000000245</v>
      </c>
      <c r="ED233" s="7">
        <f>IF(133&gt;=55,('Testes estatísticos'!$D$60+'Testes estatísticos'!$D$138)/2,"")</f>
        <v>1.2227719999999991</v>
      </c>
      <c r="EE233" s="7">
        <f>IF(134&gt;=55,('Testes estatísticos'!$D$60+'Testes estatísticos'!$D$139)/2,"")</f>
        <v>-1.0744185000000037</v>
      </c>
      <c r="EF233" s="7">
        <f>IF(135&gt;=55,('Testes estatísticos'!$D$60+'Testes estatísticos'!$D$140)/2,"")</f>
        <v>2.1400140000000007</v>
      </c>
      <c r="EG233" s="7">
        <f>IF(136&gt;=55,('Testes estatísticos'!$D$60+'Testes estatísticos'!$D$141)/2,"")</f>
        <v>0.44652399999999659</v>
      </c>
      <c r="EH233" s="7">
        <f>IF(137&gt;=55,('Testes estatísticos'!$D$60+'Testes estatísticos'!$D$142)/2,"")</f>
        <v>2.1512639999999976</v>
      </c>
      <c r="EI233" s="7">
        <f>IF(138&gt;=55,('Testes estatísticos'!$D$60+'Testes estatísticos'!$D$143)/2,"")</f>
        <v>0.48624850000000208</v>
      </c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</row>
    <row r="234" spans="2:151" x14ac:dyDescent="0.3">
      <c r="B234" s="7" t="str">
        <f>IF(1&gt;=56,('Testes estatísticos'!$D$61+'Testes estatísticos'!$D$6)/2,"")</f>
        <v/>
      </c>
      <c r="C234" s="7" t="str">
        <f>IF(2&gt;=56,('Testes estatísticos'!$D$61+'Testes estatísticos'!$D$7)/2,"")</f>
        <v/>
      </c>
      <c r="D234" s="7" t="str">
        <f>IF(3&gt;=56,('Testes estatísticos'!$D$61+'Testes estatísticos'!$D$8)/2,"")</f>
        <v/>
      </c>
      <c r="E234" s="7" t="str">
        <f>IF(4&gt;=56,('Testes estatísticos'!$D$61+'Testes estatísticos'!$D$9)/2,"")</f>
        <v/>
      </c>
      <c r="F234" s="7" t="str">
        <f>IF(5&gt;=56,('Testes estatísticos'!$D$61+'Testes estatísticos'!$D$10)/2,"")</f>
        <v/>
      </c>
      <c r="G234" s="7" t="str">
        <f>IF(6&gt;=56,('Testes estatísticos'!$D$61+'Testes estatísticos'!$D$11)/2,"")</f>
        <v/>
      </c>
      <c r="H234" s="7" t="str">
        <f>IF(7&gt;=56,('Testes estatísticos'!$D$61+'Testes estatísticos'!$D$12)/2,"")</f>
        <v/>
      </c>
      <c r="I234" s="7" t="str">
        <f>IF(8&gt;=56,('Testes estatísticos'!$D$61+'Testes estatísticos'!$D$13)/2,"")</f>
        <v/>
      </c>
      <c r="J234" s="7" t="str">
        <f>IF(9&gt;=56,('Testes estatísticos'!$D$61+'Testes estatísticos'!$D$14)/2,"")</f>
        <v/>
      </c>
      <c r="K234" s="7" t="str">
        <f>IF(10&gt;=56,('Testes estatísticos'!$D$61+'Testes estatísticos'!$D$15)/2,"")</f>
        <v/>
      </c>
      <c r="L234" s="7" t="str">
        <f>IF(11&gt;=56,('Testes estatísticos'!$D$61+'Testes estatísticos'!$D$16)/2,"")</f>
        <v/>
      </c>
      <c r="M234" s="7" t="str">
        <f>IF(12&gt;=56,('Testes estatísticos'!$D$61+'Testes estatísticos'!$D$17)/2,"")</f>
        <v/>
      </c>
      <c r="N234" s="7" t="str">
        <f>IF(13&gt;=56,('Testes estatísticos'!$D$61+'Testes estatísticos'!$D$18)/2,"")</f>
        <v/>
      </c>
      <c r="O234" s="7" t="str">
        <f>IF(14&gt;=56,('Testes estatísticos'!$D$61+'Testes estatísticos'!$D$19)/2,"")</f>
        <v/>
      </c>
      <c r="P234" s="7" t="str">
        <f>IF(15&gt;=56,('Testes estatísticos'!$D$61+'Testes estatísticos'!$D$20)/2,"")</f>
        <v/>
      </c>
      <c r="Q234" s="7" t="str">
        <f>IF(16&gt;=56,('Testes estatísticos'!$D$61+'Testes estatísticos'!$D$21)/2,"")</f>
        <v/>
      </c>
      <c r="R234" s="7" t="str">
        <f>IF(17&gt;=56,('Testes estatísticos'!$D$61+'Testes estatísticos'!$D$22)/2,"")</f>
        <v/>
      </c>
      <c r="S234" s="7" t="str">
        <f>IF(18&gt;=56,('Testes estatísticos'!$D$61+'Testes estatísticos'!$D$23)/2,"")</f>
        <v/>
      </c>
      <c r="T234" s="7" t="str">
        <f>IF(19&gt;=56,('Testes estatísticos'!$D$61+'Testes estatísticos'!$D$24)/2,"")</f>
        <v/>
      </c>
      <c r="U234" s="7" t="str">
        <f>IF(20&gt;=56,('Testes estatísticos'!$D$61+'Testes estatísticos'!$D$25)/2,"")</f>
        <v/>
      </c>
      <c r="V234" s="7" t="str">
        <f>IF(21&gt;=56,('Testes estatísticos'!$D$61+'Testes estatísticos'!$D$26)/2,"")</f>
        <v/>
      </c>
      <c r="W234" s="7" t="str">
        <f>IF(22&gt;=56,('Testes estatísticos'!$D$61+'Testes estatísticos'!$D$27)/2,"")</f>
        <v/>
      </c>
      <c r="X234" s="7" t="str">
        <f>IF(23&gt;=56,('Testes estatísticos'!$D$61+'Testes estatísticos'!$D$28)/2,"")</f>
        <v/>
      </c>
      <c r="Y234" s="7" t="str">
        <f>IF(24&gt;=56,('Testes estatísticos'!$D$61+'Testes estatísticos'!$D$29)/2,"")</f>
        <v/>
      </c>
      <c r="Z234" s="7" t="str">
        <f>IF(25&gt;=56,('Testes estatísticos'!$D$61+'Testes estatísticos'!$D$30)/2,"")</f>
        <v/>
      </c>
      <c r="AA234" s="7" t="str">
        <f>IF(26&gt;=56,('Testes estatísticos'!$D$61+'Testes estatísticos'!$D$31)/2,"")</f>
        <v/>
      </c>
      <c r="AB234" s="7" t="str">
        <f>IF(27&gt;=56,('Testes estatísticos'!$D$61+'Testes estatísticos'!$D$32)/2,"")</f>
        <v/>
      </c>
      <c r="AC234" s="7" t="str">
        <f>IF(28&gt;=56,('Testes estatísticos'!$D$61+'Testes estatísticos'!$D$33)/2,"")</f>
        <v/>
      </c>
      <c r="AD234" s="7" t="str">
        <f>IF(29&gt;=56,('Testes estatísticos'!$D$61+'Testes estatísticos'!$D$34)/2,"")</f>
        <v/>
      </c>
      <c r="AE234" s="7" t="str">
        <f>IF(30&gt;=56,('Testes estatísticos'!$D$61+'Testes estatísticos'!$D$35)/2,"")</f>
        <v/>
      </c>
      <c r="AF234" s="7" t="str">
        <f>IF(31&gt;=56,('Testes estatísticos'!$D$61+'Testes estatísticos'!$D$36)/2,"")</f>
        <v/>
      </c>
      <c r="AG234" s="7" t="str">
        <f>IF(32&gt;=56,('Testes estatísticos'!$D$61+'Testes estatísticos'!$D$37)/2,"")</f>
        <v/>
      </c>
      <c r="AH234" s="7" t="str">
        <f>IF(33&gt;=56,('Testes estatísticos'!$D$61+'Testes estatísticos'!$D$38)/2,"")</f>
        <v/>
      </c>
      <c r="AI234" s="7" t="str">
        <f>IF(34&gt;=56,('Testes estatísticos'!$D$61+'Testes estatísticos'!$D$39)/2,"")</f>
        <v/>
      </c>
      <c r="AJ234" s="7" t="str">
        <f>IF(35&gt;=56,('Testes estatísticos'!$D$61+'Testes estatísticos'!$D$40)/2,"")</f>
        <v/>
      </c>
      <c r="AK234" s="7" t="str">
        <f>IF(36&gt;=56,('Testes estatísticos'!$D$61+'Testes estatísticos'!$D$41)/2,"")</f>
        <v/>
      </c>
      <c r="AL234" s="7" t="str">
        <f>IF(37&gt;=56,('Testes estatísticos'!$D$61+'Testes estatísticos'!$D$42)/2,"")</f>
        <v/>
      </c>
      <c r="AM234" s="7" t="str">
        <f>IF(38&gt;=56,('Testes estatísticos'!$D$61+'Testes estatísticos'!$D$43)/2,"")</f>
        <v/>
      </c>
      <c r="AN234" s="7" t="str">
        <f>IF(39&gt;=56,('Testes estatísticos'!$D$61+'Testes estatísticos'!$D$44)/2,"")</f>
        <v/>
      </c>
      <c r="AO234" s="7" t="str">
        <f>IF(40&gt;=56,('Testes estatísticos'!$D$61+'Testes estatísticos'!$D$45)/2,"")</f>
        <v/>
      </c>
      <c r="AP234" s="7" t="str">
        <f>IF(41&gt;=56,('Testes estatísticos'!$D$61+'Testes estatísticos'!$D$46)/2,"")</f>
        <v/>
      </c>
      <c r="AQ234" s="7" t="str">
        <f>IF(42&gt;=56,('Testes estatísticos'!$D$61+'Testes estatísticos'!$D$47)/2,"")</f>
        <v/>
      </c>
      <c r="AR234" s="7" t="str">
        <f>IF(43&gt;=56,('Testes estatísticos'!$D$61+'Testes estatísticos'!$D$48)/2,"")</f>
        <v/>
      </c>
      <c r="AS234" s="7" t="str">
        <f>IF(44&gt;=56,('Testes estatísticos'!$D$61+'Testes estatísticos'!$D$49)/2,"")</f>
        <v/>
      </c>
      <c r="AT234" s="7" t="str">
        <f>IF(45&gt;=56,('Testes estatísticos'!$D$61+'Testes estatísticos'!$D$50)/2,"")</f>
        <v/>
      </c>
      <c r="AU234" s="7" t="str">
        <f>IF(46&gt;=56,('Testes estatísticos'!$D$61+'Testes estatísticos'!$D$51)/2,"")</f>
        <v/>
      </c>
      <c r="AV234" s="7" t="str">
        <f>IF(47&gt;=56,('Testes estatísticos'!$D$61+'Testes estatísticos'!$D$52)/2,"")</f>
        <v/>
      </c>
      <c r="AW234" s="7" t="str">
        <f>IF(48&gt;=56,('Testes estatísticos'!$D$61+'Testes estatísticos'!$D$53)/2,"")</f>
        <v/>
      </c>
      <c r="AX234" s="7" t="str">
        <f>IF(49&gt;=56,('Testes estatísticos'!$D$61+'Testes estatísticos'!$D$54)/2,"")</f>
        <v/>
      </c>
      <c r="AY234" s="7" t="str">
        <f>IF(50&gt;=56,('Testes estatísticos'!$D$61+'Testes estatísticos'!$D$55)/2,"")</f>
        <v/>
      </c>
      <c r="AZ234" s="7" t="str">
        <f>IF(51&gt;=56,('Testes estatísticos'!$D$61+'Testes estatísticos'!$D$56)/2,"")</f>
        <v/>
      </c>
      <c r="BA234" s="7" t="str">
        <f>IF(52&gt;=56,('Testes estatísticos'!$D$61+'Testes estatísticos'!$D$57)/2,"")</f>
        <v/>
      </c>
      <c r="BB234" s="7" t="str">
        <f>IF(53&gt;=56,('Testes estatísticos'!$D$61+'Testes estatísticos'!$D$58)/2,"")</f>
        <v/>
      </c>
      <c r="BC234" s="7" t="str">
        <f>IF(54&gt;=56,('Testes estatísticos'!$D$61+'Testes estatísticos'!$D$59)/2,"")</f>
        <v/>
      </c>
      <c r="BD234" s="7" t="str">
        <f>IF(55&gt;=56,('Testes estatísticos'!$D$61+'Testes estatísticos'!$D$60)/2,"")</f>
        <v/>
      </c>
      <c r="BE234" s="7">
        <f>IF(56&gt;=56,('Testes estatísticos'!$D$61+'Testes estatísticos'!$D$61)/2,"")</f>
        <v>-0.50112499999999471</v>
      </c>
      <c r="BF234" s="7">
        <f>IF(57&gt;=56,('Testes estatísticos'!$D$61+'Testes estatísticos'!$D$62)/2,"")</f>
        <v>-3.9013150000000003</v>
      </c>
      <c r="BG234" s="7">
        <f>IF(58&gt;=56,('Testes estatísticos'!$D$61+'Testes estatísticos'!$D$63)/2,"")</f>
        <v>1.3645800000000037</v>
      </c>
      <c r="BH234" s="7">
        <f>IF(59&gt;=56,('Testes estatísticos'!$D$61+'Testes estatísticos'!$D$64)/2,"")</f>
        <v>-4.4790324999999989</v>
      </c>
      <c r="BI234" s="7">
        <f>IF(60&gt;=56,('Testes estatísticos'!$D$61+'Testes estatísticos'!$D$65)/2,"")</f>
        <v>-2.7314414999999954</v>
      </c>
      <c r="BJ234" s="7">
        <f>IF(61&gt;=56,('Testes estatísticos'!$D$61+'Testes estatísticos'!$D$66)/2,"")</f>
        <v>-9.638649999999771E-2</v>
      </c>
      <c r="BK234" s="7">
        <f>IF(62&gt;=56,('Testes estatísticos'!$D$61+'Testes estatísticos'!$D$67)/2,"")</f>
        <v>-0.60518149999999693</v>
      </c>
      <c r="BL234" s="7">
        <f>IF(63&gt;=56,('Testes estatísticos'!$D$61+'Testes estatísticos'!$D$68)/2,"")</f>
        <v>0.2941330000000022</v>
      </c>
      <c r="BM234" s="7">
        <f>IF(64&gt;=56,('Testes estatísticos'!$D$61+'Testes estatísticos'!$D$69)/2,"")</f>
        <v>0.34497500000000159</v>
      </c>
      <c r="BN234" s="7">
        <f>IF(65&gt;=56,('Testes estatísticos'!$D$61+'Testes estatísticos'!$D$70)/2,"")</f>
        <v>-1.8008314999999975</v>
      </c>
      <c r="BO234" s="7">
        <f>IF(66&gt;=56,('Testes estatísticos'!$D$61+'Testes estatísticos'!$D$71)/2,"")</f>
        <v>-0.90497899999999731</v>
      </c>
      <c r="BP234" s="7">
        <f>IF(67&gt;=56,('Testes estatísticos'!$D$61+'Testes estatísticos'!$D$72)/2,"")</f>
        <v>-3.7954379999999972</v>
      </c>
      <c r="BQ234" s="7">
        <f>IF(68&gt;=56,('Testes estatísticos'!$D$61+'Testes estatísticos'!$D$73)/2,"")</f>
        <v>0.86779500000000098</v>
      </c>
      <c r="BR234" s="7">
        <f>IF(69&gt;=56,('Testes estatísticos'!$D$61+'Testes estatísticos'!$D$74)/2,"")</f>
        <v>1.4999770000000012</v>
      </c>
      <c r="BS234" s="7">
        <f>IF(70&gt;=56,('Testes estatísticos'!$D$61+'Testes estatísticos'!$D$75)/2,"")</f>
        <v>0.49551250000000024</v>
      </c>
      <c r="BT234" s="7">
        <f>IF(71&gt;=56,('Testes estatísticos'!$D$61+'Testes estatísticos'!$D$76)/2,"")</f>
        <v>2.0698775000000005</v>
      </c>
      <c r="BU234" s="7">
        <f>IF(72&gt;=56,('Testes estatísticos'!$D$61+'Testes estatísticos'!$D$77)/2,"")</f>
        <v>-3.5298194999999986</v>
      </c>
      <c r="BV234" s="7">
        <f>IF(73&gt;=56,('Testes estatísticos'!$D$61+'Testes estatísticos'!$D$78)/2,"")</f>
        <v>-1.4563449999999989</v>
      </c>
      <c r="BW234" s="7">
        <f>IF(74&gt;=56,('Testes estatísticos'!$D$61+'Testes estatísticos'!$D$79)/2,"")</f>
        <v>-2.1396634999999975</v>
      </c>
      <c r="BX234" s="7">
        <f>IF(75&gt;=56,('Testes estatísticos'!$D$61+'Testes estatísticos'!$D$80)/2,"")</f>
        <v>-2.1614414999999987</v>
      </c>
      <c r="BY234" s="7">
        <f>IF(76&gt;=56,('Testes estatísticos'!$D$61+'Testes estatísticos'!$D$81)/2,"")</f>
        <v>1.9700165000000034</v>
      </c>
      <c r="BZ234" s="7">
        <f>IF(77&gt;=56,('Testes estatísticos'!$D$61+'Testes estatísticos'!$D$82)/2,"")</f>
        <v>-3.2915729999999961</v>
      </c>
      <c r="CA234" s="7">
        <f>IF(78&gt;=56,('Testes estatísticos'!$D$61+'Testes estatísticos'!$D$83)/2,"")</f>
        <v>-1.5313139999999947</v>
      </c>
      <c r="CB234" s="7">
        <f>IF(79&gt;=56,('Testes estatísticos'!$D$61+'Testes estatísticos'!$D$84)/2,"")</f>
        <v>-1.4795914999999979</v>
      </c>
      <c r="CC234" s="7">
        <f>IF(80&gt;=56,('Testes estatísticos'!$D$61+'Testes estatísticos'!$D$85)/2,"")</f>
        <v>-3.2866079999999975</v>
      </c>
      <c r="CD234" s="7">
        <f>IF(81&gt;=56,('Testes estatísticos'!$D$61+'Testes estatísticos'!$D$86)/2,"")</f>
        <v>-3.3367529999999981</v>
      </c>
      <c r="CE234" s="7">
        <f>IF(82&gt;=56,('Testes estatísticos'!$D$61+'Testes estatísticos'!$D$87)/2,"")</f>
        <v>-1.2589624999999991</v>
      </c>
      <c r="CF234" s="7">
        <f>IF(83&gt;=56,('Testes estatísticos'!$D$61+'Testes estatísticos'!$D$88)/2,"")</f>
        <v>-1.7877694999999996</v>
      </c>
      <c r="CG234" s="7">
        <f>IF(84&gt;=56,('Testes estatísticos'!$D$61+'Testes estatísticos'!$D$89)/2,"")</f>
        <v>-2.1196764999999971</v>
      </c>
      <c r="CH234" s="7">
        <f>IF(85&gt;=56,('Testes estatísticos'!$D$61+'Testes estatísticos'!$D$90)/2,"")</f>
        <v>-0.30412949999999839</v>
      </c>
      <c r="CI234" s="7">
        <f>IF(86&gt;=56,('Testes estatísticos'!$D$61+'Testes estatísticos'!$D$91)/2,"")</f>
        <v>-2.9942889999999949</v>
      </c>
      <c r="CJ234" s="7">
        <f>IF(87&gt;=56,('Testes estatísticos'!$D$61+'Testes estatísticos'!$D$92)/2,"")</f>
        <v>-1.7520824999999967</v>
      </c>
      <c r="CK234" s="7">
        <f>IF(88&gt;=56,('Testes estatísticos'!$D$61+'Testes estatísticos'!$D$93)/2,"")</f>
        <v>-1.5079989999999981</v>
      </c>
      <c r="CL234" s="7">
        <f>IF(89&gt;=56,('Testes estatísticos'!$D$61+'Testes estatísticos'!$D$94)/2,"")</f>
        <v>-2.1195909999999998</v>
      </c>
      <c r="CM234" s="7">
        <f>IF(90&gt;=56,('Testes estatísticos'!$D$61+'Testes estatísticos'!$D$95)/2,"")</f>
        <v>-4.4537229999999965</v>
      </c>
      <c r="CN234" s="7">
        <f>IF(91&gt;=56,('Testes estatísticos'!$D$61+'Testes estatísticos'!$D$96)/2,"")</f>
        <v>-1.9151999999999951</v>
      </c>
      <c r="CO234" s="7">
        <f>IF(92&gt;=56,('Testes estatísticos'!$D$61+'Testes estatísticos'!$D$97)/2,"")</f>
        <v>-2.2617034999999959</v>
      </c>
      <c r="CP234" s="7">
        <f>IF(93&gt;=56,('Testes estatísticos'!$D$61+'Testes estatísticos'!$D$98)/2,"")</f>
        <v>-2.466455499999995</v>
      </c>
      <c r="CQ234" s="7">
        <f>IF(94&gt;=56,('Testes estatísticos'!$D$61+'Testes estatísticos'!$D$99)/2,"")</f>
        <v>-0.28529749999999865</v>
      </c>
      <c r="CR234" s="7">
        <f>IF(95&gt;=56,('Testes estatísticos'!$D$61+'Testes estatísticos'!$D$100)/2,"")</f>
        <v>-2.1910904999999978</v>
      </c>
      <c r="CS234" s="7">
        <f>IF(96&gt;=56,('Testes estatísticos'!$D$61+'Testes estatísticos'!$D$101)/2,"")</f>
        <v>-2.1471035000000001</v>
      </c>
      <c r="CT234" s="7">
        <f>IF(97&gt;=56,('Testes estatísticos'!$D$61+'Testes estatísticos'!$D$102)/2,"")</f>
        <v>-1.9140529999999991</v>
      </c>
      <c r="CU234" s="7">
        <f>IF(98&gt;=56,('Testes estatísticos'!$D$61+'Testes estatísticos'!$D$103)/2,"")</f>
        <v>-1.8567269999999958</v>
      </c>
      <c r="CV234" s="7">
        <f>IF(99&gt;=56,('Testes estatísticos'!$D$61+'Testes estatísticos'!$D$104)/2,"")</f>
        <v>-2.2915529999999968</v>
      </c>
      <c r="CW234" s="7">
        <f>IF(100&gt;=56,('Testes estatísticos'!$D$61+'Testes estatísticos'!$D$105)/2,"")</f>
        <v>-2.3910189999999965</v>
      </c>
      <c r="CX234" s="7">
        <f>IF(101&gt;=56,('Testes estatísticos'!$D$61+'Testes estatísticos'!$D$106)/2,"")</f>
        <v>-1.8680924999999959</v>
      </c>
      <c r="CY234" s="7">
        <f>IF(102&gt;=56,('Testes estatísticos'!$D$61+'Testes estatísticos'!$D$107)/2,"")</f>
        <v>-1.9237574999999971</v>
      </c>
      <c r="CZ234" s="7">
        <f>IF(103&gt;=56,('Testes estatísticos'!$D$61+'Testes estatísticos'!$D$108)/2,"")</f>
        <v>-2.4479239999999969</v>
      </c>
      <c r="DA234" s="7">
        <f>IF(104&gt;=56,('Testes estatísticos'!$D$61+'Testes estatísticos'!$D$109)/2,"")</f>
        <v>-2.1852899999999948</v>
      </c>
      <c r="DB234" s="7">
        <f>IF(105&gt;=56,('Testes estatísticos'!$D$61+'Testes estatísticos'!$D$110)/2,"")</f>
        <v>-2.1509589999999967</v>
      </c>
      <c r="DC234" s="7">
        <f>IF(106&gt;=56,('Testes estatísticos'!$D$61+'Testes estatísticos'!$D$111)/2,"")</f>
        <v>-1.4080379999999977</v>
      </c>
      <c r="DD234" s="7">
        <f>IF(107&gt;=56,('Testes estatísticos'!$D$61+'Testes estatísticos'!$D$112)/2,"")</f>
        <v>2.0851330000000026</v>
      </c>
      <c r="DE234" s="7">
        <f>IF(108&gt;=56,('Testes estatísticos'!$D$61+'Testes estatísticos'!$D$113)/2,"")</f>
        <v>-1.3375024999999958</v>
      </c>
      <c r="DF234" s="7">
        <f>IF(109&gt;=56,('Testes estatísticos'!$D$61+'Testes estatísticos'!$D$114)/2,"")</f>
        <v>-1.3737594999999949</v>
      </c>
      <c r="DG234" s="7">
        <f>IF(110&gt;=56,('Testes estatísticos'!$D$61+'Testes estatísticos'!$D$115)/2,"")</f>
        <v>-6.9208989999999986</v>
      </c>
      <c r="DH234" s="7">
        <f>IF(111&gt;=56,('Testes estatísticos'!$D$61+'Testes estatísticos'!$D$116)/2,"")</f>
        <v>-1.240068499999996</v>
      </c>
      <c r="DI234" s="7">
        <f>IF(112&gt;=56,('Testes estatísticos'!$D$61+'Testes estatísticos'!$D$117)/2,"")</f>
        <v>4.1883715000000024</v>
      </c>
      <c r="DJ234" s="7">
        <f>IF(113&gt;=56,('Testes estatísticos'!$D$61+'Testes estatísticos'!$D$118)/2,"")</f>
        <v>-1.2681854999999977</v>
      </c>
      <c r="DK234" s="7">
        <f>IF(114&gt;=56,('Testes estatísticos'!$D$61+'Testes estatísticos'!$D$119)/2,"")</f>
        <v>-1.3699354999999969</v>
      </c>
      <c r="DL234" s="7">
        <f>IF(115&gt;=56,('Testes estatísticos'!$D$61+'Testes estatísticos'!$D$120)/2,"")</f>
        <v>-1.3234579999999951</v>
      </c>
      <c r="DM234" s="7">
        <f>IF(116&gt;=56,('Testes estatísticos'!$D$61+'Testes estatísticos'!$D$121)/2,"")</f>
        <v>-1.3148554999999966</v>
      </c>
      <c r="DN234" s="7">
        <f>IF(117&gt;=56,('Testes estatísticos'!$D$61+'Testes estatísticos'!$D$122)/2,"")</f>
        <v>-1.2917874999999981</v>
      </c>
      <c r="DO234" s="7">
        <f>IF(118&gt;=56,('Testes estatísticos'!$D$61+'Testes estatísticos'!$D$123)/2,"")</f>
        <v>-1.2418769999999988</v>
      </c>
      <c r="DP234" s="7">
        <f>IF(119&gt;=56,('Testes estatísticos'!$D$61+'Testes estatísticos'!$D$124)/2,"")</f>
        <v>-1.2630884999999985</v>
      </c>
      <c r="DQ234" s="7">
        <f>IF(120&gt;=56,('Testes estatísticos'!$D$61+'Testes estatísticos'!$D$125)/2,"")</f>
        <v>1.7885260000000045</v>
      </c>
      <c r="DR234" s="7">
        <f>IF(121&gt;=56,('Testes estatísticos'!$D$61+'Testes estatísticos'!$D$126)/2,"")</f>
        <v>-1.000490499999998</v>
      </c>
      <c r="DS234" s="7">
        <f>IF(122&gt;=56,('Testes estatísticos'!$D$61+'Testes estatísticos'!$D$127)/2,"")</f>
        <v>-2.0658989999999946</v>
      </c>
      <c r="DT234" s="7">
        <f>IF(123&gt;=56,('Testes estatísticos'!$D$61+'Testes estatísticos'!$D$128)/2,"")</f>
        <v>4.0029705</v>
      </c>
      <c r="DU234" s="7">
        <f>IF(124&gt;=56,('Testes estatísticos'!$D$61+'Testes estatísticos'!$D$129)/2,"")</f>
        <v>-0.89280099999999862</v>
      </c>
      <c r="DV234" s="7">
        <f>IF(125&gt;=56,('Testes estatísticos'!$D$61+'Testes estatísticos'!$D$130)/2,"")</f>
        <v>0.26550650000000076</v>
      </c>
      <c r="DW234" s="7">
        <f>IF(126&gt;=56,('Testes estatísticos'!$D$61+'Testes estatísticos'!$D$131)/2,"")</f>
        <v>-2.137969499999997</v>
      </c>
      <c r="DX234" s="7">
        <f>IF(127&gt;=56,('Testes estatísticos'!$D$61+'Testes estatísticos'!$D$132)/2,"")</f>
        <v>-4.1941609999999976</v>
      </c>
      <c r="DY234" s="7">
        <f>IF(128&gt;=56,('Testes estatísticos'!$D$61+'Testes estatísticos'!$D$133)/2,"")</f>
        <v>-4.5352504999999965</v>
      </c>
      <c r="DZ234" s="7">
        <f>IF(129&gt;=56,('Testes estatísticos'!$D$61+'Testes estatísticos'!$D$134)/2,"")</f>
        <v>-7.9590404999999969</v>
      </c>
      <c r="EA234" s="7">
        <f>IF(130&gt;=56,('Testes estatísticos'!$D$61+'Testes estatísticos'!$D$135)/2,"")</f>
        <v>-2.1972704999999948</v>
      </c>
      <c r="EB234" s="7">
        <f>IF(131&gt;=56,('Testes estatísticos'!$D$61+'Testes estatísticos'!$D$136)/2,"")</f>
        <v>-2.1093975</v>
      </c>
      <c r="EC234" s="7">
        <f>IF(132&gt;=56,('Testes estatísticos'!$D$61+'Testes estatísticos'!$D$137)/2,"")</f>
        <v>-3.5961339999999993</v>
      </c>
      <c r="ED234" s="7">
        <f>IF(133&gt;=56,('Testes estatísticos'!$D$61+'Testes estatísticos'!$D$138)/2,"")</f>
        <v>-1.4071964999999977</v>
      </c>
      <c r="EE234" s="7">
        <f>IF(134&gt;=56,('Testes estatísticos'!$D$61+'Testes estatísticos'!$D$139)/2,"")</f>
        <v>-3.7043870000000005</v>
      </c>
      <c r="EF234" s="7">
        <f>IF(135&gt;=56,('Testes estatísticos'!$D$61+'Testes estatísticos'!$D$140)/2,"")</f>
        <v>-0.48995449999999607</v>
      </c>
      <c r="EG234" s="7">
        <f>IF(136&gt;=56,('Testes estatísticos'!$D$61+'Testes estatísticos'!$D$141)/2,"")</f>
        <v>-2.1834445000000002</v>
      </c>
      <c r="EH234" s="7">
        <f>IF(137&gt;=56,('Testes estatísticos'!$D$61+'Testes estatísticos'!$D$142)/2,"")</f>
        <v>-0.4787044999999992</v>
      </c>
      <c r="EI234" s="7">
        <f>IF(138&gt;=56,('Testes estatísticos'!$D$61+'Testes estatísticos'!$D$143)/2,"")</f>
        <v>-2.1437199999999947</v>
      </c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</row>
    <row r="235" spans="2:151" x14ac:dyDescent="0.3">
      <c r="B235" s="7" t="str">
        <f>IF(1&gt;=57,('Testes estatísticos'!$D$62+'Testes estatísticos'!$D$6)/2,"")</f>
        <v/>
      </c>
      <c r="C235" s="7" t="str">
        <f>IF(2&gt;=57,('Testes estatísticos'!$D$62+'Testes estatísticos'!$D$7)/2,"")</f>
        <v/>
      </c>
      <c r="D235" s="7" t="str">
        <f>IF(3&gt;=57,('Testes estatísticos'!$D$62+'Testes estatísticos'!$D$8)/2,"")</f>
        <v/>
      </c>
      <c r="E235" s="7" t="str">
        <f>IF(4&gt;=57,('Testes estatísticos'!$D$62+'Testes estatísticos'!$D$9)/2,"")</f>
        <v/>
      </c>
      <c r="F235" s="7" t="str">
        <f>IF(5&gt;=57,('Testes estatísticos'!$D$62+'Testes estatísticos'!$D$10)/2,"")</f>
        <v/>
      </c>
      <c r="G235" s="7" t="str">
        <f>IF(6&gt;=57,('Testes estatísticos'!$D$62+'Testes estatísticos'!$D$11)/2,"")</f>
        <v/>
      </c>
      <c r="H235" s="7" t="str">
        <f>IF(7&gt;=57,('Testes estatísticos'!$D$62+'Testes estatísticos'!$D$12)/2,"")</f>
        <v/>
      </c>
      <c r="I235" s="7" t="str">
        <f>IF(8&gt;=57,('Testes estatísticos'!$D$62+'Testes estatísticos'!$D$13)/2,"")</f>
        <v/>
      </c>
      <c r="J235" s="7" t="str">
        <f>IF(9&gt;=57,('Testes estatísticos'!$D$62+'Testes estatísticos'!$D$14)/2,"")</f>
        <v/>
      </c>
      <c r="K235" s="7" t="str">
        <f>IF(10&gt;=57,('Testes estatísticos'!$D$62+'Testes estatísticos'!$D$15)/2,"")</f>
        <v/>
      </c>
      <c r="L235" s="7" t="str">
        <f>IF(11&gt;=57,('Testes estatísticos'!$D$62+'Testes estatísticos'!$D$16)/2,"")</f>
        <v/>
      </c>
      <c r="M235" s="7" t="str">
        <f>IF(12&gt;=57,('Testes estatísticos'!$D$62+'Testes estatísticos'!$D$17)/2,"")</f>
        <v/>
      </c>
      <c r="N235" s="7" t="str">
        <f>IF(13&gt;=57,('Testes estatísticos'!$D$62+'Testes estatísticos'!$D$18)/2,"")</f>
        <v/>
      </c>
      <c r="O235" s="7" t="str">
        <f>IF(14&gt;=57,('Testes estatísticos'!$D$62+'Testes estatísticos'!$D$19)/2,"")</f>
        <v/>
      </c>
      <c r="P235" s="7" t="str">
        <f>IF(15&gt;=57,('Testes estatísticos'!$D$62+'Testes estatísticos'!$D$20)/2,"")</f>
        <v/>
      </c>
      <c r="Q235" s="7" t="str">
        <f>IF(16&gt;=57,('Testes estatísticos'!$D$62+'Testes estatísticos'!$D$21)/2,"")</f>
        <v/>
      </c>
      <c r="R235" s="7" t="str">
        <f>IF(17&gt;=57,('Testes estatísticos'!$D$62+'Testes estatísticos'!$D$22)/2,"")</f>
        <v/>
      </c>
      <c r="S235" s="7" t="str">
        <f>IF(18&gt;=57,('Testes estatísticos'!$D$62+'Testes estatísticos'!$D$23)/2,"")</f>
        <v/>
      </c>
      <c r="T235" s="7" t="str">
        <f>IF(19&gt;=57,('Testes estatísticos'!$D$62+'Testes estatísticos'!$D$24)/2,"")</f>
        <v/>
      </c>
      <c r="U235" s="7" t="str">
        <f>IF(20&gt;=57,('Testes estatísticos'!$D$62+'Testes estatísticos'!$D$25)/2,"")</f>
        <v/>
      </c>
      <c r="V235" s="7" t="str">
        <f>IF(21&gt;=57,('Testes estatísticos'!$D$62+'Testes estatísticos'!$D$26)/2,"")</f>
        <v/>
      </c>
      <c r="W235" s="7" t="str">
        <f>IF(22&gt;=57,('Testes estatísticos'!$D$62+'Testes estatísticos'!$D$27)/2,"")</f>
        <v/>
      </c>
      <c r="X235" s="7" t="str">
        <f>IF(23&gt;=57,('Testes estatísticos'!$D$62+'Testes estatísticos'!$D$28)/2,"")</f>
        <v/>
      </c>
      <c r="Y235" s="7" t="str">
        <f>IF(24&gt;=57,('Testes estatísticos'!$D$62+'Testes estatísticos'!$D$29)/2,"")</f>
        <v/>
      </c>
      <c r="Z235" s="7" t="str">
        <f>IF(25&gt;=57,('Testes estatísticos'!$D$62+'Testes estatísticos'!$D$30)/2,"")</f>
        <v/>
      </c>
      <c r="AA235" s="7" t="str">
        <f>IF(26&gt;=57,('Testes estatísticos'!$D$62+'Testes estatísticos'!$D$31)/2,"")</f>
        <v/>
      </c>
      <c r="AB235" s="7" t="str">
        <f>IF(27&gt;=57,('Testes estatísticos'!$D$62+'Testes estatísticos'!$D$32)/2,"")</f>
        <v/>
      </c>
      <c r="AC235" s="7" t="str">
        <f>IF(28&gt;=57,('Testes estatísticos'!$D$62+'Testes estatísticos'!$D$33)/2,"")</f>
        <v/>
      </c>
      <c r="AD235" s="7" t="str">
        <f>IF(29&gt;=57,('Testes estatísticos'!$D$62+'Testes estatísticos'!$D$34)/2,"")</f>
        <v/>
      </c>
      <c r="AE235" s="7" t="str">
        <f>IF(30&gt;=57,('Testes estatísticos'!$D$62+'Testes estatísticos'!$D$35)/2,"")</f>
        <v/>
      </c>
      <c r="AF235" s="7" t="str">
        <f>IF(31&gt;=57,('Testes estatísticos'!$D$62+'Testes estatísticos'!$D$36)/2,"")</f>
        <v/>
      </c>
      <c r="AG235" s="7" t="str">
        <f>IF(32&gt;=57,('Testes estatísticos'!$D$62+'Testes estatísticos'!$D$37)/2,"")</f>
        <v/>
      </c>
      <c r="AH235" s="7" t="str">
        <f>IF(33&gt;=57,('Testes estatísticos'!$D$62+'Testes estatísticos'!$D$38)/2,"")</f>
        <v/>
      </c>
      <c r="AI235" s="7" t="str">
        <f>IF(34&gt;=57,('Testes estatísticos'!$D$62+'Testes estatísticos'!$D$39)/2,"")</f>
        <v/>
      </c>
      <c r="AJ235" s="7" t="str">
        <f>IF(35&gt;=57,('Testes estatísticos'!$D$62+'Testes estatísticos'!$D$40)/2,"")</f>
        <v/>
      </c>
      <c r="AK235" s="7" t="str">
        <f>IF(36&gt;=57,('Testes estatísticos'!$D$62+'Testes estatísticos'!$D$41)/2,"")</f>
        <v/>
      </c>
      <c r="AL235" s="7" t="str">
        <f>IF(37&gt;=57,('Testes estatísticos'!$D$62+'Testes estatísticos'!$D$42)/2,"")</f>
        <v/>
      </c>
      <c r="AM235" s="7" t="str">
        <f>IF(38&gt;=57,('Testes estatísticos'!$D$62+'Testes estatísticos'!$D$43)/2,"")</f>
        <v/>
      </c>
      <c r="AN235" s="7" t="str">
        <f>IF(39&gt;=57,('Testes estatísticos'!$D$62+'Testes estatísticos'!$D$44)/2,"")</f>
        <v/>
      </c>
      <c r="AO235" s="7" t="str">
        <f>IF(40&gt;=57,('Testes estatísticos'!$D$62+'Testes estatísticos'!$D$45)/2,"")</f>
        <v/>
      </c>
      <c r="AP235" s="7" t="str">
        <f>IF(41&gt;=57,('Testes estatísticos'!$D$62+'Testes estatísticos'!$D$46)/2,"")</f>
        <v/>
      </c>
      <c r="AQ235" s="7" t="str">
        <f>IF(42&gt;=57,('Testes estatísticos'!$D$62+'Testes estatísticos'!$D$47)/2,"")</f>
        <v/>
      </c>
      <c r="AR235" s="7" t="str">
        <f>IF(43&gt;=57,('Testes estatísticos'!$D$62+'Testes estatísticos'!$D$48)/2,"")</f>
        <v/>
      </c>
      <c r="AS235" s="7" t="str">
        <f>IF(44&gt;=57,('Testes estatísticos'!$D$62+'Testes estatísticos'!$D$49)/2,"")</f>
        <v/>
      </c>
      <c r="AT235" s="7" t="str">
        <f>IF(45&gt;=57,('Testes estatísticos'!$D$62+'Testes estatísticos'!$D$50)/2,"")</f>
        <v/>
      </c>
      <c r="AU235" s="7" t="str">
        <f>IF(46&gt;=57,('Testes estatísticos'!$D$62+'Testes estatísticos'!$D$51)/2,"")</f>
        <v/>
      </c>
      <c r="AV235" s="7" t="str">
        <f>IF(47&gt;=57,('Testes estatísticos'!$D$62+'Testes estatísticos'!$D$52)/2,"")</f>
        <v/>
      </c>
      <c r="AW235" s="7" t="str">
        <f>IF(48&gt;=57,('Testes estatísticos'!$D$62+'Testes estatísticos'!$D$53)/2,"")</f>
        <v/>
      </c>
      <c r="AX235" s="7" t="str">
        <f>IF(49&gt;=57,('Testes estatísticos'!$D$62+'Testes estatísticos'!$D$54)/2,"")</f>
        <v/>
      </c>
      <c r="AY235" s="7" t="str">
        <f>IF(50&gt;=57,('Testes estatísticos'!$D$62+'Testes estatísticos'!$D$55)/2,"")</f>
        <v/>
      </c>
      <c r="AZ235" s="7" t="str">
        <f>IF(51&gt;=57,('Testes estatísticos'!$D$62+'Testes estatísticos'!$D$56)/2,"")</f>
        <v/>
      </c>
      <c r="BA235" s="7" t="str">
        <f>IF(52&gt;=57,('Testes estatísticos'!$D$62+'Testes estatísticos'!$D$57)/2,"")</f>
        <v/>
      </c>
      <c r="BB235" s="7" t="str">
        <f>IF(53&gt;=57,('Testes estatísticos'!$D$62+'Testes estatísticos'!$D$58)/2,"")</f>
        <v/>
      </c>
      <c r="BC235" s="7" t="str">
        <f>IF(54&gt;=57,('Testes estatísticos'!$D$62+'Testes estatísticos'!$D$59)/2,"")</f>
        <v/>
      </c>
      <c r="BD235" s="7" t="str">
        <f>IF(55&gt;=57,('Testes estatísticos'!$D$62+'Testes estatísticos'!$D$60)/2,"")</f>
        <v/>
      </c>
      <c r="BE235" s="7" t="str">
        <f>IF(56&gt;=57,('Testes estatísticos'!$D$62+'Testes estatísticos'!$D$61)/2,"")</f>
        <v/>
      </c>
      <c r="BF235" s="7">
        <f>IF(57&gt;=57,('Testes estatísticos'!$D$62+'Testes estatísticos'!$D$62)/2,"")</f>
        <v>-7.3015050000000059</v>
      </c>
      <c r="BG235" s="7">
        <f>IF(58&gt;=57,('Testes estatísticos'!$D$62+'Testes estatísticos'!$D$63)/2,"")</f>
        <v>-2.0356100000000019</v>
      </c>
      <c r="BH235" s="7">
        <f>IF(59&gt;=57,('Testes estatísticos'!$D$62+'Testes estatísticos'!$D$64)/2,"")</f>
        <v>-7.8792225000000045</v>
      </c>
      <c r="BI235" s="7">
        <f>IF(60&gt;=57,('Testes estatísticos'!$D$62+'Testes estatísticos'!$D$65)/2,"")</f>
        <v>-6.131631500000001</v>
      </c>
      <c r="BJ235" s="7">
        <f>IF(61&gt;=57,('Testes estatísticos'!$D$62+'Testes estatísticos'!$D$66)/2,"")</f>
        <v>-3.4965765000000033</v>
      </c>
      <c r="BK235" s="7">
        <f>IF(62&gt;=57,('Testes estatísticos'!$D$62+'Testes estatísticos'!$D$67)/2,"")</f>
        <v>-4.0053715000000025</v>
      </c>
      <c r="BL235" s="7">
        <f>IF(63&gt;=57,('Testes estatísticos'!$D$62+'Testes estatísticos'!$D$68)/2,"")</f>
        <v>-3.1060570000000034</v>
      </c>
      <c r="BM235" s="7">
        <f>IF(64&gt;=57,('Testes estatísticos'!$D$62+'Testes estatísticos'!$D$69)/2,"")</f>
        <v>-3.055215000000004</v>
      </c>
      <c r="BN235" s="7">
        <f>IF(65&gt;=57,('Testes estatísticos'!$D$62+'Testes estatísticos'!$D$70)/2,"")</f>
        <v>-5.2010215000000031</v>
      </c>
      <c r="BO235" s="7">
        <f>IF(66&gt;=57,('Testes estatísticos'!$D$62+'Testes estatísticos'!$D$71)/2,"")</f>
        <v>-4.3051690000000029</v>
      </c>
      <c r="BP235" s="7">
        <f>IF(67&gt;=57,('Testes estatísticos'!$D$62+'Testes estatísticos'!$D$72)/2,"")</f>
        <v>-7.1956280000000028</v>
      </c>
      <c r="BQ235" s="7">
        <f>IF(68&gt;=57,('Testes estatísticos'!$D$62+'Testes estatísticos'!$D$73)/2,"")</f>
        <v>-2.5323950000000046</v>
      </c>
      <c r="BR235" s="7">
        <f>IF(69&gt;=57,('Testes estatísticos'!$D$62+'Testes estatísticos'!$D$74)/2,"")</f>
        <v>-1.9002130000000044</v>
      </c>
      <c r="BS235" s="7">
        <f>IF(70&gt;=57,('Testes estatísticos'!$D$62+'Testes estatísticos'!$D$75)/2,"")</f>
        <v>-2.9046775000000054</v>
      </c>
      <c r="BT235" s="7">
        <f>IF(71&gt;=57,('Testes estatísticos'!$D$62+'Testes estatísticos'!$D$76)/2,"")</f>
        <v>-1.3303125000000051</v>
      </c>
      <c r="BU235" s="7">
        <f>IF(72&gt;=57,('Testes estatísticos'!$D$62+'Testes estatísticos'!$D$77)/2,"")</f>
        <v>-6.9300095000000042</v>
      </c>
      <c r="BV235" s="7">
        <f>IF(73&gt;=57,('Testes estatísticos'!$D$62+'Testes estatísticos'!$D$78)/2,"")</f>
        <v>-4.8565350000000045</v>
      </c>
      <c r="BW235" s="7">
        <f>IF(74&gt;=57,('Testes estatísticos'!$D$62+'Testes estatísticos'!$D$79)/2,"")</f>
        <v>-5.5398535000000031</v>
      </c>
      <c r="BX235" s="7">
        <f>IF(75&gt;=57,('Testes estatísticos'!$D$62+'Testes estatísticos'!$D$80)/2,"")</f>
        <v>-5.5616315000000043</v>
      </c>
      <c r="BY235" s="7">
        <f>IF(76&gt;=57,('Testes estatísticos'!$D$62+'Testes estatísticos'!$D$81)/2,"")</f>
        <v>-1.4301735000000022</v>
      </c>
      <c r="BZ235" s="7">
        <f>IF(77&gt;=57,('Testes estatísticos'!$D$62+'Testes estatísticos'!$D$82)/2,"")</f>
        <v>-6.6917630000000017</v>
      </c>
      <c r="CA235" s="7">
        <f>IF(78&gt;=57,('Testes estatísticos'!$D$62+'Testes estatísticos'!$D$83)/2,"")</f>
        <v>-4.9315040000000003</v>
      </c>
      <c r="CB235" s="7">
        <f>IF(79&gt;=57,('Testes estatísticos'!$D$62+'Testes estatísticos'!$D$84)/2,"")</f>
        <v>-4.8797815000000035</v>
      </c>
      <c r="CC235" s="7">
        <f>IF(80&gt;=57,('Testes estatísticos'!$D$62+'Testes estatísticos'!$D$85)/2,"")</f>
        <v>-6.6867980000000031</v>
      </c>
      <c r="CD235" s="7">
        <f>IF(81&gt;=57,('Testes estatísticos'!$D$62+'Testes estatísticos'!$D$86)/2,"")</f>
        <v>-6.7369430000000037</v>
      </c>
      <c r="CE235" s="7">
        <f>IF(82&gt;=57,('Testes estatísticos'!$D$62+'Testes estatísticos'!$D$87)/2,"")</f>
        <v>-4.6591525000000047</v>
      </c>
      <c r="CF235" s="7">
        <f>IF(83&gt;=57,('Testes estatísticos'!$D$62+'Testes estatísticos'!$D$88)/2,"")</f>
        <v>-5.1879595000000052</v>
      </c>
      <c r="CG235" s="7">
        <f>IF(84&gt;=57,('Testes estatísticos'!$D$62+'Testes estatísticos'!$D$89)/2,"")</f>
        <v>-5.5198665000000027</v>
      </c>
      <c r="CH235" s="7">
        <f>IF(85&gt;=57,('Testes estatísticos'!$D$62+'Testes estatísticos'!$D$90)/2,"")</f>
        <v>-3.704319500000004</v>
      </c>
      <c r="CI235" s="7">
        <f>IF(86&gt;=57,('Testes estatísticos'!$D$62+'Testes estatísticos'!$D$91)/2,"")</f>
        <v>-6.3944790000000005</v>
      </c>
      <c r="CJ235" s="7">
        <f>IF(87&gt;=57,('Testes estatísticos'!$D$62+'Testes estatísticos'!$D$92)/2,"")</f>
        <v>-5.1522725000000023</v>
      </c>
      <c r="CK235" s="7">
        <f>IF(88&gt;=57,('Testes estatísticos'!$D$62+'Testes estatísticos'!$D$93)/2,"")</f>
        <v>-4.9081890000000037</v>
      </c>
      <c r="CL235" s="7">
        <f>IF(89&gt;=57,('Testes estatísticos'!$D$62+'Testes estatísticos'!$D$94)/2,"")</f>
        <v>-5.5197810000000054</v>
      </c>
      <c r="CM235" s="7">
        <f>IF(90&gt;=57,('Testes estatísticos'!$D$62+'Testes estatísticos'!$D$95)/2,"")</f>
        <v>-7.8539130000000021</v>
      </c>
      <c r="CN235" s="7">
        <f>IF(91&gt;=57,('Testes estatísticos'!$D$62+'Testes estatísticos'!$D$96)/2,"")</f>
        <v>-5.3153900000000007</v>
      </c>
      <c r="CO235" s="7">
        <f>IF(92&gt;=57,('Testes estatísticos'!$D$62+'Testes estatísticos'!$D$97)/2,"")</f>
        <v>-5.6618935000000015</v>
      </c>
      <c r="CP235" s="7">
        <f>IF(93&gt;=57,('Testes estatísticos'!$D$62+'Testes estatísticos'!$D$98)/2,"")</f>
        <v>-5.8666455000000006</v>
      </c>
      <c r="CQ235" s="7">
        <f>IF(94&gt;=57,('Testes estatísticos'!$D$62+'Testes estatísticos'!$D$99)/2,"")</f>
        <v>-3.6854875000000042</v>
      </c>
      <c r="CR235" s="7">
        <f>IF(95&gt;=57,('Testes estatísticos'!$D$62+'Testes estatísticos'!$D$100)/2,"")</f>
        <v>-5.5912805000000034</v>
      </c>
      <c r="CS235" s="7">
        <f>IF(96&gt;=57,('Testes estatísticos'!$D$62+'Testes estatísticos'!$D$101)/2,"")</f>
        <v>-5.5472935000000057</v>
      </c>
      <c r="CT235" s="7">
        <f>IF(97&gt;=57,('Testes estatísticos'!$D$62+'Testes estatísticos'!$D$102)/2,"")</f>
        <v>-5.3142430000000047</v>
      </c>
      <c r="CU235" s="7">
        <f>IF(98&gt;=57,('Testes estatísticos'!$D$62+'Testes estatísticos'!$D$103)/2,"")</f>
        <v>-5.2569170000000014</v>
      </c>
      <c r="CV235" s="7">
        <f>IF(99&gt;=57,('Testes estatísticos'!$D$62+'Testes estatísticos'!$D$104)/2,"")</f>
        <v>-5.6917430000000024</v>
      </c>
      <c r="CW235" s="7">
        <f>IF(100&gt;=57,('Testes estatísticos'!$D$62+'Testes estatísticos'!$D$105)/2,"")</f>
        <v>-5.791209000000002</v>
      </c>
      <c r="CX235" s="7">
        <f>IF(101&gt;=57,('Testes estatísticos'!$D$62+'Testes estatísticos'!$D$106)/2,"")</f>
        <v>-5.2682825000000015</v>
      </c>
      <c r="CY235" s="7">
        <f>IF(102&gt;=57,('Testes estatísticos'!$D$62+'Testes estatísticos'!$D$107)/2,"")</f>
        <v>-5.3239475000000027</v>
      </c>
      <c r="CZ235" s="7">
        <f>IF(103&gt;=57,('Testes estatísticos'!$D$62+'Testes estatísticos'!$D$108)/2,"")</f>
        <v>-5.8481140000000025</v>
      </c>
      <c r="DA235" s="7">
        <f>IF(104&gt;=57,('Testes estatísticos'!$D$62+'Testes estatísticos'!$D$109)/2,"")</f>
        <v>-5.5854800000000004</v>
      </c>
      <c r="DB235" s="7">
        <f>IF(105&gt;=57,('Testes estatísticos'!$D$62+'Testes estatísticos'!$D$110)/2,"")</f>
        <v>-5.5511490000000023</v>
      </c>
      <c r="DC235" s="7">
        <f>IF(106&gt;=57,('Testes estatísticos'!$D$62+'Testes estatísticos'!$D$111)/2,"")</f>
        <v>-4.8082280000000033</v>
      </c>
      <c r="DD235" s="7">
        <f>IF(107&gt;=57,('Testes estatísticos'!$D$62+'Testes estatísticos'!$D$112)/2,"")</f>
        <v>-1.315057000000003</v>
      </c>
      <c r="DE235" s="7">
        <f>IF(108&gt;=57,('Testes estatísticos'!$D$62+'Testes estatísticos'!$D$113)/2,"")</f>
        <v>-4.7376925000000014</v>
      </c>
      <c r="DF235" s="7">
        <f>IF(109&gt;=57,('Testes estatísticos'!$D$62+'Testes estatísticos'!$D$114)/2,"")</f>
        <v>-4.7739495000000005</v>
      </c>
      <c r="DG235" s="7">
        <f>IF(110&gt;=57,('Testes estatísticos'!$D$62+'Testes estatísticos'!$D$115)/2,"")</f>
        <v>-10.321089000000004</v>
      </c>
      <c r="DH235" s="7">
        <f>IF(111&gt;=57,('Testes estatísticos'!$D$62+'Testes estatísticos'!$D$116)/2,"")</f>
        <v>-4.6402585000000016</v>
      </c>
      <c r="DI235" s="7">
        <f>IF(112&gt;=57,('Testes estatísticos'!$D$62+'Testes estatísticos'!$D$117)/2,"")</f>
        <v>0.78818149999999676</v>
      </c>
      <c r="DJ235" s="7">
        <f>IF(113&gt;=57,('Testes estatísticos'!$D$62+'Testes estatísticos'!$D$118)/2,"")</f>
        <v>-4.6683755000000033</v>
      </c>
      <c r="DK235" s="7">
        <f>IF(114&gt;=57,('Testes estatísticos'!$D$62+'Testes estatísticos'!$D$119)/2,"")</f>
        <v>-4.7701255000000025</v>
      </c>
      <c r="DL235" s="7">
        <f>IF(115&gt;=57,('Testes estatísticos'!$D$62+'Testes estatísticos'!$D$120)/2,"")</f>
        <v>-4.7236480000000007</v>
      </c>
      <c r="DM235" s="7">
        <f>IF(116&gt;=57,('Testes estatísticos'!$D$62+'Testes estatísticos'!$D$121)/2,"")</f>
        <v>-4.7150455000000022</v>
      </c>
      <c r="DN235" s="7">
        <f>IF(117&gt;=57,('Testes estatísticos'!$D$62+'Testes estatísticos'!$D$122)/2,"")</f>
        <v>-4.6919775000000037</v>
      </c>
      <c r="DO235" s="7">
        <f>IF(118&gt;=57,('Testes estatísticos'!$D$62+'Testes estatísticos'!$D$123)/2,"")</f>
        <v>-4.6420670000000044</v>
      </c>
      <c r="DP235" s="7">
        <f>IF(119&gt;=57,('Testes estatísticos'!$D$62+'Testes estatísticos'!$D$124)/2,"")</f>
        <v>-4.6632785000000041</v>
      </c>
      <c r="DQ235" s="7">
        <f>IF(120&gt;=57,('Testes estatísticos'!$D$62+'Testes estatísticos'!$D$125)/2,"")</f>
        <v>-1.6116640000000011</v>
      </c>
      <c r="DR235" s="7">
        <f>IF(121&gt;=57,('Testes estatísticos'!$D$62+'Testes estatísticos'!$D$126)/2,"")</f>
        <v>-4.4006805000000035</v>
      </c>
      <c r="DS235" s="7">
        <f>IF(122&gt;=57,('Testes estatísticos'!$D$62+'Testes estatísticos'!$D$127)/2,"")</f>
        <v>-5.4660890000000002</v>
      </c>
      <c r="DT235" s="7">
        <f>IF(123&gt;=57,('Testes estatísticos'!$D$62+'Testes estatísticos'!$D$128)/2,"")</f>
        <v>0.60278049999999439</v>
      </c>
      <c r="DU235" s="7">
        <f>IF(124&gt;=57,('Testes estatísticos'!$D$62+'Testes estatísticos'!$D$129)/2,"")</f>
        <v>-4.2929910000000042</v>
      </c>
      <c r="DV235" s="7">
        <f>IF(125&gt;=57,('Testes estatísticos'!$D$62+'Testes estatísticos'!$D$130)/2,"")</f>
        <v>-3.1346835000000048</v>
      </c>
      <c r="DW235" s="7">
        <f>IF(126&gt;=57,('Testes estatísticos'!$D$62+'Testes estatísticos'!$D$131)/2,"")</f>
        <v>-5.5381595000000026</v>
      </c>
      <c r="DX235" s="7">
        <f>IF(127&gt;=57,('Testes estatísticos'!$D$62+'Testes estatísticos'!$D$132)/2,"")</f>
        <v>-7.5943510000000032</v>
      </c>
      <c r="DY235" s="7">
        <f>IF(128&gt;=57,('Testes estatísticos'!$D$62+'Testes estatísticos'!$D$133)/2,"")</f>
        <v>-7.9354405000000021</v>
      </c>
      <c r="DZ235" s="7">
        <f>IF(129&gt;=57,('Testes estatísticos'!$D$62+'Testes estatísticos'!$D$134)/2,"")</f>
        <v>-11.359230500000002</v>
      </c>
      <c r="EA235" s="7">
        <f>IF(130&gt;=57,('Testes estatísticos'!$D$62+'Testes estatísticos'!$D$135)/2,"")</f>
        <v>-5.5974605000000004</v>
      </c>
      <c r="EB235" s="7">
        <f>IF(131&gt;=57,('Testes estatísticos'!$D$62+'Testes estatísticos'!$D$136)/2,"")</f>
        <v>-5.5095875000000056</v>
      </c>
      <c r="EC235" s="7">
        <f>IF(132&gt;=57,('Testes estatísticos'!$D$62+'Testes estatísticos'!$D$137)/2,"")</f>
        <v>-6.9963240000000049</v>
      </c>
      <c r="ED235" s="7">
        <f>IF(133&gt;=57,('Testes estatísticos'!$D$62+'Testes estatísticos'!$D$138)/2,"")</f>
        <v>-4.8073865000000033</v>
      </c>
      <c r="EE235" s="7">
        <f>IF(134&gt;=57,('Testes estatísticos'!$D$62+'Testes estatísticos'!$D$139)/2,"")</f>
        <v>-7.1045770000000061</v>
      </c>
      <c r="EF235" s="7">
        <f>IF(135&gt;=57,('Testes estatísticos'!$D$62+'Testes estatísticos'!$D$140)/2,"")</f>
        <v>-3.8901445000000017</v>
      </c>
      <c r="EG235" s="7">
        <f>IF(136&gt;=57,('Testes estatísticos'!$D$62+'Testes estatísticos'!$D$141)/2,"")</f>
        <v>-5.5836345000000058</v>
      </c>
      <c r="EH235" s="7">
        <f>IF(137&gt;=57,('Testes estatísticos'!$D$62+'Testes estatísticos'!$D$142)/2,"")</f>
        <v>-3.8788945000000048</v>
      </c>
      <c r="EI235" s="7">
        <f>IF(138&gt;=57,('Testes estatísticos'!$D$62+'Testes estatísticos'!$D$143)/2,"")</f>
        <v>-5.5439100000000003</v>
      </c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</row>
    <row r="236" spans="2:151" x14ac:dyDescent="0.3">
      <c r="B236" s="7" t="str">
        <f>IF(1&gt;=58,('Testes estatísticos'!$D$63+'Testes estatísticos'!$D$6)/2,"")</f>
        <v/>
      </c>
      <c r="C236" s="7" t="str">
        <f>IF(2&gt;=58,('Testes estatísticos'!$D$63+'Testes estatísticos'!$D$7)/2,"")</f>
        <v/>
      </c>
      <c r="D236" s="7" t="str">
        <f>IF(3&gt;=58,('Testes estatísticos'!$D$63+'Testes estatísticos'!$D$8)/2,"")</f>
        <v/>
      </c>
      <c r="E236" s="7" t="str">
        <f>IF(4&gt;=58,('Testes estatísticos'!$D$63+'Testes estatísticos'!$D$9)/2,"")</f>
        <v/>
      </c>
      <c r="F236" s="7" t="str">
        <f>IF(5&gt;=58,('Testes estatísticos'!$D$63+'Testes estatísticos'!$D$10)/2,"")</f>
        <v/>
      </c>
      <c r="G236" s="7" t="str">
        <f>IF(6&gt;=58,('Testes estatísticos'!$D$63+'Testes estatísticos'!$D$11)/2,"")</f>
        <v/>
      </c>
      <c r="H236" s="7" t="str">
        <f>IF(7&gt;=58,('Testes estatísticos'!$D$63+'Testes estatísticos'!$D$12)/2,"")</f>
        <v/>
      </c>
      <c r="I236" s="7" t="str">
        <f>IF(8&gt;=58,('Testes estatísticos'!$D$63+'Testes estatísticos'!$D$13)/2,"")</f>
        <v/>
      </c>
      <c r="J236" s="7" t="str">
        <f>IF(9&gt;=58,('Testes estatísticos'!$D$63+'Testes estatísticos'!$D$14)/2,"")</f>
        <v/>
      </c>
      <c r="K236" s="7" t="str">
        <f>IF(10&gt;=58,('Testes estatísticos'!$D$63+'Testes estatísticos'!$D$15)/2,"")</f>
        <v/>
      </c>
      <c r="L236" s="7" t="str">
        <f>IF(11&gt;=58,('Testes estatísticos'!$D$63+'Testes estatísticos'!$D$16)/2,"")</f>
        <v/>
      </c>
      <c r="M236" s="7" t="str">
        <f>IF(12&gt;=58,('Testes estatísticos'!$D$63+'Testes estatísticos'!$D$17)/2,"")</f>
        <v/>
      </c>
      <c r="N236" s="7" t="str">
        <f>IF(13&gt;=58,('Testes estatísticos'!$D$63+'Testes estatísticos'!$D$18)/2,"")</f>
        <v/>
      </c>
      <c r="O236" s="7" t="str">
        <f>IF(14&gt;=58,('Testes estatísticos'!$D$63+'Testes estatísticos'!$D$19)/2,"")</f>
        <v/>
      </c>
      <c r="P236" s="7" t="str">
        <f>IF(15&gt;=58,('Testes estatísticos'!$D$63+'Testes estatísticos'!$D$20)/2,"")</f>
        <v/>
      </c>
      <c r="Q236" s="7" t="str">
        <f>IF(16&gt;=58,('Testes estatísticos'!$D$63+'Testes estatísticos'!$D$21)/2,"")</f>
        <v/>
      </c>
      <c r="R236" s="7" t="str">
        <f>IF(17&gt;=58,('Testes estatísticos'!$D$63+'Testes estatísticos'!$D$22)/2,"")</f>
        <v/>
      </c>
      <c r="S236" s="7" t="str">
        <f>IF(18&gt;=58,('Testes estatísticos'!$D$63+'Testes estatísticos'!$D$23)/2,"")</f>
        <v/>
      </c>
      <c r="T236" s="7" t="str">
        <f>IF(19&gt;=58,('Testes estatísticos'!$D$63+'Testes estatísticos'!$D$24)/2,"")</f>
        <v/>
      </c>
      <c r="U236" s="7" t="str">
        <f>IF(20&gt;=58,('Testes estatísticos'!$D$63+'Testes estatísticos'!$D$25)/2,"")</f>
        <v/>
      </c>
      <c r="V236" s="7" t="str">
        <f>IF(21&gt;=58,('Testes estatísticos'!$D$63+'Testes estatísticos'!$D$26)/2,"")</f>
        <v/>
      </c>
      <c r="W236" s="7" t="str">
        <f>IF(22&gt;=58,('Testes estatísticos'!$D$63+'Testes estatísticos'!$D$27)/2,"")</f>
        <v/>
      </c>
      <c r="X236" s="7" t="str">
        <f>IF(23&gt;=58,('Testes estatísticos'!$D$63+'Testes estatísticos'!$D$28)/2,"")</f>
        <v/>
      </c>
      <c r="Y236" s="7" t="str">
        <f>IF(24&gt;=58,('Testes estatísticos'!$D$63+'Testes estatísticos'!$D$29)/2,"")</f>
        <v/>
      </c>
      <c r="Z236" s="7" t="str">
        <f>IF(25&gt;=58,('Testes estatísticos'!$D$63+'Testes estatísticos'!$D$30)/2,"")</f>
        <v/>
      </c>
      <c r="AA236" s="7" t="str">
        <f>IF(26&gt;=58,('Testes estatísticos'!$D$63+'Testes estatísticos'!$D$31)/2,"")</f>
        <v/>
      </c>
      <c r="AB236" s="7" t="str">
        <f>IF(27&gt;=58,('Testes estatísticos'!$D$63+'Testes estatísticos'!$D$32)/2,"")</f>
        <v/>
      </c>
      <c r="AC236" s="7" t="str">
        <f>IF(28&gt;=58,('Testes estatísticos'!$D$63+'Testes estatísticos'!$D$33)/2,"")</f>
        <v/>
      </c>
      <c r="AD236" s="7" t="str">
        <f>IF(29&gt;=58,('Testes estatísticos'!$D$63+'Testes estatísticos'!$D$34)/2,"")</f>
        <v/>
      </c>
      <c r="AE236" s="7" t="str">
        <f>IF(30&gt;=58,('Testes estatísticos'!$D$63+'Testes estatísticos'!$D$35)/2,"")</f>
        <v/>
      </c>
      <c r="AF236" s="7" t="str">
        <f>IF(31&gt;=58,('Testes estatísticos'!$D$63+'Testes estatísticos'!$D$36)/2,"")</f>
        <v/>
      </c>
      <c r="AG236" s="7" t="str">
        <f>IF(32&gt;=58,('Testes estatísticos'!$D$63+'Testes estatísticos'!$D$37)/2,"")</f>
        <v/>
      </c>
      <c r="AH236" s="7" t="str">
        <f>IF(33&gt;=58,('Testes estatísticos'!$D$63+'Testes estatísticos'!$D$38)/2,"")</f>
        <v/>
      </c>
      <c r="AI236" s="7" t="str">
        <f>IF(34&gt;=58,('Testes estatísticos'!$D$63+'Testes estatísticos'!$D$39)/2,"")</f>
        <v/>
      </c>
      <c r="AJ236" s="7" t="str">
        <f>IF(35&gt;=58,('Testes estatísticos'!$D$63+'Testes estatísticos'!$D$40)/2,"")</f>
        <v/>
      </c>
      <c r="AK236" s="7" t="str">
        <f>IF(36&gt;=58,('Testes estatísticos'!$D$63+'Testes estatísticos'!$D$41)/2,"")</f>
        <v/>
      </c>
      <c r="AL236" s="7" t="str">
        <f>IF(37&gt;=58,('Testes estatísticos'!$D$63+'Testes estatísticos'!$D$42)/2,"")</f>
        <v/>
      </c>
      <c r="AM236" s="7" t="str">
        <f>IF(38&gt;=58,('Testes estatísticos'!$D$63+'Testes estatísticos'!$D$43)/2,"")</f>
        <v/>
      </c>
      <c r="AN236" s="7" t="str">
        <f>IF(39&gt;=58,('Testes estatísticos'!$D$63+'Testes estatísticos'!$D$44)/2,"")</f>
        <v/>
      </c>
      <c r="AO236" s="7" t="str">
        <f>IF(40&gt;=58,('Testes estatísticos'!$D$63+'Testes estatísticos'!$D$45)/2,"")</f>
        <v/>
      </c>
      <c r="AP236" s="7" t="str">
        <f>IF(41&gt;=58,('Testes estatísticos'!$D$63+'Testes estatísticos'!$D$46)/2,"")</f>
        <v/>
      </c>
      <c r="AQ236" s="7" t="str">
        <f>IF(42&gt;=58,('Testes estatísticos'!$D$63+'Testes estatísticos'!$D$47)/2,"")</f>
        <v/>
      </c>
      <c r="AR236" s="7" t="str">
        <f>IF(43&gt;=58,('Testes estatísticos'!$D$63+'Testes estatísticos'!$D$48)/2,"")</f>
        <v/>
      </c>
      <c r="AS236" s="7" t="str">
        <f>IF(44&gt;=58,('Testes estatísticos'!$D$63+'Testes estatísticos'!$D$49)/2,"")</f>
        <v/>
      </c>
      <c r="AT236" s="7" t="str">
        <f>IF(45&gt;=58,('Testes estatísticos'!$D$63+'Testes estatísticos'!$D$50)/2,"")</f>
        <v/>
      </c>
      <c r="AU236" s="7" t="str">
        <f>IF(46&gt;=58,('Testes estatísticos'!$D$63+'Testes estatísticos'!$D$51)/2,"")</f>
        <v/>
      </c>
      <c r="AV236" s="7" t="str">
        <f>IF(47&gt;=58,('Testes estatísticos'!$D$63+'Testes estatísticos'!$D$52)/2,"")</f>
        <v/>
      </c>
      <c r="AW236" s="7" t="str">
        <f>IF(48&gt;=58,('Testes estatísticos'!$D$63+'Testes estatísticos'!$D$53)/2,"")</f>
        <v/>
      </c>
      <c r="AX236" s="7" t="str">
        <f>IF(49&gt;=58,('Testes estatísticos'!$D$63+'Testes estatísticos'!$D$54)/2,"")</f>
        <v/>
      </c>
      <c r="AY236" s="7" t="str">
        <f>IF(50&gt;=58,('Testes estatísticos'!$D$63+'Testes estatísticos'!$D$55)/2,"")</f>
        <v/>
      </c>
      <c r="AZ236" s="7" t="str">
        <f>IF(51&gt;=58,('Testes estatísticos'!$D$63+'Testes estatísticos'!$D$56)/2,"")</f>
        <v/>
      </c>
      <c r="BA236" s="7" t="str">
        <f>IF(52&gt;=58,('Testes estatísticos'!$D$63+'Testes estatísticos'!$D$57)/2,"")</f>
        <v/>
      </c>
      <c r="BB236" s="7" t="str">
        <f>IF(53&gt;=58,('Testes estatísticos'!$D$63+'Testes estatísticos'!$D$58)/2,"")</f>
        <v/>
      </c>
      <c r="BC236" s="7" t="str">
        <f>IF(54&gt;=58,('Testes estatísticos'!$D$63+'Testes estatísticos'!$D$59)/2,"")</f>
        <v/>
      </c>
      <c r="BD236" s="7" t="str">
        <f>IF(55&gt;=58,('Testes estatísticos'!$D$63+'Testes estatísticos'!$D$60)/2,"")</f>
        <v/>
      </c>
      <c r="BE236" s="7" t="str">
        <f>IF(56&gt;=58,('Testes estatísticos'!$D$63+'Testes estatísticos'!$D$61)/2,"")</f>
        <v/>
      </c>
      <c r="BF236" s="7" t="str">
        <f>IF(57&gt;=58,('Testes estatísticos'!$D$63+'Testes estatísticos'!$D$62)/2,"")</f>
        <v/>
      </c>
      <c r="BG236" s="7">
        <f>IF(58&gt;=58,('Testes estatísticos'!$D$63+'Testes estatísticos'!$D$63)/2,"")</f>
        <v>3.2302850000000021</v>
      </c>
      <c r="BH236" s="7">
        <f>IF(59&gt;=58,('Testes estatísticos'!$D$63+'Testes estatísticos'!$D$64)/2,"")</f>
        <v>-2.6133275000000005</v>
      </c>
      <c r="BI236" s="7">
        <f>IF(60&gt;=58,('Testes estatísticos'!$D$63+'Testes estatísticos'!$D$65)/2,"")</f>
        <v>-0.86573649999999702</v>
      </c>
      <c r="BJ236" s="7">
        <f>IF(61&gt;=58,('Testes estatísticos'!$D$63+'Testes estatísticos'!$D$66)/2,"")</f>
        <v>1.7693185000000007</v>
      </c>
      <c r="BK236" s="7">
        <f>IF(62&gt;=58,('Testes estatísticos'!$D$63+'Testes estatísticos'!$D$67)/2,"")</f>
        <v>1.2605235000000015</v>
      </c>
      <c r="BL236" s="7">
        <f>IF(63&gt;=58,('Testes estatísticos'!$D$63+'Testes estatísticos'!$D$68)/2,"")</f>
        <v>2.1598380000000006</v>
      </c>
      <c r="BM236" s="7">
        <f>IF(64&gt;=58,('Testes estatísticos'!$D$63+'Testes estatísticos'!$D$69)/2,"")</f>
        <v>2.21068</v>
      </c>
      <c r="BN236" s="7">
        <f>IF(65&gt;=58,('Testes estatísticos'!$D$63+'Testes estatísticos'!$D$70)/2,"")</f>
        <v>6.4873500000000917E-2</v>
      </c>
      <c r="BO236" s="7">
        <f>IF(66&gt;=58,('Testes estatísticos'!$D$63+'Testes estatísticos'!$D$71)/2,"")</f>
        <v>0.96072600000000108</v>
      </c>
      <c r="BP236" s="7">
        <f>IF(67&gt;=58,('Testes estatísticos'!$D$63+'Testes estatísticos'!$D$72)/2,"")</f>
        <v>-1.9297329999999988</v>
      </c>
      <c r="BQ236" s="7">
        <f>IF(68&gt;=58,('Testes estatísticos'!$D$63+'Testes estatísticos'!$D$73)/2,"")</f>
        <v>2.7334999999999994</v>
      </c>
      <c r="BR236" s="7">
        <f>IF(69&gt;=58,('Testes estatísticos'!$D$63+'Testes estatísticos'!$D$74)/2,"")</f>
        <v>3.3656819999999996</v>
      </c>
      <c r="BS236" s="7">
        <f>IF(70&gt;=58,('Testes estatísticos'!$D$63+'Testes estatísticos'!$D$75)/2,"")</f>
        <v>2.3612174999999986</v>
      </c>
      <c r="BT236" s="7">
        <f>IF(71&gt;=58,('Testes estatísticos'!$D$63+'Testes estatísticos'!$D$76)/2,"")</f>
        <v>3.9355824999999989</v>
      </c>
      <c r="BU236" s="7">
        <f>IF(72&gt;=58,('Testes estatísticos'!$D$63+'Testes estatísticos'!$D$77)/2,"")</f>
        <v>-1.6641145000000002</v>
      </c>
      <c r="BV236" s="7">
        <f>IF(73&gt;=58,('Testes estatísticos'!$D$63+'Testes estatísticos'!$D$78)/2,"")</f>
        <v>0.4093599999999995</v>
      </c>
      <c r="BW236" s="7">
        <f>IF(74&gt;=58,('Testes estatísticos'!$D$63+'Testes estatísticos'!$D$79)/2,"")</f>
        <v>-0.27395849999999911</v>
      </c>
      <c r="BX236" s="7">
        <f>IF(75&gt;=58,('Testes estatísticos'!$D$63+'Testes estatísticos'!$D$80)/2,"")</f>
        <v>-0.29573650000000029</v>
      </c>
      <c r="BY236" s="7">
        <f>IF(76&gt;=58,('Testes estatísticos'!$D$63+'Testes estatísticos'!$D$81)/2,"")</f>
        <v>3.8357215000000018</v>
      </c>
      <c r="BZ236" s="7">
        <f>IF(77&gt;=58,('Testes estatísticos'!$D$63+'Testes estatísticos'!$D$82)/2,"")</f>
        <v>-1.4258679999999977</v>
      </c>
      <c r="CA236" s="7">
        <f>IF(78&gt;=58,('Testes estatísticos'!$D$63+'Testes estatísticos'!$D$83)/2,"")</f>
        <v>0.33439100000000366</v>
      </c>
      <c r="CB236" s="7">
        <f>IF(79&gt;=58,('Testes estatísticos'!$D$63+'Testes estatísticos'!$D$84)/2,"")</f>
        <v>0.38611350000000044</v>
      </c>
      <c r="CC236" s="7">
        <f>IF(80&gt;=58,('Testes estatísticos'!$D$63+'Testes estatísticos'!$D$85)/2,"")</f>
        <v>-1.4209029999999991</v>
      </c>
      <c r="CD236" s="7">
        <f>IF(81&gt;=58,('Testes estatísticos'!$D$63+'Testes estatísticos'!$D$86)/2,"")</f>
        <v>-1.4710479999999997</v>
      </c>
      <c r="CE236" s="7">
        <f>IF(82&gt;=58,('Testes estatísticos'!$D$63+'Testes estatísticos'!$D$87)/2,"")</f>
        <v>0.6067424999999993</v>
      </c>
      <c r="CF236" s="7">
        <f>IF(83&gt;=58,('Testes estatísticos'!$D$63+'Testes estatísticos'!$D$88)/2,"")</f>
        <v>7.7935499999998825E-2</v>
      </c>
      <c r="CG236" s="7">
        <f>IF(84&gt;=58,('Testes estatísticos'!$D$63+'Testes estatísticos'!$D$89)/2,"")</f>
        <v>-0.25397149999999868</v>
      </c>
      <c r="CH236" s="7">
        <f>IF(85&gt;=58,('Testes estatísticos'!$D$63+'Testes estatísticos'!$D$90)/2,"")</f>
        <v>1.5615755</v>
      </c>
      <c r="CI236" s="7">
        <f>IF(86&gt;=58,('Testes estatísticos'!$D$63+'Testes estatísticos'!$D$91)/2,"")</f>
        <v>-1.1285839999999965</v>
      </c>
      <c r="CJ236" s="7">
        <f>IF(87&gt;=58,('Testes estatísticos'!$D$63+'Testes estatísticos'!$D$92)/2,"")</f>
        <v>0.11362250000000174</v>
      </c>
      <c r="CK236" s="7">
        <f>IF(88&gt;=58,('Testes estatísticos'!$D$63+'Testes estatísticos'!$D$93)/2,"")</f>
        <v>0.3577060000000003</v>
      </c>
      <c r="CL236" s="7">
        <f>IF(89&gt;=58,('Testes estatísticos'!$D$63+'Testes estatísticos'!$D$94)/2,"")</f>
        <v>-0.25388600000000139</v>
      </c>
      <c r="CM236" s="7">
        <f>IF(90&gt;=58,('Testes estatísticos'!$D$63+'Testes estatísticos'!$D$95)/2,"")</f>
        <v>-2.5880179999999982</v>
      </c>
      <c r="CN236" s="7">
        <f>IF(91&gt;=58,('Testes estatísticos'!$D$63+'Testes estatísticos'!$D$96)/2,"")</f>
        <v>-4.9494999999996736E-2</v>
      </c>
      <c r="CO236" s="7">
        <f>IF(92&gt;=58,('Testes estatísticos'!$D$63+'Testes estatísticos'!$D$97)/2,"")</f>
        <v>-0.39599849999999748</v>
      </c>
      <c r="CP236" s="7">
        <f>IF(93&gt;=58,('Testes estatísticos'!$D$63+'Testes estatísticos'!$D$98)/2,"")</f>
        <v>-0.60075049999999663</v>
      </c>
      <c r="CQ236" s="7">
        <f>IF(94&gt;=58,('Testes estatísticos'!$D$63+'Testes estatísticos'!$D$99)/2,"")</f>
        <v>1.5804074999999997</v>
      </c>
      <c r="CR236" s="7">
        <f>IF(95&gt;=58,('Testes estatísticos'!$D$63+'Testes estatísticos'!$D$100)/2,"")</f>
        <v>-0.32538549999999944</v>
      </c>
      <c r="CS236" s="7">
        <f>IF(96&gt;=58,('Testes estatísticos'!$D$63+'Testes estatísticos'!$D$101)/2,"")</f>
        <v>-0.28139850000000166</v>
      </c>
      <c r="CT236" s="7">
        <f>IF(97&gt;=58,('Testes estatísticos'!$D$63+'Testes estatísticos'!$D$102)/2,"")</f>
        <v>-4.8348000000000724E-2</v>
      </c>
      <c r="CU236" s="7">
        <f>IF(98&gt;=58,('Testes estatísticos'!$D$63+'Testes estatísticos'!$D$103)/2,"")</f>
        <v>8.978000000002595E-3</v>
      </c>
      <c r="CV236" s="7">
        <f>IF(99&gt;=58,('Testes estatísticos'!$D$63+'Testes estatísticos'!$D$104)/2,"")</f>
        <v>-0.42584799999999845</v>
      </c>
      <c r="CW236" s="7">
        <f>IF(100&gt;=58,('Testes estatísticos'!$D$63+'Testes estatísticos'!$D$105)/2,"")</f>
        <v>-0.52531399999999806</v>
      </c>
      <c r="CX236" s="7">
        <f>IF(101&gt;=58,('Testes estatísticos'!$D$63+'Testes estatísticos'!$D$106)/2,"")</f>
        <v>-2.3874999999975444E-3</v>
      </c>
      <c r="CY236" s="7">
        <f>IF(102&gt;=58,('Testes estatísticos'!$D$63+'Testes estatísticos'!$D$107)/2,"")</f>
        <v>-5.805249999999873E-2</v>
      </c>
      <c r="CZ236" s="7">
        <f>IF(103&gt;=58,('Testes estatísticos'!$D$63+'Testes estatísticos'!$D$108)/2,"")</f>
        <v>-0.58221899999999849</v>
      </c>
      <c r="DA236" s="7">
        <f>IF(104&gt;=58,('Testes estatísticos'!$D$63+'Testes estatísticos'!$D$109)/2,"")</f>
        <v>-0.31958499999999646</v>
      </c>
      <c r="DB236" s="7">
        <f>IF(105&gt;=58,('Testes estatísticos'!$D$63+'Testes estatísticos'!$D$110)/2,"")</f>
        <v>-0.28525399999999834</v>
      </c>
      <c r="DC236" s="7">
        <f>IF(106&gt;=58,('Testes estatísticos'!$D$63+'Testes estatísticos'!$D$111)/2,"")</f>
        <v>0.45766700000000071</v>
      </c>
      <c r="DD236" s="7">
        <f>IF(107&gt;=58,('Testes estatísticos'!$D$63+'Testes estatísticos'!$D$112)/2,"")</f>
        <v>3.950838000000001</v>
      </c>
      <c r="DE236" s="7">
        <f>IF(108&gt;=58,('Testes estatísticos'!$D$63+'Testes estatísticos'!$D$113)/2,"")</f>
        <v>0.52820250000000257</v>
      </c>
      <c r="DF236" s="7">
        <f>IF(109&gt;=58,('Testes estatísticos'!$D$63+'Testes estatísticos'!$D$114)/2,"")</f>
        <v>0.49194550000000348</v>
      </c>
      <c r="DG236" s="7">
        <f>IF(110&gt;=58,('Testes estatísticos'!$D$63+'Testes estatísticos'!$D$115)/2,"")</f>
        <v>-5.0551940000000002</v>
      </c>
      <c r="DH236" s="7">
        <f>IF(111&gt;=58,('Testes estatísticos'!$D$63+'Testes estatísticos'!$D$116)/2,"")</f>
        <v>0.62563650000000237</v>
      </c>
      <c r="DI236" s="7">
        <f>IF(112&gt;=58,('Testes estatísticos'!$D$63+'Testes estatísticos'!$D$117)/2,"")</f>
        <v>6.0540765000000007</v>
      </c>
      <c r="DJ236" s="7">
        <f>IF(113&gt;=58,('Testes estatísticos'!$D$63+'Testes estatísticos'!$D$118)/2,"")</f>
        <v>0.59751950000000065</v>
      </c>
      <c r="DK236" s="7">
        <f>IF(114&gt;=58,('Testes estatísticos'!$D$63+'Testes estatísticos'!$D$119)/2,"")</f>
        <v>0.49576950000000153</v>
      </c>
      <c r="DL236" s="7">
        <f>IF(115&gt;=58,('Testes estatísticos'!$D$63+'Testes estatísticos'!$D$120)/2,"")</f>
        <v>0.54224700000000325</v>
      </c>
      <c r="DM236" s="7">
        <f>IF(116&gt;=58,('Testes estatísticos'!$D$63+'Testes estatísticos'!$D$121)/2,"")</f>
        <v>0.55084950000000177</v>
      </c>
      <c r="DN236" s="7">
        <f>IF(117&gt;=58,('Testes estatísticos'!$D$63+'Testes estatísticos'!$D$122)/2,"")</f>
        <v>0.5739175000000003</v>
      </c>
      <c r="DO236" s="7">
        <f>IF(118&gt;=58,('Testes estatísticos'!$D$63+'Testes estatísticos'!$D$123)/2,"")</f>
        <v>0.62382799999999961</v>
      </c>
      <c r="DP236" s="7">
        <f>IF(119&gt;=58,('Testes estatísticos'!$D$63+'Testes estatísticos'!$D$124)/2,"")</f>
        <v>0.60261649999999989</v>
      </c>
      <c r="DQ236" s="7">
        <f>IF(120&gt;=58,('Testes estatísticos'!$D$63+'Testes estatísticos'!$D$125)/2,"")</f>
        <v>3.6542310000000029</v>
      </c>
      <c r="DR236" s="7">
        <f>IF(121&gt;=58,('Testes estatísticos'!$D$63+'Testes estatísticos'!$D$126)/2,"")</f>
        <v>0.86521450000000044</v>
      </c>
      <c r="DS236" s="7">
        <f>IF(122&gt;=58,('Testes estatísticos'!$D$63+'Testes estatísticos'!$D$127)/2,"")</f>
        <v>-0.20019399999999621</v>
      </c>
      <c r="DT236" s="7">
        <f>IF(123&gt;=58,('Testes estatísticos'!$D$63+'Testes estatísticos'!$D$128)/2,"")</f>
        <v>5.8686754999999984</v>
      </c>
      <c r="DU236" s="7">
        <f>IF(124&gt;=58,('Testes estatísticos'!$D$63+'Testes estatísticos'!$D$129)/2,"")</f>
        <v>0.97290399999999977</v>
      </c>
      <c r="DV236" s="7">
        <f>IF(125&gt;=58,('Testes estatísticos'!$D$63+'Testes estatísticos'!$D$130)/2,"")</f>
        <v>2.1312114999999991</v>
      </c>
      <c r="DW236" s="7">
        <f>IF(126&gt;=58,('Testes estatísticos'!$D$63+'Testes estatísticos'!$D$131)/2,"")</f>
        <v>-0.27226449999999858</v>
      </c>
      <c r="DX236" s="7">
        <f>IF(127&gt;=58,('Testes estatísticos'!$D$63+'Testes estatísticos'!$D$132)/2,"")</f>
        <v>-2.3284559999999992</v>
      </c>
      <c r="DY236" s="7">
        <f>IF(128&gt;=58,('Testes estatísticos'!$D$63+'Testes estatísticos'!$D$133)/2,"")</f>
        <v>-2.6695454999999981</v>
      </c>
      <c r="DZ236" s="7">
        <f>IF(129&gt;=58,('Testes estatísticos'!$D$63+'Testes estatísticos'!$D$134)/2,"")</f>
        <v>-6.0933354999999985</v>
      </c>
      <c r="EA236" s="7">
        <f>IF(130&gt;=58,('Testes estatísticos'!$D$63+'Testes estatísticos'!$D$135)/2,"")</f>
        <v>-0.3315654999999964</v>
      </c>
      <c r="EB236" s="7">
        <f>IF(131&gt;=58,('Testes estatísticos'!$D$63+'Testes estatísticos'!$D$136)/2,"")</f>
        <v>-0.24369250000000164</v>
      </c>
      <c r="EC236" s="7">
        <f>IF(132&gt;=58,('Testes estatísticos'!$D$63+'Testes estatísticos'!$D$137)/2,"")</f>
        <v>-1.7304290000000009</v>
      </c>
      <c r="ED236" s="7">
        <f>IF(133&gt;=58,('Testes estatísticos'!$D$63+'Testes estatísticos'!$D$138)/2,"")</f>
        <v>0.45850850000000065</v>
      </c>
      <c r="EE236" s="7">
        <f>IF(134&gt;=58,('Testes estatísticos'!$D$63+'Testes estatísticos'!$D$139)/2,"")</f>
        <v>-1.8386820000000021</v>
      </c>
      <c r="EF236" s="7">
        <f>IF(135&gt;=58,('Testes estatísticos'!$D$63+'Testes estatísticos'!$D$140)/2,"")</f>
        <v>1.3757505000000023</v>
      </c>
      <c r="EG236" s="7">
        <f>IF(136&gt;=58,('Testes estatísticos'!$D$63+'Testes estatísticos'!$D$141)/2,"")</f>
        <v>-0.31773950000000184</v>
      </c>
      <c r="EH236" s="7">
        <f>IF(137&gt;=58,('Testes estatísticos'!$D$63+'Testes estatísticos'!$D$142)/2,"")</f>
        <v>1.3870004999999992</v>
      </c>
      <c r="EI236" s="7">
        <f>IF(138&gt;=58,('Testes estatísticos'!$D$63+'Testes estatísticos'!$D$143)/2,"")</f>
        <v>-0.27801499999999635</v>
      </c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</row>
    <row r="237" spans="2:151" x14ac:dyDescent="0.3">
      <c r="B237" s="7" t="str">
        <f>IF(1&gt;=59,('Testes estatísticos'!$D$64+'Testes estatísticos'!$D$6)/2,"")</f>
        <v/>
      </c>
      <c r="C237" s="7" t="str">
        <f>IF(2&gt;=59,('Testes estatísticos'!$D$64+'Testes estatísticos'!$D$7)/2,"")</f>
        <v/>
      </c>
      <c r="D237" s="7" t="str">
        <f>IF(3&gt;=59,('Testes estatísticos'!$D$64+'Testes estatísticos'!$D$8)/2,"")</f>
        <v/>
      </c>
      <c r="E237" s="7" t="str">
        <f>IF(4&gt;=59,('Testes estatísticos'!$D$64+'Testes estatísticos'!$D$9)/2,"")</f>
        <v/>
      </c>
      <c r="F237" s="7" t="str">
        <f>IF(5&gt;=59,('Testes estatísticos'!$D$64+'Testes estatísticos'!$D$10)/2,"")</f>
        <v/>
      </c>
      <c r="G237" s="7" t="str">
        <f>IF(6&gt;=59,('Testes estatísticos'!$D$64+'Testes estatísticos'!$D$11)/2,"")</f>
        <v/>
      </c>
      <c r="H237" s="7" t="str">
        <f>IF(7&gt;=59,('Testes estatísticos'!$D$64+'Testes estatísticos'!$D$12)/2,"")</f>
        <v/>
      </c>
      <c r="I237" s="7" t="str">
        <f>IF(8&gt;=59,('Testes estatísticos'!$D$64+'Testes estatísticos'!$D$13)/2,"")</f>
        <v/>
      </c>
      <c r="J237" s="7" t="str">
        <f>IF(9&gt;=59,('Testes estatísticos'!$D$64+'Testes estatísticos'!$D$14)/2,"")</f>
        <v/>
      </c>
      <c r="K237" s="7" t="str">
        <f>IF(10&gt;=59,('Testes estatísticos'!$D$64+'Testes estatísticos'!$D$15)/2,"")</f>
        <v/>
      </c>
      <c r="L237" s="7" t="str">
        <f>IF(11&gt;=59,('Testes estatísticos'!$D$64+'Testes estatísticos'!$D$16)/2,"")</f>
        <v/>
      </c>
      <c r="M237" s="7" t="str">
        <f>IF(12&gt;=59,('Testes estatísticos'!$D$64+'Testes estatísticos'!$D$17)/2,"")</f>
        <v/>
      </c>
      <c r="N237" s="7" t="str">
        <f>IF(13&gt;=59,('Testes estatísticos'!$D$64+'Testes estatísticos'!$D$18)/2,"")</f>
        <v/>
      </c>
      <c r="O237" s="7" t="str">
        <f>IF(14&gt;=59,('Testes estatísticos'!$D$64+'Testes estatísticos'!$D$19)/2,"")</f>
        <v/>
      </c>
      <c r="P237" s="7" t="str">
        <f>IF(15&gt;=59,('Testes estatísticos'!$D$64+'Testes estatísticos'!$D$20)/2,"")</f>
        <v/>
      </c>
      <c r="Q237" s="7" t="str">
        <f>IF(16&gt;=59,('Testes estatísticos'!$D$64+'Testes estatísticos'!$D$21)/2,"")</f>
        <v/>
      </c>
      <c r="R237" s="7" t="str">
        <f>IF(17&gt;=59,('Testes estatísticos'!$D$64+'Testes estatísticos'!$D$22)/2,"")</f>
        <v/>
      </c>
      <c r="S237" s="7" t="str">
        <f>IF(18&gt;=59,('Testes estatísticos'!$D$64+'Testes estatísticos'!$D$23)/2,"")</f>
        <v/>
      </c>
      <c r="T237" s="7" t="str">
        <f>IF(19&gt;=59,('Testes estatísticos'!$D$64+'Testes estatísticos'!$D$24)/2,"")</f>
        <v/>
      </c>
      <c r="U237" s="7" t="str">
        <f>IF(20&gt;=59,('Testes estatísticos'!$D$64+'Testes estatísticos'!$D$25)/2,"")</f>
        <v/>
      </c>
      <c r="V237" s="7" t="str">
        <f>IF(21&gt;=59,('Testes estatísticos'!$D$64+'Testes estatísticos'!$D$26)/2,"")</f>
        <v/>
      </c>
      <c r="W237" s="7" t="str">
        <f>IF(22&gt;=59,('Testes estatísticos'!$D$64+'Testes estatísticos'!$D$27)/2,"")</f>
        <v/>
      </c>
      <c r="X237" s="7" t="str">
        <f>IF(23&gt;=59,('Testes estatísticos'!$D$64+'Testes estatísticos'!$D$28)/2,"")</f>
        <v/>
      </c>
      <c r="Y237" s="7" t="str">
        <f>IF(24&gt;=59,('Testes estatísticos'!$D$64+'Testes estatísticos'!$D$29)/2,"")</f>
        <v/>
      </c>
      <c r="Z237" s="7" t="str">
        <f>IF(25&gt;=59,('Testes estatísticos'!$D$64+'Testes estatísticos'!$D$30)/2,"")</f>
        <v/>
      </c>
      <c r="AA237" s="7" t="str">
        <f>IF(26&gt;=59,('Testes estatísticos'!$D$64+'Testes estatísticos'!$D$31)/2,"")</f>
        <v/>
      </c>
      <c r="AB237" s="7" t="str">
        <f>IF(27&gt;=59,('Testes estatísticos'!$D$64+'Testes estatísticos'!$D$32)/2,"")</f>
        <v/>
      </c>
      <c r="AC237" s="7" t="str">
        <f>IF(28&gt;=59,('Testes estatísticos'!$D$64+'Testes estatísticos'!$D$33)/2,"")</f>
        <v/>
      </c>
      <c r="AD237" s="7" t="str">
        <f>IF(29&gt;=59,('Testes estatísticos'!$D$64+'Testes estatísticos'!$D$34)/2,"")</f>
        <v/>
      </c>
      <c r="AE237" s="7" t="str">
        <f>IF(30&gt;=59,('Testes estatísticos'!$D$64+'Testes estatísticos'!$D$35)/2,"")</f>
        <v/>
      </c>
      <c r="AF237" s="7" t="str">
        <f>IF(31&gt;=59,('Testes estatísticos'!$D$64+'Testes estatísticos'!$D$36)/2,"")</f>
        <v/>
      </c>
      <c r="AG237" s="7" t="str">
        <f>IF(32&gt;=59,('Testes estatísticos'!$D$64+'Testes estatísticos'!$D$37)/2,"")</f>
        <v/>
      </c>
      <c r="AH237" s="7" t="str">
        <f>IF(33&gt;=59,('Testes estatísticos'!$D$64+'Testes estatísticos'!$D$38)/2,"")</f>
        <v/>
      </c>
      <c r="AI237" s="7" t="str">
        <f>IF(34&gt;=59,('Testes estatísticos'!$D$64+'Testes estatísticos'!$D$39)/2,"")</f>
        <v/>
      </c>
      <c r="AJ237" s="7" t="str">
        <f>IF(35&gt;=59,('Testes estatísticos'!$D$64+'Testes estatísticos'!$D$40)/2,"")</f>
        <v/>
      </c>
      <c r="AK237" s="7" t="str">
        <f>IF(36&gt;=59,('Testes estatísticos'!$D$64+'Testes estatísticos'!$D$41)/2,"")</f>
        <v/>
      </c>
      <c r="AL237" s="7" t="str">
        <f>IF(37&gt;=59,('Testes estatísticos'!$D$64+'Testes estatísticos'!$D$42)/2,"")</f>
        <v/>
      </c>
      <c r="AM237" s="7" t="str">
        <f>IF(38&gt;=59,('Testes estatísticos'!$D$64+'Testes estatísticos'!$D$43)/2,"")</f>
        <v/>
      </c>
      <c r="AN237" s="7" t="str">
        <f>IF(39&gt;=59,('Testes estatísticos'!$D$64+'Testes estatísticos'!$D$44)/2,"")</f>
        <v/>
      </c>
      <c r="AO237" s="7" t="str">
        <f>IF(40&gt;=59,('Testes estatísticos'!$D$64+'Testes estatísticos'!$D$45)/2,"")</f>
        <v/>
      </c>
      <c r="AP237" s="7" t="str">
        <f>IF(41&gt;=59,('Testes estatísticos'!$D$64+'Testes estatísticos'!$D$46)/2,"")</f>
        <v/>
      </c>
      <c r="AQ237" s="7" t="str">
        <f>IF(42&gt;=59,('Testes estatísticos'!$D$64+'Testes estatísticos'!$D$47)/2,"")</f>
        <v/>
      </c>
      <c r="AR237" s="7" t="str">
        <f>IF(43&gt;=59,('Testes estatísticos'!$D$64+'Testes estatísticos'!$D$48)/2,"")</f>
        <v/>
      </c>
      <c r="AS237" s="7" t="str">
        <f>IF(44&gt;=59,('Testes estatísticos'!$D$64+'Testes estatísticos'!$D$49)/2,"")</f>
        <v/>
      </c>
      <c r="AT237" s="7" t="str">
        <f>IF(45&gt;=59,('Testes estatísticos'!$D$64+'Testes estatísticos'!$D$50)/2,"")</f>
        <v/>
      </c>
      <c r="AU237" s="7" t="str">
        <f>IF(46&gt;=59,('Testes estatísticos'!$D$64+'Testes estatísticos'!$D$51)/2,"")</f>
        <v/>
      </c>
      <c r="AV237" s="7" t="str">
        <f>IF(47&gt;=59,('Testes estatísticos'!$D$64+'Testes estatísticos'!$D$52)/2,"")</f>
        <v/>
      </c>
      <c r="AW237" s="7" t="str">
        <f>IF(48&gt;=59,('Testes estatísticos'!$D$64+'Testes estatísticos'!$D$53)/2,"")</f>
        <v/>
      </c>
      <c r="AX237" s="7" t="str">
        <f>IF(49&gt;=59,('Testes estatísticos'!$D$64+'Testes estatísticos'!$D$54)/2,"")</f>
        <v/>
      </c>
      <c r="AY237" s="7" t="str">
        <f>IF(50&gt;=59,('Testes estatísticos'!$D$64+'Testes estatísticos'!$D$55)/2,"")</f>
        <v/>
      </c>
      <c r="AZ237" s="7" t="str">
        <f>IF(51&gt;=59,('Testes estatísticos'!$D$64+'Testes estatísticos'!$D$56)/2,"")</f>
        <v/>
      </c>
      <c r="BA237" s="7" t="str">
        <f>IF(52&gt;=59,('Testes estatísticos'!$D$64+'Testes estatísticos'!$D$57)/2,"")</f>
        <v/>
      </c>
      <c r="BB237" s="7" t="str">
        <f>IF(53&gt;=59,('Testes estatísticos'!$D$64+'Testes estatísticos'!$D$58)/2,"")</f>
        <v/>
      </c>
      <c r="BC237" s="7" t="str">
        <f>IF(54&gt;=59,('Testes estatísticos'!$D$64+'Testes estatísticos'!$D$59)/2,"")</f>
        <v/>
      </c>
      <c r="BD237" s="7" t="str">
        <f>IF(55&gt;=59,('Testes estatísticos'!$D$64+'Testes estatísticos'!$D$60)/2,"")</f>
        <v/>
      </c>
      <c r="BE237" s="7" t="str">
        <f>IF(56&gt;=59,('Testes estatísticos'!$D$64+'Testes estatísticos'!$D$61)/2,"")</f>
        <v/>
      </c>
      <c r="BF237" s="7" t="str">
        <f>IF(57&gt;=59,('Testes estatísticos'!$D$64+'Testes estatísticos'!$D$62)/2,"")</f>
        <v/>
      </c>
      <c r="BG237" s="7" t="str">
        <f>IF(58&gt;=59,('Testes estatísticos'!$D$64+'Testes estatísticos'!$D$63)/2,"")</f>
        <v/>
      </c>
      <c r="BH237" s="7">
        <f>IF(59&gt;=59,('Testes estatísticos'!$D$64+'Testes estatísticos'!$D$64)/2,"")</f>
        <v>-8.456940000000003</v>
      </c>
      <c r="BI237" s="7">
        <f>IF(60&gt;=59,('Testes estatísticos'!$D$64+'Testes estatísticos'!$D$65)/2,"")</f>
        <v>-6.7093489999999996</v>
      </c>
      <c r="BJ237" s="7">
        <f>IF(61&gt;=59,('Testes estatísticos'!$D$64+'Testes estatísticos'!$D$66)/2,"")</f>
        <v>-4.0742940000000019</v>
      </c>
      <c r="BK237" s="7">
        <f>IF(62&gt;=59,('Testes estatísticos'!$D$64+'Testes estatísticos'!$D$67)/2,"")</f>
        <v>-4.5830890000000011</v>
      </c>
      <c r="BL237" s="7">
        <f>IF(63&gt;=59,('Testes estatísticos'!$D$64+'Testes estatísticos'!$D$68)/2,"")</f>
        <v>-3.683774500000002</v>
      </c>
      <c r="BM237" s="7">
        <f>IF(64&gt;=59,('Testes estatísticos'!$D$64+'Testes estatísticos'!$D$69)/2,"")</f>
        <v>-3.6329325000000026</v>
      </c>
      <c r="BN237" s="7">
        <f>IF(65&gt;=59,('Testes estatísticos'!$D$64+'Testes estatísticos'!$D$70)/2,"")</f>
        <v>-5.7787390000000016</v>
      </c>
      <c r="BO237" s="7">
        <f>IF(66&gt;=59,('Testes estatísticos'!$D$64+'Testes estatísticos'!$D$71)/2,"")</f>
        <v>-4.8828865000000015</v>
      </c>
      <c r="BP237" s="7">
        <f>IF(67&gt;=59,('Testes estatísticos'!$D$64+'Testes estatísticos'!$D$72)/2,"")</f>
        <v>-7.7733455000000014</v>
      </c>
      <c r="BQ237" s="7">
        <f>IF(68&gt;=59,('Testes estatísticos'!$D$64+'Testes estatísticos'!$D$73)/2,"")</f>
        <v>-3.1101125000000032</v>
      </c>
      <c r="BR237" s="7">
        <f>IF(69&gt;=59,('Testes estatísticos'!$D$64+'Testes estatísticos'!$D$74)/2,"")</f>
        <v>-2.4779305000000029</v>
      </c>
      <c r="BS237" s="7">
        <f>IF(70&gt;=59,('Testes estatísticos'!$D$64+'Testes estatísticos'!$D$75)/2,"")</f>
        <v>-3.4823950000000039</v>
      </c>
      <c r="BT237" s="7">
        <f>IF(71&gt;=59,('Testes estatísticos'!$D$64+'Testes estatísticos'!$D$76)/2,"")</f>
        <v>-1.9080300000000037</v>
      </c>
      <c r="BU237" s="7">
        <f>IF(72&gt;=59,('Testes estatísticos'!$D$64+'Testes estatísticos'!$D$77)/2,"")</f>
        <v>-7.5077270000000027</v>
      </c>
      <c r="BV237" s="7">
        <f>IF(73&gt;=59,('Testes estatísticos'!$D$64+'Testes estatísticos'!$D$78)/2,"")</f>
        <v>-5.434252500000003</v>
      </c>
      <c r="BW237" s="7">
        <f>IF(74&gt;=59,('Testes estatísticos'!$D$64+'Testes estatísticos'!$D$79)/2,"")</f>
        <v>-6.1175710000000016</v>
      </c>
      <c r="BX237" s="7">
        <f>IF(75&gt;=59,('Testes estatísticos'!$D$64+'Testes estatísticos'!$D$80)/2,"")</f>
        <v>-6.1393490000000028</v>
      </c>
      <c r="BY237" s="7">
        <f>IF(76&gt;=59,('Testes estatísticos'!$D$64+'Testes estatísticos'!$D$81)/2,"")</f>
        <v>-2.0078910000000008</v>
      </c>
      <c r="BZ237" s="7">
        <f>IF(77&gt;=59,('Testes estatísticos'!$D$64+'Testes estatísticos'!$D$82)/2,"")</f>
        <v>-7.2694805000000002</v>
      </c>
      <c r="CA237" s="7">
        <f>IF(78&gt;=59,('Testes estatísticos'!$D$64+'Testes estatísticos'!$D$83)/2,"")</f>
        <v>-5.5092214999999989</v>
      </c>
      <c r="CB237" s="7">
        <f>IF(79&gt;=59,('Testes estatísticos'!$D$64+'Testes estatísticos'!$D$84)/2,"")</f>
        <v>-5.4574990000000021</v>
      </c>
      <c r="CC237" s="7">
        <f>IF(80&gt;=59,('Testes estatísticos'!$D$64+'Testes estatísticos'!$D$85)/2,"")</f>
        <v>-7.2645155000000017</v>
      </c>
      <c r="CD237" s="7">
        <f>IF(81&gt;=59,('Testes estatísticos'!$D$64+'Testes estatísticos'!$D$86)/2,"")</f>
        <v>-7.3146605000000022</v>
      </c>
      <c r="CE237" s="7">
        <f>IF(82&gt;=59,('Testes estatísticos'!$D$64+'Testes estatísticos'!$D$87)/2,"")</f>
        <v>-5.2368700000000032</v>
      </c>
      <c r="CF237" s="7">
        <f>IF(83&gt;=59,('Testes estatísticos'!$D$64+'Testes estatísticos'!$D$88)/2,"")</f>
        <v>-5.7656770000000037</v>
      </c>
      <c r="CG237" s="7">
        <f>IF(84&gt;=59,('Testes estatísticos'!$D$64+'Testes estatísticos'!$D$89)/2,"")</f>
        <v>-6.0975840000000012</v>
      </c>
      <c r="CH237" s="7">
        <f>IF(85&gt;=59,('Testes estatísticos'!$D$64+'Testes estatísticos'!$D$90)/2,"")</f>
        <v>-4.2820370000000025</v>
      </c>
      <c r="CI237" s="7">
        <f>IF(86&gt;=59,('Testes estatísticos'!$D$64+'Testes estatísticos'!$D$91)/2,"")</f>
        <v>-6.972196499999999</v>
      </c>
      <c r="CJ237" s="7">
        <f>IF(87&gt;=59,('Testes estatísticos'!$D$64+'Testes estatísticos'!$D$92)/2,"")</f>
        <v>-5.7299900000000008</v>
      </c>
      <c r="CK237" s="7">
        <f>IF(88&gt;=59,('Testes estatísticos'!$D$64+'Testes estatísticos'!$D$93)/2,"")</f>
        <v>-5.4859065000000022</v>
      </c>
      <c r="CL237" s="7">
        <f>IF(89&gt;=59,('Testes estatísticos'!$D$64+'Testes estatísticos'!$D$94)/2,"")</f>
        <v>-6.0974985000000039</v>
      </c>
      <c r="CM237" s="7">
        <f>IF(90&gt;=59,('Testes estatísticos'!$D$64+'Testes estatísticos'!$D$95)/2,"")</f>
        <v>-8.4316305000000007</v>
      </c>
      <c r="CN237" s="7">
        <f>IF(91&gt;=59,('Testes estatísticos'!$D$64+'Testes estatísticos'!$D$96)/2,"")</f>
        <v>-5.8931074999999993</v>
      </c>
      <c r="CO237" s="7">
        <f>IF(92&gt;=59,('Testes estatísticos'!$D$64+'Testes estatísticos'!$D$97)/2,"")</f>
        <v>-6.239611</v>
      </c>
      <c r="CP237" s="7">
        <f>IF(93&gt;=59,('Testes estatísticos'!$D$64+'Testes estatísticos'!$D$98)/2,"")</f>
        <v>-6.4443629999999992</v>
      </c>
      <c r="CQ237" s="7">
        <f>IF(94&gt;=59,('Testes estatísticos'!$D$64+'Testes estatísticos'!$D$99)/2,"")</f>
        <v>-4.2632050000000028</v>
      </c>
      <c r="CR237" s="7">
        <f>IF(95&gt;=59,('Testes estatísticos'!$D$64+'Testes estatísticos'!$D$100)/2,"")</f>
        <v>-6.168998000000002</v>
      </c>
      <c r="CS237" s="7">
        <f>IF(96&gt;=59,('Testes estatísticos'!$D$64+'Testes estatísticos'!$D$101)/2,"")</f>
        <v>-6.1250110000000042</v>
      </c>
      <c r="CT237" s="7">
        <f>IF(97&gt;=59,('Testes estatísticos'!$D$64+'Testes estatísticos'!$D$102)/2,"")</f>
        <v>-5.8919605000000033</v>
      </c>
      <c r="CU237" s="7">
        <f>IF(98&gt;=59,('Testes estatísticos'!$D$64+'Testes estatísticos'!$D$103)/2,"")</f>
        <v>-5.8346344999999999</v>
      </c>
      <c r="CV237" s="7">
        <f>IF(99&gt;=59,('Testes estatísticos'!$D$64+'Testes estatísticos'!$D$104)/2,"")</f>
        <v>-6.269460500000001</v>
      </c>
      <c r="CW237" s="7">
        <f>IF(100&gt;=59,('Testes estatísticos'!$D$64+'Testes estatísticos'!$D$105)/2,"")</f>
        <v>-6.3689265000000006</v>
      </c>
      <c r="CX237" s="7">
        <f>IF(101&gt;=59,('Testes estatísticos'!$D$64+'Testes estatísticos'!$D$106)/2,"")</f>
        <v>-5.8460000000000001</v>
      </c>
      <c r="CY237" s="7">
        <f>IF(102&gt;=59,('Testes estatísticos'!$D$64+'Testes estatísticos'!$D$107)/2,"")</f>
        <v>-5.9016650000000013</v>
      </c>
      <c r="CZ237" s="7">
        <f>IF(103&gt;=59,('Testes estatísticos'!$D$64+'Testes estatísticos'!$D$108)/2,"")</f>
        <v>-6.425831500000001</v>
      </c>
      <c r="DA237" s="7">
        <f>IF(104&gt;=59,('Testes estatísticos'!$D$64+'Testes estatísticos'!$D$109)/2,"")</f>
        <v>-6.163197499999999</v>
      </c>
      <c r="DB237" s="7">
        <f>IF(105&gt;=59,('Testes estatísticos'!$D$64+'Testes estatísticos'!$D$110)/2,"")</f>
        <v>-6.1288665000000009</v>
      </c>
      <c r="DC237" s="7">
        <f>IF(106&gt;=59,('Testes estatísticos'!$D$64+'Testes estatísticos'!$D$111)/2,"")</f>
        <v>-5.3859455000000018</v>
      </c>
      <c r="DD237" s="7">
        <f>IF(107&gt;=59,('Testes estatísticos'!$D$64+'Testes estatísticos'!$D$112)/2,"")</f>
        <v>-1.8927745000000016</v>
      </c>
      <c r="DE237" s="7">
        <f>IF(108&gt;=59,('Testes estatísticos'!$D$64+'Testes estatísticos'!$D$113)/2,"")</f>
        <v>-5.31541</v>
      </c>
      <c r="DF237" s="7">
        <f>IF(109&gt;=59,('Testes estatísticos'!$D$64+'Testes estatísticos'!$D$114)/2,"")</f>
        <v>-5.3516669999999991</v>
      </c>
      <c r="DG237" s="7">
        <f>IF(110&gt;=59,('Testes estatísticos'!$D$64+'Testes estatísticos'!$D$115)/2,"")</f>
        <v>-10.898806500000003</v>
      </c>
      <c r="DH237" s="7">
        <f>IF(111&gt;=59,('Testes estatísticos'!$D$64+'Testes estatísticos'!$D$116)/2,"")</f>
        <v>-5.2179760000000002</v>
      </c>
      <c r="DI237" s="7">
        <f>IF(112&gt;=59,('Testes estatísticos'!$D$64+'Testes estatísticos'!$D$117)/2,"")</f>
        <v>0.21046399999999821</v>
      </c>
      <c r="DJ237" s="7">
        <f>IF(113&gt;=59,('Testes estatísticos'!$D$64+'Testes estatísticos'!$D$118)/2,"")</f>
        <v>-5.2460930000000019</v>
      </c>
      <c r="DK237" s="7">
        <f>IF(114&gt;=59,('Testes estatísticos'!$D$64+'Testes estatísticos'!$D$119)/2,"")</f>
        <v>-5.347843000000001</v>
      </c>
      <c r="DL237" s="7">
        <f>IF(115&gt;=59,('Testes estatísticos'!$D$64+'Testes estatísticos'!$D$120)/2,"")</f>
        <v>-5.3013654999999993</v>
      </c>
      <c r="DM237" s="7">
        <f>IF(116&gt;=59,('Testes estatísticos'!$D$64+'Testes estatísticos'!$D$121)/2,"")</f>
        <v>-5.2927630000000008</v>
      </c>
      <c r="DN237" s="7">
        <f>IF(117&gt;=59,('Testes estatísticos'!$D$64+'Testes estatísticos'!$D$122)/2,"")</f>
        <v>-5.2696950000000022</v>
      </c>
      <c r="DO237" s="7">
        <f>IF(118&gt;=59,('Testes estatísticos'!$D$64+'Testes estatísticos'!$D$123)/2,"")</f>
        <v>-5.2197845000000029</v>
      </c>
      <c r="DP237" s="7">
        <f>IF(119&gt;=59,('Testes estatísticos'!$D$64+'Testes estatísticos'!$D$124)/2,"")</f>
        <v>-5.2409960000000027</v>
      </c>
      <c r="DQ237" s="7">
        <f>IF(120&gt;=59,('Testes estatísticos'!$D$64+'Testes estatísticos'!$D$125)/2,"")</f>
        <v>-2.1893814999999996</v>
      </c>
      <c r="DR237" s="7">
        <f>IF(121&gt;=59,('Testes estatísticos'!$D$64+'Testes estatísticos'!$D$126)/2,"")</f>
        <v>-4.9783980000000021</v>
      </c>
      <c r="DS237" s="7">
        <f>IF(122&gt;=59,('Testes estatísticos'!$D$64+'Testes estatísticos'!$D$127)/2,"")</f>
        <v>-6.0438064999999987</v>
      </c>
      <c r="DT237" s="7">
        <f>IF(123&gt;=59,('Testes estatísticos'!$D$64+'Testes estatísticos'!$D$128)/2,"")</f>
        <v>2.5062999999995839E-2</v>
      </c>
      <c r="DU237" s="7">
        <f>IF(124&gt;=59,('Testes estatísticos'!$D$64+'Testes estatísticos'!$D$129)/2,"")</f>
        <v>-4.8707085000000028</v>
      </c>
      <c r="DV237" s="7">
        <f>IF(125&gt;=59,('Testes estatísticos'!$D$64+'Testes estatísticos'!$D$130)/2,"")</f>
        <v>-3.7124010000000034</v>
      </c>
      <c r="DW237" s="7">
        <f>IF(126&gt;=59,('Testes estatísticos'!$D$64+'Testes estatísticos'!$D$131)/2,"")</f>
        <v>-6.1158770000000011</v>
      </c>
      <c r="DX237" s="7">
        <f>IF(127&gt;=59,('Testes estatísticos'!$D$64+'Testes estatísticos'!$D$132)/2,"")</f>
        <v>-8.1720685000000017</v>
      </c>
      <c r="DY237" s="7">
        <f>IF(128&gt;=59,('Testes estatísticos'!$D$64+'Testes estatísticos'!$D$133)/2,"")</f>
        <v>-8.5131580000000007</v>
      </c>
      <c r="DZ237" s="7">
        <f>IF(129&gt;=59,('Testes estatísticos'!$D$64+'Testes estatísticos'!$D$134)/2,"")</f>
        <v>-11.936948000000001</v>
      </c>
      <c r="EA237" s="7">
        <f>IF(130&gt;=59,('Testes estatísticos'!$D$64+'Testes estatísticos'!$D$135)/2,"")</f>
        <v>-6.1751779999999989</v>
      </c>
      <c r="EB237" s="7">
        <f>IF(131&gt;=59,('Testes estatísticos'!$D$64+'Testes estatísticos'!$D$136)/2,"")</f>
        <v>-6.0873050000000042</v>
      </c>
      <c r="EC237" s="7">
        <f>IF(132&gt;=59,('Testes estatísticos'!$D$64+'Testes estatísticos'!$D$137)/2,"")</f>
        <v>-7.5740415000000034</v>
      </c>
      <c r="ED237" s="7">
        <f>IF(133&gt;=59,('Testes estatísticos'!$D$64+'Testes estatísticos'!$D$138)/2,"")</f>
        <v>-5.3851040000000019</v>
      </c>
      <c r="EE237" s="7">
        <f>IF(134&gt;=59,('Testes estatísticos'!$D$64+'Testes estatísticos'!$D$139)/2,"")</f>
        <v>-7.6822945000000047</v>
      </c>
      <c r="EF237" s="7">
        <f>IF(135&gt;=59,('Testes estatísticos'!$D$64+'Testes estatísticos'!$D$140)/2,"")</f>
        <v>-4.4678620000000002</v>
      </c>
      <c r="EG237" s="7">
        <f>IF(136&gt;=59,('Testes estatísticos'!$D$64+'Testes estatísticos'!$D$141)/2,"")</f>
        <v>-6.1613520000000044</v>
      </c>
      <c r="EH237" s="7">
        <f>IF(137&gt;=59,('Testes estatísticos'!$D$64+'Testes estatísticos'!$D$142)/2,"")</f>
        <v>-4.4566120000000033</v>
      </c>
      <c r="EI237" s="7">
        <f>IF(138&gt;=59,('Testes estatísticos'!$D$64+'Testes estatísticos'!$D$143)/2,"")</f>
        <v>-6.1216274999999989</v>
      </c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</row>
    <row r="238" spans="2:151" x14ac:dyDescent="0.3">
      <c r="B238" s="7" t="str">
        <f>IF(1&gt;=60,('Testes estatísticos'!$D$65+'Testes estatísticos'!$D$6)/2,"")</f>
        <v/>
      </c>
      <c r="C238" s="7" t="str">
        <f>IF(2&gt;=60,('Testes estatísticos'!$D$65+'Testes estatísticos'!$D$7)/2,"")</f>
        <v/>
      </c>
      <c r="D238" s="7" t="str">
        <f>IF(3&gt;=60,('Testes estatísticos'!$D$65+'Testes estatísticos'!$D$8)/2,"")</f>
        <v/>
      </c>
      <c r="E238" s="7" t="str">
        <f>IF(4&gt;=60,('Testes estatísticos'!$D$65+'Testes estatísticos'!$D$9)/2,"")</f>
        <v/>
      </c>
      <c r="F238" s="7" t="str">
        <f>IF(5&gt;=60,('Testes estatísticos'!$D$65+'Testes estatísticos'!$D$10)/2,"")</f>
        <v/>
      </c>
      <c r="G238" s="7" t="str">
        <f>IF(6&gt;=60,('Testes estatísticos'!$D$65+'Testes estatísticos'!$D$11)/2,"")</f>
        <v/>
      </c>
      <c r="H238" s="7" t="str">
        <f>IF(7&gt;=60,('Testes estatísticos'!$D$65+'Testes estatísticos'!$D$12)/2,"")</f>
        <v/>
      </c>
      <c r="I238" s="7" t="str">
        <f>IF(8&gt;=60,('Testes estatísticos'!$D$65+'Testes estatísticos'!$D$13)/2,"")</f>
        <v/>
      </c>
      <c r="J238" s="7" t="str">
        <f>IF(9&gt;=60,('Testes estatísticos'!$D$65+'Testes estatísticos'!$D$14)/2,"")</f>
        <v/>
      </c>
      <c r="K238" s="7" t="str">
        <f>IF(10&gt;=60,('Testes estatísticos'!$D$65+'Testes estatísticos'!$D$15)/2,"")</f>
        <v/>
      </c>
      <c r="L238" s="7" t="str">
        <f>IF(11&gt;=60,('Testes estatísticos'!$D$65+'Testes estatísticos'!$D$16)/2,"")</f>
        <v/>
      </c>
      <c r="M238" s="7" t="str">
        <f>IF(12&gt;=60,('Testes estatísticos'!$D$65+'Testes estatísticos'!$D$17)/2,"")</f>
        <v/>
      </c>
      <c r="N238" s="7" t="str">
        <f>IF(13&gt;=60,('Testes estatísticos'!$D$65+'Testes estatísticos'!$D$18)/2,"")</f>
        <v/>
      </c>
      <c r="O238" s="7" t="str">
        <f>IF(14&gt;=60,('Testes estatísticos'!$D$65+'Testes estatísticos'!$D$19)/2,"")</f>
        <v/>
      </c>
      <c r="P238" s="7" t="str">
        <f>IF(15&gt;=60,('Testes estatísticos'!$D$65+'Testes estatísticos'!$D$20)/2,"")</f>
        <v/>
      </c>
      <c r="Q238" s="7" t="str">
        <f>IF(16&gt;=60,('Testes estatísticos'!$D$65+'Testes estatísticos'!$D$21)/2,"")</f>
        <v/>
      </c>
      <c r="R238" s="7" t="str">
        <f>IF(17&gt;=60,('Testes estatísticos'!$D$65+'Testes estatísticos'!$D$22)/2,"")</f>
        <v/>
      </c>
      <c r="S238" s="7" t="str">
        <f>IF(18&gt;=60,('Testes estatísticos'!$D$65+'Testes estatísticos'!$D$23)/2,"")</f>
        <v/>
      </c>
      <c r="T238" s="7" t="str">
        <f>IF(19&gt;=60,('Testes estatísticos'!$D$65+'Testes estatísticos'!$D$24)/2,"")</f>
        <v/>
      </c>
      <c r="U238" s="7" t="str">
        <f>IF(20&gt;=60,('Testes estatísticos'!$D$65+'Testes estatísticos'!$D$25)/2,"")</f>
        <v/>
      </c>
      <c r="V238" s="7" t="str">
        <f>IF(21&gt;=60,('Testes estatísticos'!$D$65+'Testes estatísticos'!$D$26)/2,"")</f>
        <v/>
      </c>
      <c r="W238" s="7" t="str">
        <f>IF(22&gt;=60,('Testes estatísticos'!$D$65+'Testes estatísticos'!$D$27)/2,"")</f>
        <v/>
      </c>
      <c r="X238" s="7" t="str">
        <f>IF(23&gt;=60,('Testes estatísticos'!$D$65+'Testes estatísticos'!$D$28)/2,"")</f>
        <v/>
      </c>
      <c r="Y238" s="7" t="str">
        <f>IF(24&gt;=60,('Testes estatísticos'!$D$65+'Testes estatísticos'!$D$29)/2,"")</f>
        <v/>
      </c>
      <c r="Z238" s="7" t="str">
        <f>IF(25&gt;=60,('Testes estatísticos'!$D$65+'Testes estatísticos'!$D$30)/2,"")</f>
        <v/>
      </c>
      <c r="AA238" s="7" t="str">
        <f>IF(26&gt;=60,('Testes estatísticos'!$D$65+'Testes estatísticos'!$D$31)/2,"")</f>
        <v/>
      </c>
      <c r="AB238" s="7" t="str">
        <f>IF(27&gt;=60,('Testes estatísticos'!$D$65+'Testes estatísticos'!$D$32)/2,"")</f>
        <v/>
      </c>
      <c r="AC238" s="7" t="str">
        <f>IF(28&gt;=60,('Testes estatísticos'!$D$65+'Testes estatísticos'!$D$33)/2,"")</f>
        <v/>
      </c>
      <c r="AD238" s="7" t="str">
        <f>IF(29&gt;=60,('Testes estatísticos'!$D$65+'Testes estatísticos'!$D$34)/2,"")</f>
        <v/>
      </c>
      <c r="AE238" s="7" t="str">
        <f>IF(30&gt;=60,('Testes estatísticos'!$D$65+'Testes estatísticos'!$D$35)/2,"")</f>
        <v/>
      </c>
      <c r="AF238" s="7" t="str">
        <f>IF(31&gt;=60,('Testes estatísticos'!$D$65+'Testes estatísticos'!$D$36)/2,"")</f>
        <v/>
      </c>
      <c r="AG238" s="7" t="str">
        <f>IF(32&gt;=60,('Testes estatísticos'!$D$65+'Testes estatísticos'!$D$37)/2,"")</f>
        <v/>
      </c>
      <c r="AH238" s="7" t="str">
        <f>IF(33&gt;=60,('Testes estatísticos'!$D$65+'Testes estatísticos'!$D$38)/2,"")</f>
        <v/>
      </c>
      <c r="AI238" s="7" t="str">
        <f>IF(34&gt;=60,('Testes estatísticos'!$D$65+'Testes estatísticos'!$D$39)/2,"")</f>
        <v/>
      </c>
      <c r="AJ238" s="7" t="str">
        <f>IF(35&gt;=60,('Testes estatísticos'!$D$65+'Testes estatísticos'!$D$40)/2,"")</f>
        <v/>
      </c>
      <c r="AK238" s="7" t="str">
        <f>IF(36&gt;=60,('Testes estatísticos'!$D$65+'Testes estatísticos'!$D$41)/2,"")</f>
        <v/>
      </c>
      <c r="AL238" s="7" t="str">
        <f>IF(37&gt;=60,('Testes estatísticos'!$D$65+'Testes estatísticos'!$D$42)/2,"")</f>
        <v/>
      </c>
      <c r="AM238" s="7" t="str">
        <f>IF(38&gt;=60,('Testes estatísticos'!$D$65+'Testes estatísticos'!$D$43)/2,"")</f>
        <v/>
      </c>
      <c r="AN238" s="7" t="str">
        <f>IF(39&gt;=60,('Testes estatísticos'!$D$65+'Testes estatísticos'!$D$44)/2,"")</f>
        <v/>
      </c>
      <c r="AO238" s="7" t="str">
        <f>IF(40&gt;=60,('Testes estatísticos'!$D$65+'Testes estatísticos'!$D$45)/2,"")</f>
        <v/>
      </c>
      <c r="AP238" s="7" t="str">
        <f>IF(41&gt;=60,('Testes estatísticos'!$D$65+'Testes estatísticos'!$D$46)/2,"")</f>
        <v/>
      </c>
      <c r="AQ238" s="7" t="str">
        <f>IF(42&gt;=60,('Testes estatísticos'!$D$65+'Testes estatísticos'!$D$47)/2,"")</f>
        <v/>
      </c>
      <c r="AR238" s="7" t="str">
        <f>IF(43&gt;=60,('Testes estatísticos'!$D$65+'Testes estatísticos'!$D$48)/2,"")</f>
        <v/>
      </c>
      <c r="AS238" s="7" t="str">
        <f>IF(44&gt;=60,('Testes estatísticos'!$D$65+'Testes estatísticos'!$D$49)/2,"")</f>
        <v/>
      </c>
      <c r="AT238" s="7" t="str">
        <f>IF(45&gt;=60,('Testes estatísticos'!$D$65+'Testes estatísticos'!$D$50)/2,"")</f>
        <v/>
      </c>
      <c r="AU238" s="7" t="str">
        <f>IF(46&gt;=60,('Testes estatísticos'!$D$65+'Testes estatísticos'!$D$51)/2,"")</f>
        <v/>
      </c>
      <c r="AV238" s="7" t="str">
        <f>IF(47&gt;=60,('Testes estatísticos'!$D$65+'Testes estatísticos'!$D$52)/2,"")</f>
        <v/>
      </c>
      <c r="AW238" s="7" t="str">
        <f>IF(48&gt;=60,('Testes estatísticos'!$D$65+'Testes estatísticos'!$D$53)/2,"")</f>
        <v/>
      </c>
      <c r="AX238" s="7" t="str">
        <f>IF(49&gt;=60,('Testes estatísticos'!$D$65+'Testes estatísticos'!$D$54)/2,"")</f>
        <v/>
      </c>
      <c r="AY238" s="7" t="str">
        <f>IF(50&gt;=60,('Testes estatísticos'!$D$65+'Testes estatísticos'!$D$55)/2,"")</f>
        <v/>
      </c>
      <c r="AZ238" s="7" t="str">
        <f>IF(51&gt;=60,('Testes estatísticos'!$D$65+'Testes estatísticos'!$D$56)/2,"")</f>
        <v/>
      </c>
      <c r="BA238" s="7" t="str">
        <f>IF(52&gt;=60,('Testes estatísticos'!$D$65+'Testes estatísticos'!$D$57)/2,"")</f>
        <v/>
      </c>
      <c r="BB238" s="7" t="str">
        <f>IF(53&gt;=60,('Testes estatísticos'!$D$65+'Testes estatísticos'!$D$58)/2,"")</f>
        <v/>
      </c>
      <c r="BC238" s="7" t="str">
        <f>IF(54&gt;=60,('Testes estatísticos'!$D$65+'Testes estatísticos'!$D$59)/2,"")</f>
        <v/>
      </c>
      <c r="BD238" s="7" t="str">
        <f>IF(55&gt;=60,('Testes estatísticos'!$D$65+'Testes estatísticos'!$D$60)/2,"")</f>
        <v/>
      </c>
      <c r="BE238" s="7" t="str">
        <f>IF(56&gt;=60,('Testes estatísticos'!$D$65+'Testes estatísticos'!$D$61)/2,"")</f>
        <v/>
      </c>
      <c r="BF238" s="7" t="str">
        <f>IF(57&gt;=60,('Testes estatísticos'!$D$65+'Testes estatísticos'!$D$62)/2,"")</f>
        <v/>
      </c>
      <c r="BG238" s="7" t="str">
        <f>IF(58&gt;=60,('Testes estatísticos'!$D$65+'Testes estatísticos'!$D$63)/2,"")</f>
        <v/>
      </c>
      <c r="BH238" s="7" t="str">
        <f>IF(59&gt;=60,('Testes estatísticos'!$D$65+'Testes estatísticos'!$D$64)/2,"")</f>
        <v/>
      </c>
      <c r="BI238" s="7">
        <f>IF(60&gt;=60,('Testes estatísticos'!$D$65+'Testes estatísticos'!$D$65)/2,"")</f>
        <v>-4.9617579999999961</v>
      </c>
      <c r="BJ238" s="7">
        <f>IF(61&gt;=60,('Testes estatísticos'!$D$65+'Testes estatísticos'!$D$66)/2,"")</f>
        <v>-2.3267029999999984</v>
      </c>
      <c r="BK238" s="7">
        <f>IF(62&gt;=60,('Testes estatísticos'!$D$65+'Testes estatísticos'!$D$67)/2,"")</f>
        <v>-2.8354979999999976</v>
      </c>
      <c r="BL238" s="7">
        <f>IF(63&gt;=60,('Testes estatísticos'!$D$65+'Testes estatísticos'!$D$68)/2,"")</f>
        <v>-1.9361834999999985</v>
      </c>
      <c r="BM238" s="7">
        <f>IF(64&gt;=60,('Testes estatísticos'!$D$65+'Testes estatísticos'!$D$69)/2,"")</f>
        <v>-1.8853414999999991</v>
      </c>
      <c r="BN238" s="7">
        <f>IF(65&gt;=60,('Testes estatísticos'!$D$65+'Testes estatísticos'!$D$70)/2,"")</f>
        <v>-4.0311479999999982</v>
      </c>
      <c r="BO238" s="7">
        <f>IF(66&gt;=60,('Testes estatísticos'!$D$65+'Testes estatísticos'!$D$71)/2,"")</f>
        <v>-3.135295499999998</v>
      </c>
      <c r="BP238" s="7">
        <f>IF(67&gt;=60,('Testes estatísticos'!$D$65+'Testes estatísticos'!$D$72)/2,"")</f>
        <v>-6.0257544999999979</v>
      </c>
      <c r="BQ238" s="7">
        <f>IF(68&gt;=60,('Testes estatísticos'!$D$65+'Testes estatísticos'!$D$73)/2,"")</f>
        <v>-1.3625214999999997</v>
      </c>
      <c r="BR238" s="7">
        <f>IF(69&gt;=60,('Testes estatísticos'!$D$65+'Testes estatísticos'!$D$74)/2,"")</f>
        <v>-0.73033949999999948</v>
      </c>
      <c r="BS238" s="7">
        <f>IF(70&gt;=60,('Testes estatísticos'!$D$65+'Testes estatísticos'!$D$75)/2,"")</f>
        <v>-1.7348040000000005</v>
      </c>
      <c r="BT238" s="7">
        <f>IF(71&gt;=60,('Testes estatísticos'!$D$65+'Testes estatísticos'!$D$76)/2,"")</f>
        <v>-0.16043900000000022</v>
      </c>
      <c r="BU238" s="7">
        <f>IF(72&gt;=60,('Testes estatísticos'!$D$65+'Testes estatísticos'!$D$77)/2,"")</f>
        <v>-5.7601359999999993</v>
      </c>
      <c r="BV238" s="7">
        <f>IF(73&gt;=60,('Testes estatísticos'!$D$65+'Testes estatísticos'!$D$78)/2,"")</f>
        <v>-3.6866614999999996</v>
      </c>
      <c r="BW238" s="7">
        <f>IF(74&gt;=60,('Testes estatísticos'!$D$65+'Testes estatísticos'!$D$79)/2,"")</f>
        <v>-4.3699799999999982</v>
      </c>
      <c r="BX238" s="7">
        <f>IF(75&gt;=60,('Testes estatísticos'!$D$65+'Testes estatísticos'!$D$80)/2,"")</f>
        <v>-4.3917579999999994</v>
      </c>
      <c r="BY238" s="7">
        <f>IF(76&gt;=60,('Testes estatísticos'!$D$65+'Testes estatísticos'!$D$81)/2,"")</f>
        <v>-0.26029999999999731</v>
      </c>
      <c r="BZ238" s="7">
        <f>IF(77&gt;=60,('Testes estatísticos'!$D$65+'Testes estatísticos'!$D$82)/2,"")</f>
        <v>-5.5218894999999968</v>
      </c>
      <c r="CA238" s="7">
        <f>IF(78&gt;=60,('Testes estatísticos'!$D$65+'Testes estatísticos'!$D$83)/2,"")</f>
        <v>-3.7616304999999954</v>
      </c>
      <c r="CB238" s="7">
        <f>IF(79&gt;=60,('Testes estatísticos'!$D$65+'Testes estatísticos'!$D$84)/2,"")</f>
        <v>-3.7099079999999987</v>
      </c>
      <c r="CC238" s="7">
        <f>IF(80&gt;=60,('Testes estatísticos'!$D$65+'Testes estatísticos'!$D$85)/2,"")</f>
        <v>-5.5169244999999982</v>
      </c>
      <c r="CD238" s="7">
        <f>IF(81&gt;=60,('Testes estatísticos'!$D$65+'Testes estatísticos'!$D$86)/2,"")</f>
        <v>-5.5670694999999988</v>
      </c>
      <c r="CE238" s="7">
        <f>IF(82&gt;=60,('Testes estatísticos'!$D$65+'Testes estatísticos'!$D$87)/2,"")</f>
        <v>-3.4892789999999998</v>
      </c>
      <c r="CF238" s="7">
        <f>IF(83&gt;=60,('Testes estatísticos'!$D$65+'Testes estatísticos'!$D$88)/2,"")</f>
        <v>-4.0180860000000003</v>
      </c>
      <c r="CG238" s="7">
        <f>IF(84&gt;=60,('Testes estatísticos'!$D$65+'Testes estatísticos'!$D$89)/2,"")</f>
        <v>-4.3499929999999978</v>
      </c>
      <c r="CH238" s="7">
        <f>IF(85&gt;=60,('Testes estatísticos'!$D$65+'Testes estatísticos'!$D$90)/2,"")</f>
        <v>-2.5344459999999991</v>
      </c>
      <c r="CI238" s="7">
        <f>IF(86&gt;=60,('Testes estatísticos'!$D$65+'Testes estatísticos'!$D$91)/2,"")</f>
        <v>-5.2246054999999956</v>
      </c>
      <c r="CJ238" s="7">
        <f>IF(87&gt;=60,('Testes estatísticos'!$D$65+'Testes estatísticos'!$D$92)/2,"")</f>
        <v>-3.9823989999999974</v>
      </c>
      <c r="CK238" s="7">
        <f>IF(88&gt;=60,('Testes estatísticos'!$D$65+'Testes estatísticos'!$D$93)/2,"")</f>
        <v>-3.7383154999999988</v>
      </c>
      <c r="CL238" s="7">
        <f>IF(89&gt;=60,('Testes estatísticos'!$D$65+'Testes estatísticos'!$D$94)/2,"")</f>
        <v>-4.3499075000000005</v>
      </c>
      <c r="CM238" s="7">
        <f>IF(90&gt;=60,('Testes estatísticos'!$D$65+'Testes estatísticos'!$D$95)/2,"")</f>
        <v>-6.6840394999999972</v>
      </c>
      <c r="CN238" s="7">
        <f>IF(91&gt;=60,('Testes estatísticos'!$D$65+'Testes estatísticos'!$D$96)/2,"")</f>
        <v>-4.1455164999999958</v>
      </c>
      <c r="CO238" s="7">
        <f>IF(92&gt;=60,('Testes estatísticos'!$D$65+'Testes estatísticos'!$D$97)/2,"")</f>
        <v>-4.4920199999999966</v>
      </c>
      <c r="CP238" s="7">
        <f>IF(93&gt;=60,('Testes estatísticos'!$D$65+'Testes estatísticos'!$D$98)/2,"")</f>
        <v>-4.6967719999999957</v>
      </c>
      <c r="CQ238" s="7">
        <f>IF(94&gt;=60,('Testes estatísticos'!$D$65+'Testes estatísticos'!$D$99)/2,"")</f>
        <v>-2.5156139999999994</v>
      </c>
      <c r="CR238" s="7">
        <f>IF(95&gt;=60,('Testes estatísticos'!$D$65+'Testes estatísticos'!$D$100)/2,"")</f>
        <v>-4.4214069999999985</v>
      </c>
      <c r="CS238" s="7">
        <f>IF(96&gt;=60,('Testes estatísticos'!$D$65+'Testes estatísticos'!$D$101)/2,"")</f>
        <v>-4.3774200000000008</v>
      </c>
      <c r="CT238" s="7">
        <f>IF(97&gt;=60,('Testes estatísticos'!$D$65+'Testes estatísticos'!$D$102)/2,"")</f>
        <v>-4.1443694999999998</v>
      </c>
      <c r="CU238" s="7">
        <f>IF(98&gt;=60,('Testes estatísticos'!$D$65+'Testes estatísticos'!$D$103)/2,"")</f>
        <v>-4.0870434999999965</v>
      </c>
      <c r="CV238" s="7">
        <f>IF(99&gt;=60,('Testes estatísticos'!$D$65+'Testes estatísticos'!$D$104)/2,"")</f>
        <v>-4.5218694999999975</v>
      </c>
      <c r="CW238" s="7">
        <f>IF(100&gt;=60,('Testes estatísticos'!$D$65+'Testes estatísticos'!$D$105)/2,"")</f>
        <v>-4.6213354999999972</v>
      </c>
      <c r="CX238" s="7">
        <f>IF(101&gt;=60,('Testes estatísticos'!$D$65+'Testes estatísticos'!$D$106)/2,"")</f>
        <v>-4.0984089999999966</v>
      </c>
      <c r="CY238" s="7">
        <f>IF(102&gt;=60,('Testes estatísticos'!$D$65+'Testes estatísticos'!$D$107)/2,"")</f>
        <v>-4.1540739999999978</v>
      </c>
      <c r="CZ238" s="7">
        <f>IF(103&gt;=60,('Testes estatísticos'!$D$65+'Testes estatísticos'!$D$108)/2,"")</f>
        <v>-4.6782404999999976</v>
      </c>
      <c r="DA238" s="7">
        <f>IF(104&gt;=60,('Testes estatísticos'!$D$65+'Testes estatísticos'!$D$109)/2,"")</f>
        <v>-4.4156064999999955</v>
      </c>
      <c r="DB238" s="7">
        <f>IF(105&gt;=60,('Testes estatísticos'!$D$65+'Testes estatísticos'!$D$110)/2,"")</f>
        <v>-4.3812754999999974</v>
      </c>
      <c r="DC238" s="7">
        <f>IF(106&gt;=60,('Testes estatísticos'!$D$65+'Testes estatísticos'!$D$111)/2,"")</f>
        <v>-3.6383544999999984</v>
      </c>
      <c r="DD238" s="7">
        <f>IF(107&gt;=60,('Testes estatísticos'!$D$65+'Testes estatísticos'!$D$112)/2,"")</f>
        <v>-0.14518349999999813</v>
      </c>
      <c r="DE238" s="7">
        <f>IF(108&gt;=60,('Testes estatísticos'!$D$65+'Testes estatísticos'!$D$113)/2,"")</f>
        <v>-3.5678189999999965</v>
      </c>
      <c r="DF238" s="7">
        <f>IF(109&gt;=60,('Testes estatísticos'!$D$65+'Testes estatísticos'!$D$114)/2,"")</f>
        <v>-3.6040759999999956</v>
      </c>
      <c r="DG238" s="7">
        <f>IF(110&gt;=60,('Testes estatísticos'!$D$65+'Testes estatísticos'!$D$115)/2,"")</f>
        <v>-9.1512154999999993</v>
      </c>
      <c r="DH238" s="7">
        <f>IF(111&gt;=60,('Testes estatísticos'!$D$65+'Testes estatísticos'!$D$116)/2,"")</f>
        <v>-3.4703849999999967</v>
      </c>
      <c r="DI238" s="7">
        <f>IF(112&gt;=60,('Testes estatísticos'!$D$65+'Testes estatísticos'!$D$117)/2,"")</f>
        <v>1.9580550000000017</v>
      </c>
      <c r="DJ238" s="7">
        <f>IF(113&gt;=60,('Testes estatísticos'!$D$65+'Testes estatísticos'!$D$118)/2,"")</f>
        <v>-3.4985019999999984</v>
      </c>
      <c r="DK238" s="7">
        <f>IF(114&gt;=60,('Testes estatísticos'!$D$65+'Testes estatísticos'!$D$119)/2,"")</f>
        <v>-3.6002519999999976</v>
      </c>
      <c r="DL238" s="7">
        <f>IF(115&gt;=60,('Testes estatísticos'!$D$65+'Testes estatísticos'!$D$120)/2,"")</f>
        <v>-3.5537744999999958</v>
      </c>
      <c r="DM238" s="7">
        <f>IF(116&gt;=60,('Testes estatísticos'!$D$65+'Testes estatísticos'!$D$121)/2,"")</f>
        <v>-3.5451719999999973</v>
      </c>
      <c r="DN238" s="7">
        <f>IF(117&gt;=60,('Testes estatísticos'!$D$65+'Testes estatísticos'!$D$122)/2,"")</f>
        <v>-3.5221039999999988</v>
      </c>
      <c r="DO238" s="7">
        <f>IF(118&gt;=60,('Testes estatísticos'!$D$65+'Testes estatísticos'!$D$123)/2,"")</f>
        <v>-3.4721934999999995</v>
      </c>
      <c r="DP238" s="7">
        <f>IF(119&gt;=60,('Testes estatísticos'!$D$65+'Testes estatísticos'!$D$124)/2,"")</f>
        <v>-3.4934049999999992</v>
      </c>
      <c r="DQ238" s="7">
        <f>IF(120&gt;=60,('Testes estatísticos'!$D$65+'Testes estatísticos'!$D$125)/2,"")</f>
        <v>-0.4417904999999962</v>
      </c>
      <c r="DR238" s="7">
        <f>IF(121&gt;=60,('Testes estatísticos'!$D$65+'Testes estatísticos'!$D$126)/2,"")</f>
        <v>-3.2308069999999987</v>
      </c>
      <c r="DS238" s="7">
        <f>IF(122&gt;=60,('Testes estatísticos'!$D$65+'Testes estatísticos'!$D$127)/2,"")</f>
        <v>-4.2962154999999953</v>
      </c>
      <c r="DT238" s="7">
        <f>IF(123&gt;=60,('Testes estatísticos'!$D$65+'Testes estatísticos'!$D$128)/2,"")</f>
        <v>1.7726539999999993</v>
      </c>
      <c r="DU238" s="7">
        <f>IF(124&gt;=60,('Testes estatísticos'!$D$65+'Testes estatísticos'!$D$129)/2,"")</f>
        <v>-3.1231174999999993</v>
      </c>
      <c r="DV238" s="7">
        <f>IF(125&gt;=60,('Testes estatísticos'!$D$65+'Testes estatísticos'!$D$130)/2,"")</f>
        <v>-1.9648099999999999</v>
      </c>
      <c r="DW238" s="7">
        <f>IF(126&gt;=60,('Testes estatísticos'!$D$65+'Testes estatísticos'!$D$131)/2,"")</f>
        <v>-4.3682859999999977</v>
      </c>
      <c r="DX238" s="7">
        <f>IF(127&gt;=60,('Testes estatísticos'!$D$65+'Testes estatísticos'!$D$132)/2,"")</f>
        <v>-6.4244774999999983</v>
      </c>
      <c r="DY238" s="7">
        <f>IF(128&gt;=60,('Testes estatísticos'!$D$65+'Testes estatísticos'!$D$133)/2,"")</f>
        <v>-6.7655669999999972</v>
      </c>
      <c r="DZ238" s="7">
        <f>IF(129&gt;=60,('Testes estatísticos'!$D$65+'Testes estatísticos'!$D$134)/2,"")</f>
        <v>-10.189356999999998</v>
      </c>
      <c r="EA238" s="7">
        <f>IF(130&gt;=60,('Testes estatísticos'!$D$65+'Testes estatísticos'!$D$135)/2,"")</f>
        <v>-4.4275869999999955</v>
      </c>
      <c r="EB238" s="7">
        <f>IF(131&gt;=60,('Testes estatísticos'!$D$65+'Testes estatísticos'!$D$136)/2,"")</f>
        <v>-4.3397140000000007</v>
      </c>
      <c r="EC238" s="7">
        <f>IF(132&gt;=60,('Testes estatísticos'!$D$65+'Testes estatísticos'!$D$137)/2,"")</f>
        <v>-5.8264505</v>
      </c>
      <c r="ED238" s="7">
        <f>IF(133&gt;=60,('Testes estatísticos'!$D$65+'Testes estatísticos'!$D$138)/2,"")</f>
        <v>-3.6375129999999984</v>
      </c>
      <c r="EE238" s="7">
        <f>IF(134&gt;=60,('Testes estatísticos'!$D$65+'Testes estatísticos'!$D$139)/2,"")</f>
        <v>-5.9347035000000012</v>
      </c>
      <c r="EF238" s="7">
        <f>IF(135&gt;=60,('Testes estatísticos'!$D$65+'Testes estatísticos'!$D$140)/2,"")</f>
        <v>-2.7202709999999968</v>
      </c>
      <c r="EG238" s="7">
        <f>IF(136&gt;=60,('Testes estatísticos'!$D$65+'Testes estatísticos'!$D$141)/2,"")</f>
        <v>-4.4137610000000009</v>
      </c>
      <c r="EH238" s="7">
        <f>IF(137&gt;=60,('Testes estatísticos'!$D$65+'Testes estatísticos'!$D$142)/2,"")</f>
        <v>-2.7090209999999999</v>
      </c>
      <c r="EI238" s="7">
        <f>IF(138&gt;=60,('Testes estatísticos'!$D$65+'Testes estatísticos'!$D$143)/2,"")</f>
        <v>-4.3740364999999954</v>
      </c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</row>
    <row r="239" spans="2:151" x14ac:dyDescent="0.3">
      <c r="B239" s="7" t="str">
        <f>IF(1&gt;=61,('Testes estatísticos'!$D$66+'Testes estatísticos'!$D$6)/2,"")</f>
        <v/>
      </c>
      <c r="C239" s="7" t="str">
        <f>IF(2&gt;=61,('Testes estatísticos'!$D$66+'Testes estatísticos'!$D$7)/2,"")</f>
        <v/>
      </c>
      <c r="D239" s="7" t="str">
        <f>IF(3&gt;=61,('Testes estatísticos'!$D$66+'Testes estatísticos'!$D$8)/2,"")</f>
        <v/>
      </c>
      <c r="E239" s="7" t="str">
        <f>IF(4&gt;=61,('Testes estatísticos'!$D$66+'Testes estatísticos'!$D$9)/2,"")</f>
        <v/>
      </c>
      <c r="F239" s="7" t="str">
        <f>IF(5&gt;=61,('Testes estatísticos'!$D$66+'Testes estatísticos'!$D$10)/2,"")</f>
        <v/>
      </c>
      <c r="G239" s="7" t="str">
        <f>IF(6&gt;=61,('Testes estatísticos'!$D$66+'Testes estatísticos'!$D$11)/2,"")</f>
        <v/>
      </c>
      <c r="H239" s="7" t="str">
        <f>IF(7&gt;=61,('Testes estatísticos'!$D$66+'Testes estatísticos'!$D$12)/2,"")</f>
        <v/>
      </c>
      <c r="I239" s="7" t="str">
        <f>IF(8&gt;=61,('Testes estatísticos'!$D$66+'Testes estatísticos'!$D$13)/2,"")</f>
        <v/>
      </c>
      <c r="J239" s="7" t="str">
        <f>IF(9&gt;=61,('Testes estatísticos'!$D$66+'Testes estatísticos'!$D$14)/2,"")</f>
        <v/>
      </c>
      <c r="K239" s="7" t="str">
        <f>IF(10&gt;=61,('Testes estatísticos'!$D$66+'Testes estatísticos'!$D$15)/2,"")</f>
        <v/>
      </c>
      <c r="L239" s="7" t="str">
        <f>IF(11&gt;=61,('Testes estatísticos'!$D$66+'Testes estatísticos'!$D$16)/2,"")</f>
        <v/>
      </c>
      <c r="M239" s="7" t="str">
        <f>IF(12&gt;=61,('Testes estatísticos'!$D$66+'Testes estatísticos'!$D$17)/2,"")</f>
        <v/>
      </c>
      <c r="N239" s="7" t="str">
        <f>IF(13&gt;=61,('Testes estatísticos'!$D$66+'Testes estatísticos'!$D$18)/2,"")</f>
        <v/>
      </c>
      <c r="O239" s="7" t="str">
        <f>IF(14&gt;=61,('Testes estatísticos'!$D$66+'Testes estatísticos'!$D$19)/2,"")</f>
        <v/>
      </c>
      <c r="P239" s="7" t="str">
        <f>IF(15&gt;=61,('Testes estatísticos'!$D$66+'Testes estatísticos'!$D$20)/2,"")</f>
        <v/>
      </c>
      <c r="Q239" s="7" t="str">
        <f>IF(16&gt;=61,('Testes estatísticos'!$D$66+'Testes estatísticos'!$D$21)/2,"")</f>
        <v/>
      </c>
      <c r="R239" s="7" t="str">
        <f>IF(17&gt;=61,('Testes estatísticos'!$D$66+'Testes estatísticos'!$D$22)/2,"")</f>
        <v/>
      </c>
      <c r="S239" s="7" t="str">
        <f>IF(18&gt;=61,('Testes estatísticos'!$D$66+'Testes estatísticos'!$D$23)/2,"")</f>
        <v/>
      </c>
      <c r="T239" s="7" t="str">
        <f>IF(19&gt;=61,('Testes estatísticos'!$D$66+'Testes estatísticos'!$D$24)/2,"")</f>
        <v/>
      </c>
      <c r="U239" s="7" t="str">
        <f>IF(20&gt;=61,('Testes estatísticos'!$D$66+'Testes estatísticos'!$D$25)/2,"")</f>
        <v/>
      </c>
      <c r="V239" s="7" t="str">
        <f>IF(21&gt;=61,('Testes estatísticos'!$D$66+'Testes estatísticos'!$D$26)/2,"")</f>
        <v/>
      </c>
      <c r="W239" s="7" t="str">
        <f>IF(22&gt;=61,('Testes estatísticos'!$D$66+'Testes estatísticos'!$D$27)/2,"")</f>
        <v/>
      </c>
      <c r="X239" s="7" t="str">
        <f>IF(23&gt;=61,('Testes estatísticos'!$D$66+'Testes estatísticos'!$D$28)/2,"")</f>
        <v/>
      </c>
      <c r="Y239" s="7" t="str">
        <f>IF(24&gt;=61,('Testes estatísticos'!$D$66+'Testes estatísticos'!$D$29)/2,"")</f>
        <v/>
      </c>
      <c r="Z239" s="7" t="str">
        <f>IF(25&gt;=61,('Testes estatísticos'!$D$66+'Testes estatísticos'!$D$30)/2,"")</f>
        <v/>
      </c>
      <c r="AA239" s="7" t="str">
        <f>IF(26&gt;=61,('Testes estatísticos'!$D$66+'Testes estatísticos'!$D$31)/2,"")</f>
        <v/>
      </c>
      <c r="AB239" s="7" t="str">
        <f>IF(27&gt;=61,('Testes estatísticos'!$D$66+'Testes estatísticos'!$D$32)/2,"")</f>
        <v/>
      </c>
      <c r="AC239" s="7" t="str">
        <f>IF(28&gt;=61,('Testes estatísticos'!$D$66+'Testes estatísticos'!$D$33)/2,"")</f>
        <v/>
      </c>
      <c r="AD239" s="7" t="str">
        <f>IF(29&gt;=61,('Testes estatísticos'!$D$66+'Testes estatísticos'!$D$34)/2,"")</f>
        <v/>
      </c>
      <c r="AE239" s="7" t="str">
        <f>IF(30&gt;=61,('Testes estatísticos'!$D$66+'Testes estatísticos'!$D$35)/2,"")</f>
        <v/>
      </c>
      <c r="AF239" s="7" t="str">
        <f>IF(31&gt;=61,('Testes estatísticos'!$D$66+'Testes estatísticos'!$D$36)/2,"")</f>
        <v/>
      </c>
      <c r="AG239" s="7" t="str">
        <f>IF(32&gt;=61,('Testes estatísticos'!$D$66+'Testes estatísticos'!$D$37)/2,"")</f>
        <v/>
      </c>
      <c r="AH239" s="7" t="str">
        <f>IF(33&gt;=61,('Testes estatísticos'!$D$66+'Testes estatísticos'!$D$38)/2,"")</f>
        <v/>
      </c>
      <c r="AI239" s="7" t="str">
        <f>IF(34&gt;=61,('Testes estatísticos'!$D$66+'Testes estatísticos'!$D$39)/2,"")</f>
        <v/>
      </c>
      <c r="AJ239" s="7" t="str">
        <f>IF(35&gt;=61,('Testes estatísticos'!$D$66+'Testes estatísticos'!$D$40)/2,"")</f>
        <v/>
      </c>
      <c r="AK239" s="7" t="str">
        <f>IF(36&gt;=61,('Testes estatísticos'!$D$66+'Testes estatísticos'!$D$41)/2,"")</f>
        <v/>
      </c>
      <c r="AL239" s="7" t="str">
        <f>IF(37&gt;=61,('Testes estatísticos'!$D$66+'Testes estatísticos'!$D$42)/2,"")</f>
        <v/>
      </c>
      <c r="AM239" s="7" t="str">
        <f>IF(38&gt;=61,('Testes estatísticos'!$D$66+'Testes estatísticos'!$D$43)/2,"")</f>
        <v/>
      </c>
      <c r="AN239" s="7" t="str">
        <f>IF(39&gt;=61,('Testes estatísticos'!$D$66+'Testes estatísticos'!$D$44)/2,"")</f>
        <v/>
      </c>
      <c r="AO239" s="7" t="str">
        <f>IF(40&gt;=61,('Testes estatísticos'!$D$66+'Testes estatísticos'!$D$45)/2,"")</f>
        <v/>
      </c>
      <c r="AP239" s="7" t="str">
        <f>IF(41&gt;=61,('Testes estatísticos'!$D$66+'Testes estatísticos'!$D$46)/2,"")</f>
        <v/>
      </c>
      <c r="AQ239" s="7" t="str">
        <f>IF(42&gt;=61,('Testes estatísticos'!$D$66+'Testes estatísticos'!$D$47)/2,"")</f>
        <v/>
      </c>
      <c r="AR239" s="7" t="str">
        <f>IF(43&gt;=61,('Testes estatísticos'!$D$66+'Testes estatísticos'!$D$48)/2,"")</f>
        <v/>
      </c>
      <c r="AS239" s="7" t="str">
        <f>IF(44&gt;=61,('Testes estatísticos'!$D$66+'Testes estatísticos'!$D$49)/2,"")</f>
        <v/>
      </c>
      <c r="AT239" s="7" t="str">
        <f>IF(45&gt;=61,('Testes estatísticos'!$D$66+'Testes estatísticos'!$D$50)/2,"")</f>
        <v/>
      </c>
      <c r="AU239" s="7" t="str">
        <f>IF(46&gt;=61,('Testes estatísticos'!$D$66+'Testes estatísticos'!$D$51)/2,"")</f>
        <v/>
      </c>
      <c r="AV239" s="7" t="str">
        <f>IF(47&gt;=61,('Testes estatísticos'!$D$66+'Testes estatísticos'!$D$52)/2,"")</f>
        <v/>
      </c>
      <c r="AW239" s="7" t="str">
        <f>IF(48&gt;=61,('Testes estatísticos'!$D$66+'Testes estatísticos'!$D$53)/2,"")</f>
        <v/>
      </c>
      <c r="AX239" s="7" t="str">
        <f>IF(49&gt;=61,('Testes estatísticos'!$D$66+'Testes estatísticos'!$D$54)/2,"")</f>
        <v/>
      </c>
      <c r="AY239" s="7" t="str">
        <f>IF(50&gt;=61,('Testes estatísticos'!$D$66+'Testes estatísticos'!$D$55)/2,"")</f>
        <v/>
      </c>
      <c r="AZ239" s="7" t="str">
        <f>IF(51&gt;=61,('Testes estatísticos'!$D$66+'Testes estatísticos'!$D$56)/2,"")</f>
        <v/>
      </c>
      <c r="BA239" s="7" t="str">
        <f>IF(52&gt;=61,('Testes estatísticos'!$D$66+'Testes estatísticos'!$D$57)/2,"")</f>
        <v/>
      </c>
      <c r="BB239" s="7" t="str">
        <f>IF(53&gt;=61,('Testes estatísticos'!$D$66+'Testes estatísticos'!$D$58)/2,"")</f>
        <v/>
      </c>
      <c r="BC239" s="7" t="str">
        <f>IF(54&gt;=61,('Testes estatísticos'!$D$66+'Testes estatísticos'!$D$59)/2,"")</f>
        <v/>
      </c>
      <c r="BD239" s="7" t="str">
        <f>IF(55&gt;=61,('Testes estatísticos'!$D$66+'Testes estatísticos'!$D$60)/2,"")</f>
        <v/>
      </c>
      <c r="BE239" s="7" t="str">
        <f>IF(56&gt;=61,('Testes estatísticos'!$D$66+'Testes estatísticos'!$D$61)/2,"")</f>
        <v/>
      </c>
      <c r="BF239" s="7" t="str">
        <f>IF(57&gt;=61,('Testes estatísticos'!$D$66+'Testes estatísticos'!$D$62)/2,"")</f>
        <v/>
      </c>
      <c r="BG239" s="7" t="str">
        <f>IF(58&gt;=61,('Testes estatísticos'!$D$66+'Testes estatísticos'!$D$63)/2,"")</f>
        <v/>
      </c>
      <c r="BH239" s="7" t="str">
        <f>IF(59&gt;=61,('Testes estatísticos'!$D$66+'Testes estatísticos'!$D$64)/2,"")</f>
        <v/>
      </c>
      <c r="BI239" s="7" t="str">
        <f>IF(60&gt;=61,('Testes estatísticos'!$D$66+'Testes estatísticos'!$D$65)/2,"")</f>
        <v/>
      </c>
      <c r="BJ239" s="7">
        <f>IF(61&gt;=61,('Testes estatísticos'!$D$66+'Testes estatísticos'!$D$66)/2,"")</f>
        <v>0.30835199999999929</v>
      </c>
      <c r="BK239" s="7">
        <f>IF(62&gt;=61,('Testes estatísticos'!$D$66+'Testes estatísticos'!$D$67)/2,"")</f>
        <v>-0.20044299999999993</v>
      </c>
      <c r="BL239" s="7">
        <f>IF(63&gt;=61,('Testes estatísticos'!$D$66+'Testes estatísticos'!$D$68)/2,"")</f>
        <v>0.6988714999999992</v>
      </c>
      <c r="BM239" s="7">
        <f>IF(64&gt;=61,('Testes estatísticos'!$D$66+'Testes estatísticos'!$D$69)/2,"")</f>
        <v>0.74971349999999859</v>
      </c>
      <c r="BN239" s="7">
        <f>IF(65&gt;=61,('Testes estatísticos'!$D$66+'Testes estatísticos'!$D$70)/2,"")</f>
        <v>-1.3960930000000005</v>
      </c>
      <c r="BO239" s="7">
        <f>IF(66&gt;=61,('Testes estatísticos'!$D$66+'Testes estatísticos'!$D$71)/2,"")</f>
        <v>-0.50024050000000031</v>
      </c>
      <c r="BP239" s="7">
        <f>IF(67&gt;=61,('Testes estatísticos'!$D$66+'Testes estatísticos'!$D$72)/2,"")</f>
        <v>-3.3906995000000002</v>
      </c>
      <c r="BQ239" s="7">
        <f>IF(68&gt;=61,('Testes estatísticos'!$D$66+'Testes estatísticos'!$D$73)/2,"")</f>
        <v>1.272533499999998</v>
      </c>
      <c r="BR239" s="7">
        <f>IF(69&gt;=61,('Testes estatísticos'!$D$66+'Testes estatísticos'!$D$74)/2,"")</f>
        <v>1.9047154999999982</v>
      </c>
      <c r="BS239" s="7">
        <f>IF(70&gt;=61,('Testes estatísticos'!$D$66+'Testes estatísticos'!$D$75)/2,"")</f>
        <v>0.90025099999999725</v>
      </c>
      <c r="BT239" s="7">
        <f>IF(71&gt;=61,('Testes estatísticos'!$D$66+'Testes estatísticos'!$D$76)/2,"")</f>
        <v>2.4746159999999975</v>
      </c>
      <c r="BU239" s="7">
        <f>IF(72&gt;=61,('Testes estatísticos'!$D$66+'Testes estatísticos'!$D$77)/2,"")</f>
        <v>-3.1250810000000016</v>
      </c>
      <c r="BV239" s="7">
        <f>IF(73&gt;=61,('Testes estatísticos'!$D$66+'Testes estatísticos'!$D$78)/2,"")</f>
        <v>-1.0516065000000019</v>
      </c>
      <c r="BW239" s="7">
        <f>IF(74&gt;=61,('Testes estatísticos'!$D$66+'Testes estatísticos'!$D$79)/2,"")</f>
        <v>-1.7349250000000005</v>
      </c>
      <c r="BX239" s="7">
        <f>IF(75&gt;=61,('Testes estatísticos'!$D$66+'Testes estatísticos'!$D$80)/2,"")</f>
        <v>-1.7567030000000017</v>
      </c>
      <c r="BY239" s="7">
        <f>IF(76&gt;=61,('Testes estatísticos'!$D$66+'Testes estatísticos'!$D$81)/2,"")</f>
        <v>2.3747550000000004</v>
      </c>
      <c r="BZ239" s="7">
        <f>IF(77&gt;=61,('Testes estatísticos'!$D$66+'Testes estatísticos'!$D$82)/2,"")</f>
        <v>-2.8868344999999991</v>
      </c>
      <c r="CA239" s="7">
        <f>IF(78&gt;=61,('Testes estatísticos'!$D$66+'Testes estatísticos'!$D$83)/2,"")</f>
        <v>-1.1265754999999977</v>
      </c>
      <c r="CB239" s="7">
        <f>IF(79&gt;=61,('Testes estatísticos'!$D$66+'Testes estatísticos'!$D$84)/2,"")</f>
        <v>-1.0748530000000009</v>
      </c>
      <c r="CC239" s="7">
        <f>IF(80&gt;=61,('Testes estatísticos'!$D$66+'Testes estatísticos'!$D$85)/2,"")</f>
        <v>-2.8818695000000005</v>
      </c>
      <c r="CD239" s="7">
        <f>IF(81&gt;=61,('Testes estatísticos'!$D$66+'Testes estatísticos'!$D$86)/2,"")</f>
        <v>-2.9320145000000011</v>
      </c>
      <c r="CE239" s="7">
        <f>IF(82&gt;=61,('Testes estatísticos'!$D$66+'Testes estatísticos'!$D$87)/2,"")</f>
        <v>-0.85422400000000209</v>
      </c>
      <c r="CF239" s="7">
        <f>IF(83&gt;=61,('Testes estatísticos'!$D$66+'Testes estatísticos'!$D$88)/2,"")</f>
        <v>-1.3830310000000026</v>
      </c>
      <c r="CG239" s="7">
        <f>IF(84&gt;=61,('Testes estatísticos'!$D$66+'Testes estatísticos'!$D$89)/2,"")</f>
        <v>-1.7149380000000001</v>
      </c>
      <c r="CH239" s="7">
        <f>IF(85&gt;=61,('Testes estatísticos'!$D$66+'Testes estatísticos'!$D$90)/2,"")</f>
        <v>0.10060899999999862</v>
      </c>
      <c r="CI239" s="7">
        <f>IF(86&gt;=61,('Testes estatísticos'!$D$66+'Testes estatísticos'!$D$91)/2,"")</f>
        <v>-2.5895504999999979</v>
      </c>
      <c r="CJ239" s="7">
        <f>IF(87&gt;=61,('Testes estatísticos'!$D$66+'Testes estatísticos'!$D$92)/2,"")</f>
        <v>-1.3473439999999997</v>
      </c>
      <c r="CK239" s="7">
        <f>IF(88&gt;=61,('Testes estatísticos'!$D$66+'Testes estatísticos'!$D$93)/2,"")</f>
        <v>-1.1032605000000011</v>
      </c>
      <c r="CL239" s="7">
        <f>IF(89&gt;=61,('Testes estatísticos'!$D$66+'Testes estatísticos'!$D$94)/2,"")</f>
        <v>-1.7148525000000028</v>
      </c>
      <c r="CM239" s="7">
        <f>IF(90&gt;=61,('Testes estatísticos'!$D$66+'Testes estatísticos'!$D$95)/2,"")</f>
        <v>-4.0489844999999995</v>
      </c>
      <c r="CN239" s="7">
        <f>IF(91&gt;=61,('Testes estatísticos'!$D$66+'Testes estatísticos'!$D$96)/2,"")</f>
        <v>-1.5104614999999981</v>
      </c>
      <c r="CO239" s="7">
        <f>IF(92&gt;=61,('Testes estatísticos'!$D$66+'Testes estatísticos'!$D$97)/2,"")</f>
        <v>-1.8569649999999989</v>
      </c>
      <c r="CP239" s="7">
        <f>IF(93&gt;=61,('Testes estatísticos'!$D$66+'Testes estatísticos'!$D$98)/2,"")</f>
        <v>-2.061716999999998</v>
      </c>
      <c r="CQ239" s="7">
        <f>IF(94&gt;=61,('Testes estatísticos'!$D$66+'Testes estatísticos'!$D$99)/2,"")</f>
        <v>0.11944099999999835</v>
      </c>
      <c r="CR239" s="7">
        <f>IF(95&gt;=61,('Testes estatísticos'!$D$66+'Testes estatísticos'!$D$100)/2,"")</f>
        <v>-1.7863520000000008</v>
      </c>
      <c r="CS239" s="7">
        <f>IF(96&gt;=61,('Testes estatísticos'!$D$66+'Testes estatísticos'!$D$101)/2,"")</f>
        <v>-1.7423650000000031</v>
      </c>
      <c r="CT239" s="7">
        <f>IF(97&gt;=61,('Testes estatísticos'!$D$66+'Testes estatísticos'!$D$102)/2,"")</f>
        <v>-1.5093145000000021</v>
      </c>
      <c r="CU239" s="7">
        <f>IF(98&gt;=61,('Testes estatísticos'!$D$66+'Testes estatísticos'!$D$103)/2,"")</f>
        <v>-1.4519884999999988</v>
      </c>
      <c r="CV239" s="7">
        <f>IF(99&gt;=61,('Testes estatísticos'!$D$66+'Testes estatísticos'!$D$104)/2,"")</f>
        <v>-1.8868144999999998</v>
      </c>
      <c r="CW239" s="7">
        <f>IF(100&gt;=61,('Testes estatísticos'!$D$66+'Testes estatísticos'!$D$105)/2,"")</f>
        <v>-1.9862804999999994</v>
      </c>
      <c r="CX239" s="7">
        <f>IF(101&gt;=61,('Testes estatísticos'!$D$66+'Testes estatísticos'!$D$106)/2,"")</f>
        <v>-1.4633539999999989</v>
      </c>
      <c r="CY239" s="7">
        <f>IF(102&gt;=61,('Testes estatísticos'!$D$66+'Testes estatísticos'!$D$107)/2,"")</f>
        <v>-1.5190190000000001</v>
      </c>
      <c r="CZ239" s="7">
        <f>IF(103&gt;=61,('Testes estatísticos'!$D$66+'Testes estatísticos'!$D$108)/2,"")</f>
        <v>-2.0431854999999999</v>
      </c>
      <c r="DA239" s="7">
        <f>IF(104&gt;=61,('Testes estatísticos'!$D$66+'Testes estatísticos'!$D$109)/2,"")</f>
        <v>-1.7805514999999978</v>
      </c>
      <c r="DB239" s="7">
        <f>IF(105&gt;=61,('Testes estatísticos'!$D$66+'Testes estatísticos'!$D$110)/2,"")</f>
        <v>-1.7462204999999997</v>
      </c>
      <c r="DC239" s="7">
        <f>IF(106&gt;=61,('Testes estatísticos'!$D$66+'Testes estatísticos'!$D$111)/2,"")</f>
        <v>-1.0032995000000007</v>
      </c>
      <c r="DD239" s="7">
        <f>IF(107&gt;=61,('Testes estatísticos'!$D$66+'Testes estatísticos'!$D$112)/2,"")</f>
        <v>2.4898714999999996</v>
      </c>
      <c r="DE239" s="7">
        <f>IF(108&gt;=61,('Testes estatísticos'!$D$66+'Testes estatísticos'!$D$113)/2,"")</f>
        <v>-0.93276399999999882</v>
      </c>
      <c r="DF239" s="7">
        <f>IF(109&gt;=61,('Testes estatísticos'!$D$66+'Testes estatísticos'!$D$114)/2,"")</f>
        <v>-0.96902099999999791</v>
      </c>
      <c r="DG239" s="7">
        <f>IF(110&gt;=61,('Testes estatísticos'!$D$66+'Testes estatísticos'!$D$115)/2,"")</f>
        <v>-6.5161605000000016</v>
      </c>
      <c r="DH239" s="7">
        <f>IF(111&gt;=61,('Testes estatísticos'!$D$66+'Testes estatísticos'!$D$116)/2,"")</f>
        <v>-0.83532999999999902</v>
      </c>
      <c r="DI239" s="7">
        <f>IF(112&gt;=61,('Testes estatísticos'!$D$66+'Testes estatísticos'!$D$117)/2,"")</f>
        <v>4.5931099999999994</v>
      </c>
      <c r="DJ239" s="7">
        <f>IF(113&gt;=61,('Testes estatísticos'!$D$66+'Testes estatísticos'!$D$118)/2,"")</f>
        <v>-0.86344700000000074</v>
      </c>
      <c r="DK239" s="7">
        <f>IF(114&gt;=61,('Testes estatísticos'!$D$66+'Testes estatísticos'!$D$119)/2,"")</f>
        <v>-0.96519699999999986</v>
      </c>
      <c r="DL239" s="7">
        <f>IF(115&gt;=61,('Testes estatísticos'!$D$66+'Testes estatísticos'!$D$120)/2,"")</f>
        <v>-0.91871949999999813</v>
      </c>
      <c r="DM239" s="7">
        <f>IF(116&gt;=61,('Testes estatísticos'!$D$66+'Testes estatísticos'!$D$121)/2,"")</f>
        <v>-0.91011699999999962</v>
      </c>
      <c r="DN239" s="7">
        <f>IF(117&gt;=61,('Testes estatísticos'!$D$66+'Testes estatísticos'!$D$122)/2,"")</f>
        <v>-0.88704900000000109</v>
      </c>
      <c r="DO239" s="7">
        <f>IF(118&gt;=61,('Testes estatísticos'!$D$66+'Testes estatísticos'!$D$123)/2,"")</f>
        <v>-0.83713850000000178</v>
      </c>
      <c r="DP239" s="7">
        <f>IF(119&gt;=61,('Testes estatísticos'!$D$66+'Testes estatísticos'!$D$124)/2,"")</f>
        <v>-0.8583500000000015</v>
      </c>
      <c r="DQ239" s="7">
        <f>IF(120&gt;=61,('Testes estatísticos'!$D$66+'Testes estatísticos'!$D$125)/2,"")</f>
        <v>2.1932645000000015</v>
      </c>
      <c r="DR239" s="7">
        <f>IF(121&gt;=61,('Testes estatísticos'!$D$66+'Testes estatísticos'!$D$126)/2,"")</f>
        <v>-0.59575200000000095</v>
      </c>
      <c r="DS239" s="7">
        <f>IF(122&gt;=61,('Testes estatísticos'!$D$66+'Testes estatísticos'!$D$127)/2,"")</f>
        <v>-1.6611604999999976</v>
      </c>
      <c r="DT239" s="7">
        <f>IF(123&gt;=61,('Testes estatísticos'!$D$66+'Testes estatísticos'!$D$128)/2,"")</f>
        <v>4.407708999999997</v>
      </c>
      <c r="DU239" s="7">
        <f>IF(124&gt;=61,('Testes estatísticos'!$D$66+'Testes estatísticos'!$D$129)/2,"")</f>
        <v>-0.48806250000000162</v>
      </c>
      <c r="DV239" s="7">
        <f>IF(125&gt;=61,('Testes estatísticos'!$D$66+'Testes estatísticos'!$D$130)/2,"")</f>
        <v>0.67024499999999776</v>
      </c>
      <c r="DW239" s="7">
        <f>IF(126&gt;=61,('Testes estatísticos'!$D$66+'Testes estatísticos'!$D$131)/2,"")</f>
        <v>-1.733231</v>
      </c>
      <c r="DX239" s="7">
        <f>IF(127&gt;=61,('Testes estatísticos'!$D$66+'Testes estatísticos'!$D$132)/2,"")</f>
        <v>-3.7894225000000006</v>
      </c>
      <c r="DY239" s="7">
        <f>IF(128&gt;=61,('Testes estatísticos'!$D$66+'Testes estatísticos'!$D$133)/2,"")</f>
        <v>-4.1305119999999995</v>
      </c>
      <c r="DZ239" s="7">
        <f>IF(129&gt;=61,('Testes estatísticos'!$D$66+'Testes estatísticos'!$D$134)/2,"")</f>
        <v>-7.5543019999999999</v>
      </c>
      <c r="EA239" s="7">
        <f>IF(130&gt;=61,('Testes estatísticos'!$D$66+'Testes estatísticos'!$D$135)/2,"")</f>
        <v>-1.7925319999999978</v>
      </c>
      <c r="EB239" s="7">
        <f>IF(131&gt;=61,('Testes estatísticos'!$D$66+'Testes estatísticos'!$D$136)/2,"")</f>
        <v>-1.704659000000003</v>
      </c>
      <c r="EC239" s="7">
        <f>IF(132&gt;=61,('Testes estatísticos'!$D$66+'Testes estatísticos'!$D$137)/2,"")</f>
        <v>-3.1913955000000023</v>
      </c>
      <c r="ED239" s="7">
        <f>IF(133&gt;=61,('Testes estatísticos'!$D$66+'Testes estatísticos'!$D$138)/2,"")</f>
        <v>-1.0024580000000007</v>
      </c>
      <c r="EE239" s="7">
        <f>IF(134&gt;=61,('Testes estatísticos'!$D$66+'Testes estatísticos'!$D$139)/2,"")</f>
        <v>-3.2996485000000035</v>
      </c>
      <c r="EF239" s="7">
        <f>IF(135&gt;=61,('Testes estatísticos'!$D$66+'Testes estatísticos'!$D$140)/2,"")</f>
        <v>-8.521599999999907E-2</v>
      </c>
      <c r="EG239" s="7">
        <f>IF(136&gt;=61,('Testes estatísticos'!$D$66+'Testes estatísticos'!$D$141)/2,"")</f>
        <v>-1.7787060000000032</v>
      </c>
      <c r="EH239" s="7">
        <f>IF(137&gt;=61,('Testes estatísticos'!$D$66+'Testes estatísticos'!$D$142)/2,"")</f>
        <v>-7.3966000000002197E-2</v>
      </c>
      <c r="EI239" s="7">
        <f>IF(138&gt;=61,('Testes estatísticos'!$D$66+'Testes estatísticos'!$D$143)/2,"")</f>
        <v>-1.7389814999999977</v>
      </c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</row>
    <row r="240" spans="2:151" x14ac:dyDescent="0.3">
      <c r="B240" s="7" t="str">
        <f>IF(1&gt;=62,('Testes estatísticos'!$D$67+'Testes estatísticos'!$D$6)/2,"")</f>
        <v/>
      </c>
      <c r="C240" s="7" t="str">
        <f>IF(2&gt;=62,('Testes estatísticos'!$D$67+'Testes estatísticos'!$D$7)/2,"")</f>
        <v/>
      </c>
      <c r="D240" s="7" t="str">
        <f>IF(3&gt;=62,('Testes estatísticos'!$D$67+'Testes estatísticos'!$D$8)/2,"")</f>
        <v/>
      </c>
      <c r="E240" s="7" t="str">
        <f>IF(4&gt;=62,('Testes estatísticos'!$D$67+'Testes estatísticos'!$D$9)/2,"")</f>
        <v/>
      </c>
      <c r="F240" s="7" t="str">
        <f>IF(5&gt;=62,('Testes estatísticos'!$D$67+'Testes estatísticos'!$D$10)/2,"")</f>
        <v/>
      </c>
      <c r="G240" s="7" t="str">
        <f>IF(6&gt;=62,('Testes estatísticos'!$D$67+'Testes estatísticos'!$D$11)/2,"")</f>
        <v/>
      </c>
      <c r="H240" s="7" t="str">
        <f>IF(7&gt;=62,('Testes estatísticos'!$D$67+'Testes estatísticos'!$D$12)/2,"")</f>
        <v/>
      </c>
      <c r="I240" s="7" t="str">
        <f>IF(8&gt;=62,('Testes estatísticos'!$D$67+'Testes estatísticos'!$D$13)/2,"")</f>
        <v/>
      </c>
      <c r="J240" s="7" t="str">
        <f>IF(9&gt;=62,('Testes estatísticos'!$D$67+'Testes estatísticos'!$D$14)/2,"")</f>
        <v/>
      </c>
      <c r="K240" s="7" t="str">
        <f>IF(10&gt;=62,('Testes estatísticos'!$D$67+'Testes estatísticos'!$D$15)/2,"")</f>
        <v/>
      </c>
      <c r="L240" s="7" t="str">
        <f>IF(11&gt;=62,('Testes estatísticos'!$D$67+'Testes estatísticos'!$D$16)/2,"")</f>
        <v/>
      </c>
      <c r="M240" s="7" t="str">
        <f>IF(12&gt;=62,('Testes estatísticos'!$D$67+'Testes estatísticos'!$D$17)/2,"")</f>
        <v/>
      </c>
      <c r="N240" s="7" t="str">
        <f>IF(13&gt;=62,('Testes estatísticos'!$D$67+'Testes estatísticos'!$D$18)/2,"")</f>
        <v/>
      </c>
      <c r="O240" s="7" t="str">
        <f>IF(14&gt;=62,('Testes estatísticos'!$D$67+'Testes estatísticos'!$D$19)/2,"")</f>
        <v/>
      </c>
      <c r="P240" s="7" t="str">
        <f>IF(15&gt;=62,('Testes estatísticos'!$D$67+'Testes estatísticos'!$D$20)/2,"")</f>
        <v/>
      </c>
      <c r="Q240" s="7" t="str">
        <f>IF(16&gt;=62,('Testes estatísticos'!$D$67+'Testes estatísticos'!$D$21)/2,"")</f>
        <v/>
      </c>
      <c r="R240" s="7" t="str">
        <f>IF(17&gt;=62,('Testes estatísticos'!$D$67+'Testes estatísticos'!$D$22)/2,"")</f>
        <v/>
      </c>
      <c r="S240" s="7" t="str">
        <f>IF(18&gt;=62,('Testes estatísticos'!$D$67+'Testes estatísticos'!$D$23)/2,"")</f>
        <v/>
      </c>
      <c r="T240" s="7" t="str">
        <f>IF(19&gt;=62,('Testes estatísticos'!$D$67+'Testes estatísticos'!$D$24)/2,"")</f>
        <v/>
      </c>
      <c r="U240" s="7" t="str">
        <f>IF(20&gt;=62,('Testes estatísticos'!$D$67+'Testes estatísticos'!$D$25)/2,"")</f>
        <v/>
      </c>
      <c r="V240" s="7" t="str">
        <f>IF(21&gt;=62,('Testes estatísticos'!$D$67+'Testes estatísticos'!$D$26)/2,"")</f>
        <v/>
      </c>
      <c r="W240" s="7" t="str">
        <f>IF(22&gt;=62,('Testes estatísticos'!$D$67+'Testes estatísticos'!$D$27)/2,"")</f>
        <v/>
      </c>
      <c r="X240" s="7" t="str">
        <f>IF(23&gt;=62,('Testes estatísticos'!$D$67+'Testes estatísticos'!$D$28)/2,"")</f>
        <v/>
      </c>
      <c r="Y240" s="7" t="str">
        <f>IF(24&gt;=62,('Testes estatísticos'!$D$67+'Testes estatísticos'!$D$29)/2,"")</f>
        <v/>
      </c>
      <c r="Z240" s="7" t="str">
        <f>IF(25&gt;=62,('Testes estatísticos'!$D$67+'Testes estatísticos'!$D$30)/2,"")</f>
        <v/>
      </c>
      <c r="AA240" s="7" t="str">
        <f>IF(26&gt;=62,('Testes estatísticos'!$D$67+'Testes estatísticos'!$D$31)/2,"")</f>
        <v/>
      </c>
      <c r="AB240" s="7" t="str">
        <f>IF(27&gt;=62,('Testes estatísticos'!$D$67+'Testes estatísticos'!$D$32)/2,"")</f>
        <v/>
      </c>
      <c r="AC240" s="7" t="str">
        <f>IF(28&gt;=62,('Testes estatísticos'!$D$67+'Testes estatísticos'!$D$33)/2,"")</f>
        <v/>
      </c>
      <c r="AD240" s="7" t="str">
        <f>IF(29&gt;=62,('Testes estatísticos'!$D$67+'Testes estatísticos'!$D$34)/2,"")</f>
        <v/>
      </c>
      <c r="AE240" s="7" t="str">
        <f>IF(30&gt;=62,('Testes estatísticos'!$D$67+'Testes estatísticos'!$D$35)/2,"")</f>
        <v/>
      </c>
      <c r="AF240" s="7" t="str">
        <f>IF(31&gt;=62,('Testes estatísticos'!$D$67+'Testes estatísticos'!$D$36)/2,"")</f>
        <v/>
      </c>
      <c r="AG240" s="7" t="str">
        <f>IF(32&gt;=62,('Testes estatísticos'!$D$67+'Testes estatísticos'!$D$37)/2,"")</f>
        <v/>
      </c>
      <c r="AH240" s="7" t="str">
        <f>IF(33&gt;=62,('Testes estatísticos'!$D$67+'Testes estatísticos'!$D$38)/2,"")</f>
        <v/>
      </c>
      <c r="AI240" s="7" t="str">
        <f>IF(34&gt;=62,('Testes estatísticos'!$D$67+'Testes estatísticos'!$D$39)/2,"")</f>
        <v/>
      </c>
      <c r="AJ240" s="7" t="str">
        <f>IF(35&gt;=62,('Testes estatísticos'!$D$67+'Testes estatísticos'!$D$40)/2,"")</f>
        <v/>
      </c>
      <c r="AK240" s="7" t="str">
        <f>IF(36&gt;=62,('Testes estatísticos'!$D$67+'Testes estatísticos'!$D$41)/2,"")</f>
        <v/>
      </c>
      <c r="AL240" s="7" t="str">
        <f>IF(37&gt;=62,('Testes estatísticos'!$D$67+'Testes estatísticos'!$D$42)/2,"")</f>
        <v/>
      </c>
      <c r="AM240" s="7" t="str">
        <f>IF(38&gt;=62,('Testes estatísticos'!$D$67+'Testes estatísticos'!$D$43)/2,"")</f>
        <v/>
      </c>
      <c r="AN240" s="7" t="str">
        <f>IF(39&gt;=62,('Testes estatísticos'!$D$67+'Testes estatísticos'!$D$44)/2,"")</f>
        <v/>
      </c>
      <c r="AO240" s="7" t="str">
        <f>IF(40&gt;=62,('Testes estatísticos'!$D$67+'Testes estatísticos'!$D$45)/2,"")</f>
        <v/>
      </c>
      <c r="AP240" s="7" t="str">
        <f>IF(41&gt;=62,('Testes estatísticos'!$D$67+'Testes estatísticos'!$D$46)/2,"")</f>
        <v/>
      </c>
      <c r="AQ240" s="7" t="str">
        <f>IF(42&gt;=62,('Testes estatísticos'!$D$67+'Testes estatísticos'!$D$47)/2,"")</f>
        <v/>
      </c>
      <c r="AR240" s="7" t="str">
        <f>IF(43&gt;=62,('Testes estatísticos'!$D$67+'Testes estatísticos'!$D$48)/2,"")</f>
        <v/>
      </c>
      <c r="AS240" s="7" t="str">
        <f>IF(44&gt;=62,('Testes estatísticos'!$D$67+'Testes estatísticos'!$D$49)/2,"")</f>
        <v/>
      </c>
      <c r="AT240" s="7" t="str">
        <f>IF(45&gt;=62,('Testes estatísticos'!$D$67+'Testes estatísticos'!$D$50)/2,"")</f>
        <v/>
      </c>
      <c r="AU240" s="7" t="str">
        <f>IF(46&gt;=62,('Testes estatísticos'!$D$67+'Testes estatísticos'!$D$51)/2,"")</f>
        <v/>
      </c>
      <c r="AV240" s="7" t="str">
        <f>IF(47&gt;=62,('Testes estatísticos'!$D$67+'Testes estatísticos'!$D$52)/2,"")</f>
        <v/>
      </c>
      <c r="AW240" s="7" t="str">
        <f>IF(48&gt;=62,('Testes estatísticos'!$D$67+'Testes estatísticos'!$D$53)/2,"")</f>
        <v/>
      </c>
      <c r="AX240" s="7" t="str">
        <f>IF(49&gt;=62,('Testes estatísticos'!$D$67+'Testes estatísticos'!$D$54)/2,"")</f>
        <v/>
      </c>
      <c r="AY240" s="7" t="str">
        <f>IF(50&gt;=62,('Testes estatísticos'!$D$67+'Testes estatísticos'!$D$55)/2,"")</f>
        <v/>
      </c>
      <c r="AZ240" s="7" t="str">
        <f>IF(51&gt;=62,('Testes estatísticos'!$D$67+'Testes estatísticos'!$D$56)/2,"")</f>
        <v/>
      </c>
      <c r="BA240" s="7" t="str">
        <f>IF(52&gt;=62,('Testes estatísticos'!$D$67+'Testes estatísticos'!$D$57)/2,"")</f>
        <v/>
      </c>
      <c r="BB240" s="7" t="str">
        <f>IF(53&gt;=62,('Testes estatísticos'!$D$67+'Testes estatísticos'!$D$58)/2,"")</f>
        <v/>
      </c>
      <c r="BC240" s="7" t="str">
        <f>IF(54&gt;=62,('Testes estatísticos'!$D$67+'Testes estatísticos'!$D$59)/2,"")</f>
        <v/>
      </c>
      <c r="BD240" s="7" t="str">
        <f>IF(55&gt;=62,('Testes estatísticos'!$D$67+'Testes estatísticos'!$D$60)/2,"")</f>
        <v/>
      </c>
      <c r="BE240" s="7" t="str">
        <f>IF(56&gt;=62,('Testes estatísticos'!$D$67+'Testes estatísticos'!$D$61)/2,"")</f>
        <v/>
      </c>
      <c r="BF240" s="7" t="str">
        <f>IF(57&gt;=62,('Testes estatísticos'!$D$67+'Testes estatísticos'!$D$62)/2,"")</f>
        <v/>
      </c>
      <c r="BG240" s="7" t="str">
        <f>IF(58&gt;=62,('Testes estatísticos'!$D$67+'Testes estatísticos'!$D$63)/2,"")</f>
        <v/>
      </c>
      <c r="BH240" s="7" t="str">
        <f>IF(59&gt;=62,('Testes estatísticos'!$D$67+'Testes estatísticos'!$D$64)/2,"")</f>
        <v/>
      </c>
      <c r="BI240" s="7" t="str">
        <f>IF(60&gt;=62,('Testes estatísticos'!$D$67+'Testes estatísticos'!$D$65)/2,"")</f>
        <v/>
      </c>
      <c r="BJ240" s="7" t="str">
        <f>IF(61&gt;=62,('Testes estatísticos'!$D$67+'Testes estatísticos'!$D$66)/2,"")</f>
        <v/>
      </c>
      <c r="BK240" s="7">
        <f>IF(62&gt;=62,('Testes estatísticos'!$D$67+'Testes estatísticos'!$D$67)/2,"")</f>
        <v>-0.70923799999999915</v>
      </c>
      <c r="BL240" s="7">
        <f>IF(63&gt;=62,('Testes estatísticos'!$D$67+'Testes estatísticos'!$D$68)/2,"")</f>
        <v>0.19007649999999998</v>
      </c>
      <c r="BM240" s="7">
        <f>IF(64&gt;=62,('Testes estatísticos'!$D$67+'Testes estatísticos'!$D$69)/2,"")</f>
        <v>0.24091849999999937</v>
      </c>
      <c r="BN240" s="7">
        <f>IF(65&gt;=62,('Testes estatísticos'!$D$67+'Testes estatísticos'!$D$70)/2,"")</f>
        <v>-1.9048879999999997</v>
      </c>
      <c r="BO240" s="7">
        <f>IF(66&gt;=62,('Testes estatísticos'!$D$67+'Testes estatísticos'!$D$71)/2,"")</f>
        <v>-1.0090354999999995</v>
      </c>
      <c r="BP240" s="7">
        <f>IF(67&gt;=62,('Testes estatísticos'!$D$67+'Testes estatísticos'!$D$72)/2,"")</f>
        <v>-3.8994944999999994</v>
      </c>
      <c r="BQ240" s="7">
        <f>IF(68&gt;=62,('Testes estatísticos'!$D$67+'Testes estatísticos'!$D$73)/2,"")</f>
        <v>0.76373849999999877</v>
      </c>
      <c r="BR240" s="7">
        <f>IF(69&gt;=62,('Testes estatísticos'!$D$67+'Testes estatísticos'!$D$74)/2,"")</f>
        <v>1.395920499999999</v>
      </c>
      <c r="BS240" s="7">
        <f>IF(70&gt;=62,('Testes estatísticos'!$D$67+'Testes estatísticos'!$D$75)/2,"")</f>
        <v>0.39145599999999803</v>
      </c>
      <c r="BT240" s="7">
        <f>IF(71&gt;=62,('Testes estatísticos'!$D$67+'Testes estatísticos'!$D$76)/2,"")</f>
        <v>1.9658209999999983</v>
      </c>
      <c r="BU240" s="7">
        <f>IF(72&gt;=62,('Testes estatísticos'!$D$67+'Testes estatísticos'!$D$77)/2,"")</f>
        <v>-3.6338760000000008</v>
      </c>
      <c r="BV240" s="7">
        <f>IF(73&gt;=62,('Testes estatísticos'!$D$67+'Testes estatísticos'!$D$78)/2,"")</f>
        <v>-1.5604015000000011</v>
      </c>
      <c r="BW240" s="7">
        <f>IF(74&gt;=62,('Testes estatísticos'!$D$67+'Testes estatísticos'!$D$79)/2,"")</f>
        <v>-2.2437199999999997</v>
      </c>
      <c r="BX240" s="7">
        <f>IF(75&gt;=62,('Testes estatísticos'!$D$67+'Testes estatísticos'!$D$80)/2,"")</f>
        <v>-2.2654980000000009</v>
      </c>
      <c r="BY240" s="7">
        <f>IF(76&gt;=62,('Testes estatísticos'!$D$67+'Testes estatísticos'!$D$81)/2,"")</f>
        <v>1.8659600000000012</v>
      </c>
      <c r="BZ240" s="7">
        <f>IF(77&gt;=62,('Testes estatísticos'!$D$67+'Testes estatísticos'!$D$82)/2,"")</f>
        <v>-3.3956294999999983</v>
      </c>
      <c r="CA240" s="7">
        <f>IF(78&gt;=62,('Testes estatísticos'!$D$67+'Testes estatísticos'!$D$83)/2,"")</f>
        <v>-1.635370499999997</v>
      </c>
      <c r="CB240" s="7">
        <f>IF(79&gt;=62,('Testes estatísticos'!$D$67+'Testes estatísticos'!$D$84)/2,"")</f>
        <v>-1.5836480000000002</v>
      </c>
      <c r="CC240" s="7">
        <f>IF(80&gt;=62,('Testes estatísticos'!$D$67+'Testes estatísticos'!$D$85)/2,"")</f>
        <v>-3.3906644999999997</v>
      </c>
      <c r="CD240" s="7">
        <f>IF(81&gt;=62,('Testes estatísticos'!$D$67+'Testes estatísticos'!$D$86)/2,"")</f>
        <v>-3.4408095000000003</v>
      </c>
      <c r="CE240" s="7">
        <f>IF(82&gt;=62,('Testes estatísticos'!$D$67+'Testes estatísticos'!$D$87)/2,"")</f>
        <v>-1.3630190000000013</v>
      </c>
      <c r="CF240" s="7">
        <f>IF(83&gt;=62,('Testes estatísticos'!$D$67+'Testes estatísticos'!$D$88)/2,"")</f>
        <v>-1.8918260000000018</v>
      </c>
      <c r="CG240" s="7">
        <f>IF(84&gt;=62,('Testes estatísticos'!$D$67+'Testes estatísticos'!$D$89)/2,"")</f>
        <v>-2.2237329999999993</v>
      </c>
      <c r="CH240" s="7">
        <f>IF(85&gt;=62,('Testes estatísticos'!$D$67+'Testes estatísticos'!$D$90)/2,"")</f>
        <v>-0.4081860000000006</v>
      </c>
      <c r="CI240" s="7">
        <f>IF(86&gt;=62,('Testes estatísticos'!$D$67+'Testes estatísticos'!$D$91)/2,"")</f>
        <v>-3.0983454999999971</v>
      </c>
      <c r="CJ240" s="7">
        <f>IF(87&gt;=62,('Testes estatísticos'!$D$67+'Testes estatísticos'!$D$92)/2,"")</f>
        <v>-1.8561389999999989</v>
      </c>
      <c r="CK240" s="7">
        <f>IF(88&gt;=62,('Testes estatísticos'!$D$67+'Testes estatísticos'!$D$93)/2,"")</f>
        <v>-1.6120555000000003</v>
      </c>
      <c r="CL240" s="7">
        <f>IF(89&gt;=62,('Testes estatísticos'!$D$67+'Testes estatísticos'!$D$94)/2,"")</f>
        <v>-2.223647500000002</v>
      </c>
      <c r="CM240" s="7">
        <f>IF(90&gt;=62,('Testes estatísticos'!$D$67+'Testes estatísticos'!$D$95)/2,"")</f>
        <v>-4.5577794999999988</v>
      </c>
      <c r="CN240" s="7">
        <f>IF(91&gt;=62,('Testes estatísticos'!$D$67+'Testes estatísticos'!$D$96)/2,"")</f>
        <v>-2.0192564999999973</v>
      </c>
      <c r="CO240" s="7">
        <f>IF(92&gt;=62,('Testes estatísticos'!$D$67+'Testes estatísticos'!$D$97)/2,"")</f>
        <v>-2.3657599999999981</v>
      </c>
      <c r="CP240" s="7">
        <f>IF(93&gt;=62,('Testes estatísticos'!$D$67+'Testes estatísticos'!$D$98)/2,"")</f>
        <v>-2.5705119999999972</v>
      </c>
      <c r="CQ240" s="7">
        <f>IF(94&gt;=62,('Testes estatísticos'!$D$67+'Testes estatísticos'!$D$99)/2,"")</f>
        <v>-0.38935400000000087</v>
      </c>
      <c r="CR240" s="7">
        <f>IF(95&gt;=62,('Testes estatísticos'!$D$67+'Testes estatísticos'!$D$100)/2,"")</f>
        <v>-2.295147</v>
      </c>
      <c r="CS240" s="7">
        <f>IF(96&gt;=62,('Testes estatísticos'!$D$67+'Testes estatísticos'!$D$101)/2,"")</f>
        <v>-2.2511600000000023</v>
      </c>
      <c r="CT240" s="7">
        <f>IF(97&gt;=62,('Testes estatísticos'!$D$67+'Testes estatísticos'!$D$102)/2,"")</f>
        <v>-2.0181095000000013</v>
      </c>
      <c r="CU240" s="7">
        <f>IF(98&gt;=62,('Testes estatísticos'!$D$67+'Testes estatísticos'!$D$103)/2,"")</f>
        <v>-1.960783499999998</v>
      </c>
      <c r="CV240" s="7">
        <f>IF(99&gt;=62,('Testes estatísticos'!$D$67+'Testes estatísticos'!$D$104)/2,"")</f>
        <v>-2.3956094999999991</v>
      </c>
      <c r="CW240" s="7">
        <f>IF(100&gt;=62,('Testes estatísticos'!$D$67+'Testes estatísticos'!$D$105)/2,"")</f>
        <v>-2.4950754999999987</v>
      </c>
      <c r="CX240" s="7">
        <f>IF(101&gt;=62,('Testes estatísticos'!$D$67+'Testes estatísticos'!$D$106)/2,"")</f>
        <v>-1.9721489999999982</v>
      </c>
      <c r="CY240" s="7">
        <f>IF(102&gt;=62,('Testes estatísticos'!$D$67+'Testes estatísticos'!$D$107)/2,"")</f>
        <v>-2.0278139999999993</v>
      </c>
      <c r="CZ240" s="7">
        <f>IF(103&gt;=62,('Testes estatísticos'!$D$67+'Testes estatísticos'!$D$108)/2,"")</f>
        <v>-2.5519804999999991</v>
      </c>
      <c r="DA240" s="7">
        <f>IF(104&gt;=62,('Testes estatísticos'!$D$67+'Testes estatísticos'!$D$109)/2,"")</f>
        <v>-2.2893464999999971</v>
      </c>
      <c r="DB240" s="7">
        <f>IF(105&gt;=62,('Testes estatísticos'!$D$67+'Testes estatísticos'!$D$110)/2,"")</f>
        <v>-2.255015499999999</v>
      </c>
      <c r="DC240" s="7">
        <f>IF(106&gt;=62,('Testes estatísticos'!$D$67+'Testes estatísticos'!$D$111)/2,"")</f>
        <v>-1.5120944999999999</v>
      </c>
      <c r="DD240" s="7">
        <f>IF(107&gt;=62,('Testes estatísticos'!$D$67+'Testes estatísticos'!$D$112)/2,"")</f>
        <v>1.9810765000000004</v>
      </c>
      <c r="DE240" s="7">
        <f>IF(108&gt;=62,('Testes estatísticos'!$D$67+'Testes estatísticos'!$D$113)/2,"")</f>
        <v>-1.441558999999998</v>
      </c>
      <c r="DF240" s="7">
        <f>IF(109&gt;=62,('Testes estatísticos'!$D$67+'Testes estatísticos'!$D$114)/2,"")</f>
        <v>-1.4778159999999971</v>
      </c>
      <c r="DG240" s="7">
        <f>IF(110&gt;=62,('Testes estatísticos'!$D$67+'Testes estatísticos'!$D$115)/2,"")</f>
        <v>-7.0249555000000008</v>
      </c>
      <c r="DH240" s="7">
        <f>IF(111&gt;=62,('Testes estatísticos'!$D$67+'Testes estatísticos'!$D$116)/2,"")</f>
        <v>-1.3441249999999982</v>
      </c>
      <c r="DI240" s="7">
        <f>IF(112&gt;=62,('Testes estatísticos'!$D$67+'Testes estatísticos'!$D$117)/2,"")</f>
        <v>4.0843150000000001</v>
      </c>
      <c r="DJ240" s="7">
        <f>IF(113&gt;=62,('Testes estatísticos'!$D$67+'Testes estatísticos'!$D$118)/2,"")</f>
        <v>-1.372242</v>
      </c>
      <c r="DK240" s="7">
        <f>IF(114&gt;=62,('Testes estatísticos'!$D$67+'Testes estatísticos'!$D$119)/2,"")</f>
        <v>-1.4739919999999991</v>
      </c>
      <c r="DL240" s="7">
        <f>IF(115&gt;=62,('Testes estatísticos'!$D$67+'Testes estatísticos'!$D$120)/2,"")</f>
        <v>-1.4275144999999974</v>
      </c>
      <c r="DM240" s="7">
        <f>IF(116&gt;=62,('Testes estatísticos'!$D$67+'Testes estatísticos'!$D$121)/2,"")</f>
        <v>-1.4189119999999988</v>
      </c>
      <c r="DN240" s="7">
        <f>IF(117&gt;=62,('Testes estatísticos'!$D$67+'Testes estatísticos'!$D$122)/2,"")</f>
        <v>-1.3958440000000003</v>
      </c>
      <c r="DO240" s="7">
        <f>IF(118&gt;=62,('Testes estatísticos'!$D$67+'Testes estatísticos'!$D$123)/2,"")</f>
        <v>-1.345933500000001</v>
      </c>
      <c r="DP240" s="7">
        <f>IF(119&gt;=62,('Testes estatísticos'!$D$67+'Testes estatísticos'!$D$124)/2,"")</f>
        <v>-1.3671450000000007</v>
      </c>
      <c r="DQ240" s="7">
        <f>IF(120&gt;=62,('Testes estatísticos'!$D$67+'Testes estatísticos'!$D$125)/2,"")</f>
        <v>1.6844695000000023</v>
      </c>
      <c r="DR240" s="7">
        <f>IF(121&gt;=62,('Testes estatísticos'!$D$67+'Testes estatísticos'!$D$126)/2,"")</f>
        <v>-1.1045470000000002</v>
      </c>
      <c r="DS240" s="7">
        <f>IF(122&gt;=62,('Testes estatísticos'!$D$67+'Testes estatísticos'!$D$127)/2,"")</f>
        <v>-2.1699554999999968</v>
      </c>
      <c r="DT240" s="7">
        <f>IF(123&gt;=62,('Testes estatísticos'!$D$67+'Testes estatísticos'!$D$128)/2,"")</f>
        <v>3.8989139999999978</v>
      </c>
      <c r="DU240" s="7">
        <f>IF(124&gt;=62,('Testes estatísticos'!$D$67+'Testes estatísticos'!$D$129)/2,"")</f>
        <v>-0.99685750000000084</v>
      </c>
      <c r="DV240" s="7">
        <f>IF(125&gt;=62,('Testes estatísticos'!$D$67+'Testes estatísticos'!$D$130)/2,"")</f>
        <v>0.16144999999999854</v>
      </c>
      <c r="DW240" s="7">
        <f>IF(126&gt;=62,('Testes estatísticos'!$D$67+'Testes estatísticos'!$D$131)/2,"")</f>
        <v>-2.2420259999999992</v>
      </c>
      <c r="DX240" s="7">
        <f>IF(127&gt;=62,('Testes estatísticos'!$D$67+'Testes estatísticos'!$D$132)/2,"")</f>
        <v>-4.2982174999999998</v>
      </c>
      <c r="DY240" s="7">
        <f>IF(128&gt;=62,('Testes estatísticos'!$D$67+'Testes estatísticos'!$D$133)/2,"")</f>
        <v>-4.6393069999999987</v>
      </c>
      <c r="DZ240" s="7">
        <f>IF(129&gt;=62,('Testes estatísticos'!$D$67+'Testes estatísticos'!$D$134)/2,"")</f>
        <v>-8.0630969999999991</v>
      </c>
      <c r="EA240" s="7">
        <f>IF(130&gt;=62,('Testes estatísticos'!$D$67+'Testes estatísticos'!$D$135)/2,"")</f>
        <v>-2.301326999999997</v>
      </c>
      <c r="EB240" s="7">
        <f>IF(131&gt;=62,('Testes estatísticos'!$D$67+'Testes estatísticos'!$D$136)/2,"")</f>
        <v>-2.2134540000000023</v>
      </c>
      <c r="EC240" s="7">
        <f>IF(132&gt;=62,('Testes estatísticos'!$D$67+'Testes estatísticos'!$D$137)/2,"")</f>
        <v>-3.7001905000000015</v>
      </c>
      <c r="ED240" s="7">
        <f>IF(133&gt;=62,('Testes estatísticos'!$D$67+'Testes estatísticos'!$D$138)/2,"")</f>
        <v>-1.511253</v>
      </c>
      <c r="EE240" s="7">
        <f>IF(134&gt;=62,('Testes estatísticos'!$D$67+'Testes estatísticos'!$D$139)/2,"")</f>
        <v>-3.8084435000000028</v>
      </c>
      <c r="EF240" s="7">
        <f>IF(135&gt;=62,('Testes estatísticos'!$D$67+'Testes estatísticos'!$D$140)/2,"")</f>
        <v>-0.59401099999999829</v>
      </c>
      <c r="EG240" s="7">
        <f>IF(136&gt;=62,('Testes estatísticos'!$D$67+'Testes estatísticos'!$D$141)/2,"")</f>
        <v>-2.2875010000000024</v>
      </c>
      <c r="EH240" s="7">
        <f>IF(137&gt;=62,('Testes estatísticos'!$D$67+'Testes estatísticos'!$D$142)/2,"")</f>
        <v>-0.58276100000000142</v>
      </c>
      <c r="EI240" s="7">
        <f>IF(138&gt;=62,('Testes estatísticos'!$D$67+'Testes estatísticos'!$D$143)/2,"")</f>
        <v>-2.247776499999997</v>
      </c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</row>
    <row r="241" spans="2:151" x14ac:dyDescent="0.3">
      <c r="B241" s="7" t="str">
        <f>IF(1&gt;=63,('Testes estatísticos'!$D$68+'Testes estatísticos'!$D$6)/2,"")</f>
        <v/>
      </c>
      <c r="C241" s="7" t="str">
        <f>IF(2&gt;=63,('Testes estatísticos'!$D$68+'Testes estatísticos'!$D$7)/2,"")</f>
        <v/>
      </c>
      <c r="D241" s="7" t="str">
        <f>IF(3&gt;=63,('Testes estatísticos'!$D$68+'Testes estatísticos'!$D$8)/2,"")</f>
        <v/>
      </c>
      <c r="E241" s="7" t="str">
        <f>IF(4&gt;=63,('Testes estatísticos'!$D$68+'Testes estatísticos'!$D$9)/2,"")</f>
        <v/>
      </c>
      <c r="F241" s="7" t="str">
        <f>IF(5&gt;=63,('Testes estatísticos'!$D$68+'Testes estatísticos'!$D$10)/2,"")</f>
        <v/>
      </c>
      <c r="G241" s="7" t="str">
        <f>IF(6&gt;=63,('Testes estatísticos'!$D$68+'Testes estatísticos'!$D$11)/2,"")</f>
        <v/>
      </c>
      <c r="H241" s="7" t="str">
        <f>IF(7&gt;=63,('Testes estatísticos'!$D$68+'Testes estatísticos'!$D$12)/2,"")</f>
        <v/>
      </c>
      <c r="I241" s="7" t="str">
        <f>IF(8&gt;=63,('Testes estatísticos'!$D$68+'Testes estatísticos'!$D$13)/2,"")</f>
        <v/>
      </c>
      <c r="J241" s="7" t="str">
        <f>IF(9&gt;=63,('Testes estatísticos'!$D$68+'Testes estatísticos'!$D$14)/2,"")</f>
        <v/>
      </c>
      <c r="K241" s="7" t="str">
        <f>IF(10&gt;=63,('Testes estatísticos'!$D$68+'Testes estatísticos'!$D$15)/2,"")</f>
        <v/>
      </c>
      <c r="L241" s="7" t="str">
        <f>IF(11&gt;=63,('Testes estatísticos'!$D$68+'Testes estatísticos'!$D$16)/2,"")</f>
        <v/>
      </c>
      <c r="M241" s="7" t="str">
        <f>IF(12&gt;=63,('Testes estatísticos'!$D$68+'Testes estatísticos'!$D$17)/2,"")</f>
        <v/>
      </c>
      <c r="N241" s="7" t="str">
        <f>IF(13&gt;=63,('Testes estatísticos'!$D$68+'Testes estatísticos'!$D$18)/2,"")</f>
        <v/>
      </c>
      <c r="O241" s="7" t="str">
        <f>IF(14&gt;=63,('Testes estatísticos'!$D$68+'Testes estatísticos'!$D$19)/2,"")</f>
        <v/>
      </c>
      <c r="P241" s="7" t="str">
        <f>IF(15&gt;=63,('Testes estatísticos'!$D$68+'Testes estatísticos'!$D$20)/2,"")</f>
        <v/>
      </c>
      <c r="Q241" s="7" t="str">
        <f>IF(16&gt;=63,('Testes estatísticos'!$D$68+'Testes estatísticos'!$D$21)/2,"")</f>
        <v/>
      </c>
      <c r="R241" s="7" t="str">
        <f>IF(17&gt;=63,('Testes estatísticos'!$D$68+'Testes estatísticos'!$D$22)/2,"")</f>
        <v/>
      </c>
      <c r="S241" s="7" t="str">
        <f>IF(18&gt;=63,('Testes estatísticos'!$D$68+'Testes estatísticos'!$D$23)/2,"")</f>
        <v/>
      </c>
      <c r="T241" s="7" t="str">
        <f>IF(19&gt;=63,('Testes estatísticos'!$D$68+'Testes estatísticos'!$D$24)/2,"")</f>
        <v/>
      </c>
      <c r="U241" s="7" t="str">
        <f>IF(20&gt;=63,('Testes estatísticos'!$D$68+'Testes estatísticos'!$D$25)/2,"")</f>
        <v/>
      </c>
      <c r="V241" s="7" t="str">
        <f>IF(21&gt;=63,('Testes estatísticos'!$D$68+'Testes estatísticos'!$D$26)/2,"")</f>
        <v/>
      </c>
      <c r="W241" s="7" t="str">
        <f>IF(22&gt;=63,('Testes estatísticos'!$D$68+'Testes estatísticos'!$D$27)/2,"")</f>
        <v/>
      </c>
      <c r="X241" s="7" t="str">
        <f>IF(23&gt;=63,('Testes estatísticos'!$D$68+'Testes estatísticos'!$D$28)/2,"")</f>
        <v/>
      </c>
      <c r="Y241" s="7" t="str">
        <f>IF(24&gt;=63,('Testes estatísticos'!$D$68+'Testes estatísticos'!$D$29)/2,"")</f>
        <v/>
      </c>
      <c r="Z241" s="7" t="str">
        <f>IF(25&gt;=63,('Testes estatísticos'!$D$68+'Testes estatísticos'!$D$30)/2,"")</f>
        <v/>
      </c>
      <c r="AA241" s="7" t="str">
        <f>IF(26&gt;=63,('Testes estatísticos'!$D$68+'Testes estatísticos'!$D$31)/2,"")</f>
        <v/>
      </c>
      <c r="AB241" s="7" t="str">
        <f>IF(27&gt;=63,('Testes estatísticos'!$D$68+'Testes estatísticos'!$D$32)/2,"")</f>
        <v/>
      </c>
      <c r="AC241" s="7" t="str">
        <f>IF(28&gt;=63,('Testes estatísticos'!$D$68+'Testes estatísticos'!$D$33)/2,"")</f>
        <v/>
      </c>
      <c r="AD241" s="7" t="str">
        <f>IF(29&gt;=63,('Testes estatísticos'!$D$68+'Testes estatísticos'!$D$34)/2,"")</f>
        <v/>
      </c>
      <c r="AE241" s="7" t="str">
        <f>IF(30&gt;=63,('Testes estatísticos'!$D$68+'Testes estatísticos'!$D$35)/2,"")</f>
        <v/>
      </c>
      <c r="AF241" s="7" t="str">
        <f>IF(31&gt;=63,('Testes estatísticos'!$D$68+'Testes estatísticos'!$D$36)/2,"")</f>
        <v/>
      </c>
      <c r="AG241" s="7" t="str">
        <f>IF(32&gt;=63,('Testes estatísticos'!$D$68+'Testes estatísticos'!$D$37)/2,"")</f>
        <v/>
      </c>
      <c r="AH241" s="7" t="str">
        <f>IF(33&gt;=63,('Testes estatísticos'!$D$68+'Testes estatísticos'!$D$38)/2,"")</f>
        <v/>
      </c>
      <c r="AI241" s="7" t="str">
        <f>IF(34&gt;=63,('Testes estatísticos'!$D$68+'Testes estatísticos'!$D$39)/2,"")</f>
        <v/>
      </c>
      <c r="AJ241" s="7" t="str">
        <f>IF(35&gt;=63,('Testes estatísticos'!$D$68+'Testes estatísticos'!$D$40)/2,"")</f>
        <v/>
      </c>
      <c r="AK241" s="7" t="str">
        <f>IF(36&gt;=63,('Testes estatísticos'!$D$68+'Testes estatísticos'!$D$41)/2,"")</f>
        <v/>
      </c>
      <c r="AL241" s="7" t="str">
        <f>IF(37&gt;=63,('Testes estatísticos'!$D$68+'Testes estatísticos'!$D$42)/2,"")</f>
        <v/>
      </c>
      <c r="AM241" s="7" t="str">
        <f>IF(38&gt;=63,('Testes estatísticos'!$D$68+'Testes estatísticos'!$D$43)/2,"")</f>
        <v/>
      </c>
      <c r="AN241" s="7" t="str">
        <f>IF(39&gt;=63,('Testes estatísticos'!$D$68+'Testes estatísticos'!$D$44)/2,"")</f>
        <v/>
      </c>
      <c r="AO241" s="7" t="str">
        <f>IF(40&gt;=63,('Testes estatísticos'!$D$68+'Testes estatísticos'!$D$45)/2,"")</f>
        <v/>
      </c>
      <c r="AP241" s="7" t="str">
        <f>IF(41&gt;=63,('Testes estatísticos'!$D$68+'Testes estatísticos'!$D$46)/2,"")</f>
        <v/>
      </c>
      <c r="AQ241" s="7" t="str">
        <f>IF(42&gt;=63,('Testes estatísticos'!$D$68+'Testes estatísticos'!$D$47)/2,"")</f>
        <v/>
      </c>
      <c r="AR241" s="7" t="str">
        <f>IF(43&gt;=63,('Testes estatísticos'!$D$68+'Testes estatísticos'!$D$48)/2,"")</f>
        <v/>
      </c>
      <c r="AS241" s="7" t="str">
        <f>IF(44&gt;=63,('Testes estatísticos'!$D$68+'Testes estatísticos'!$D$49)/2,"")</f>
        <v/>
      </c>
      <c r="AT241" s="7" t="str">
        <f>IF(45&gt;=63,('Testes estatísticos'!$D$68+'Testes estatísticos'!$D$50)/2,"")</f>
        <v/>
      </c>
      <c r="AU241" s="7" t="str">
        <f>IF(46&gt;=63,('Testes estatísticos'!$D$68+'Testes estatísticos'!$D$51)/2,"")</f>
        <v/>
      </c>
      <c r="AV241" s="7" t="str">
        <f>IF(47&gt;=63,('Testes estatísticos'!$D$68+'Testes estatísticos'!$D$52)/2,"")</f>
        <v/>
      </c>
      <c r="AW241" s="7" t="str">
        <f>IF(48&gt;=63,('Testes estatísticos'!$D$68+'Testes estatísticos'!$D$53)/2,"")</f>
        <v/>
      </c>
      <c r="AX241" s="7" t="str">
        <f>IF(49&gt;=63,('Testes estatísticos'!$D$68+'Testes estatísticos'!$D$54)/2,"")</f>
        <v/>
      </c>
      <c r="AY241" s="7" t="str">
        <f>IF(50&gt;=63,('Testes estatísticos'!$D$68+'Testes estatísticos'!$D$55)/2,"")</f>
        <v/>
      </c>
      <c r="AZ241" s="7" t="str">
        <f>IF(51&gt;=63,('Testes estatísticos'!$D$68+'Testes estatísticos'!$D$56)/2,"")</f>
        <v/>
      </c>
      <c r="BA241" s="7" t="str">
        <f>IF(52&gt;=63,('Testes estatísticos'!$D$68+'Testes estatísticos'!$D$57)/2,"")</f>
        <v/>
      </c>
      <c r="BB241" s="7" t="str">
        <f>IF(53&gt;=63,('Testes estatísticos'!$D$68+'Testes estatísticos'!$D$58)/2,"")</f>
        <v/>
      </c>
      <c r="BC241" s="7" t="str">
        <f>IF(54&gt;=63,('Testes estatísticos'!$D$68+'Testes estatísticos'!$D$59)/2,"")</f>
        <v/>
      </c>
      <c r="BD241" s="7" t="str">
        <f>IF(55&gt;=63,('Testes estatísticos'!$D$68+'Testes estatísticos'!$D$60)/2,"")</f>
        <v/>
      </c>
      <c r="BE241" s="7" t="str">
        <f>IF(56&gt;=63,('Testes estatísticos'!$D$68+'Testes estatísticos'!$D$61)/2,"")</f>
        <v/>
      </c>
      <c r="BF241" s="7" t="str">
        <f>IF(57&gt;=63,('Testes estatísticos'!$D$68+'Testes estatísticos'!$D$62)/2,"")</f>
        <v/>
      </c>
      <c r="BG241" s="7" t="str">
        <f>IF(58&gt;=63,('Testes estatísticos'!$D$68+'Testes estatísticos'!$D$63)/2,"")</f>
        <v/>
      </c>
      <c r="BH241" s="7" t="str">
        <f>IF(59&gt;=63,('Testes estatísticos'!$D$68+'Testes estatísticos'!$D$64)/2,"")</f>
        <v/>
      </c>
      <c r="BI241" s="7" t="str">
        <f>IF(60&gt;=63,('Testes estatísticos'!$D$68+'Testes estatísticos'!$D$65)/2,"")</f>
        <v/>
      </c>
      <c r="BJ241" s="7" t="str">
        <f>IF(61&gt;=63,('Testes estatísticos'!$D$68+'Testes estatísticos'!$D$66)/2,"")</f>
        <v/>
      </c>
      <c r="BK241" s="7" t="str">
        <f>IF(62&gt;=63,('Testes estatísticos'!$D$68+'Testes estatísticos'!$D$67)/2,"")</f>
        <v/>
      </c>
      <c r="BL241" s="7">
        <f>IF(63&gt;=63,('Testes estatísticos'!$D$68+'Testes estatísticos'!$D$68)/2,"")</f>
        <v>1.0893909999999991</v>
      </c>
      <c r="BM241" s="7">
        <f>IF(64&gt;=63,('Testes estatísticos'!$D$68+'Testes estatísticos'!$D$69)/2,"")</f>
        <v>1.1402329999999985</v>
      </c>
      <c r="BN241" s="7">
        <f>IF(65&gt;=63,('Testes estatísticos'!$D$68+'Testes estatísticos'!$D$70)/2,"")</f>
        <v>-1.0055735000000006</v>
      </c>
      <c r="BO241" s="7">
        <f>IF(66&gt;=63,('Testes estatísticos'!$D$68+'Testes estatísticos'!$D$71)/2,"")</f>
        <v>-0.1097210000000004</v>
      </c>
      <c r="BP241" s="7">
        <f>IF(67&gt;=63,('Testes estatísticos'!$D$68+'Testes estatísticos'!$D$72)/2,"")</f>
        <v>-3.0001800000000003</v>
      </c>
      <c r="BQ241" s="7">
        <f>IF(68&gt;=63,('Testes estatísticos'!$D$68+'Testes estatísticos'!$D$73)/2,"")</f>
        <v>1.6630529999999979</v>
      </c>
      <c r="BR241" s="7">
        <f>IF(69&gt;=63,('Testes estatísticos'!$D$68+'Testes estatísticos'!$D$74)/2,"")</f>
        <v>2.2952349999999981</v>
      </c>
      <c r="BS241" s="7">
        <f>IF(70&gt;=63,('Testes estatísticos'!$D$68+'Testes estatísticos'!$D$75)/2,"")</f>
        <v>1.2907704999999972</v>
      </c>
      <c r="BT241" s="7">
        <f>IF(71&gt;=63,('Testes estatísticos'!$D$68+'Testes estatísticos'!$D$76)/2,"")</f>
        <v>2.8651354999999974</v>
      </c>
      <c r="BU241" s="7">
        <f>IF(72&gt;=63,('Testes estatísticos'!$D$68+'Testes estatísticos'!$D$77)/2,"")</f>
        <v>-2.7345615000000016</v>
      </c>
      <c r="BV241" s="7">
        <f>IF(73&gt;=63,('Testes estatísticos'!$D$68+'Testes estatísticos'!$D$78)/2,"")</f>
        <v>-0.66108700000000198</v>
      </c>
      <c r="BW241" s="7">
        <f>IF(74&gt;=63,('Testes estatísticos'!$D$68+'Testes estatísticos'!$D$79)/2,"")</f>
        <v>-1.3444055000000006</v>
      </c>
      <c r="BX241" s="7">
        <f>IF(75&gt;=63,('Testes estatísticos'!$D$68+'Testes estatísticos'!$D$80)/2,"")</f>
        <v>-1.3661835000000018</v>
      </c>
      <c r="BY241" s="7">
        <f>IF(76&gt;=63,('Testes estatísticos'!$D$68+'Testes estatísticos'!$D$81)/2,"")</f>
        <v>2.7652745000000003</v>
      </c>
      <c r="BZ241" s="7">
        <f>IF(77&gt;=63,('Testes estatísticos'!$D$68+'Testes estatísticos'!$D$82)/2,"")</f>
        <v>-2.4963149999999992</v>
      </c>
      <c r="CA241" s="7">
        <f>IF(78&gt;=63,('Testes estatísticos'!$D$68+'Testes estatísticos'!$D$83)/2,"")</f>
        <v>-0.73605599999999782</v>
      </c>
      <c r="CB241" s="7">
        <f>IF(79&gt;=63,('Testes estatísticos'!$D$68+'Testes estatísticos'!$D$84)/2,"")</f>
        <v>-0.68433350000000104</v>
      </c>
      <c r="CC241" s="7">
        <f>IF(80&gt;=63,('Testes estatísticos'!$D$68+'Testes estatísticos'!$D$85)/2,"")</f>
        <v>-2.4913500000000006</v>
      </c>
      <c r="CD241" s="7">
        <f>IF(81&gt;=63,('Testes estatísticos'!$D$68+'Testes estatísticos'!$D$86)/2,"")</f>
        <v>-2.5414950000000012</v>
      </c>
      <c r="CE241" s="7">
        <f>IF(82&gt;=63,('Testes estatísticos'!$D$68+'Testes estatísticos'!$D$87)/2,"")</f>
        <v>-0.46370450000000218</v>
      </c>
      <c r="CF241" s="7">
        <f>IF(83&gt;=63,('Testes estatísticos'!$D$68+'Testes estatísticos'!$D$88)/2,"")</f>
        <v>-0.99251150000000266</v>
      </c>
      <c r="CG241" s="7">
        <f>IF(84&gt;=63,('Testes estatísticos'!$D$68+'Testes estatísticos'!$D$89)/2,"")</f>
        <v>-1.3244185000000002</v>
      </c>
      <c r="CH241" s="7">
        <f>IF(85&gt;=63,('Testes estatísticos'!$D$68+'Testes estatísticos'!$D$90)/2,"")</f>
        <v>0.49112849999999852</v>
      </c>
      <c r="CI241" s="7">
        <f>IF(86&gt;=63,('Testes estatísticos'!$D$68+'Testes estatísticos'!$D$91)/2,"")</f>
        <v>-2.199030999999998</v>
      </c>
      <c r="CJ241" s="7">
        <f>IF(87&gt;=63,('Testes estatísticos'!$D$68+'Testes estatísticos'!$D$92)/2,"")</f>
        <v>-0.95682449999999974</v>
      </c>
      <c r="CK241" s="7">
        <f>IF(88&gt;=63,('Testes estatísticos'!$D$68+'Testes estatísticos'!$D$93)/2,"")</f>
        <v>-0.71274100000000118</v>
      </c>
      <c r="CL241" s="7">
        <f>IF(89&gt;=63,('Testes estatísticos'!$D$68+'Testes estatísticos'!$D$94)/2,"")</f>
        <v>-1.3243330000000029</v>
      </c>
      <c r="CM241" s="7">
        <f>IF(90&gt;=63,('Testes estatísticos'!$D$68+'Testes estatísticos'!$D$95)/2,"")</f>
        <v>-3.6584649999999996</v>
      </c>
      <c r="CN241" s="7">
        <f>IF(91&gt;=63,('Testes estatísticos'!$D$68+'Testes estatísticos'!$D$96)/2,"")</f>
        <v>-1.1199419999999982</v>
      </c>
      <c r="CO241" s="7">
        <f>IF(92&gt;=63,('Testes estatísticos'!$D$68+'Testes estatísticos'!$D$97)/2,"")</f>
        <v>-1.466445499999999</v>
      </c>
      <c r="CP241" s="7">
        <f>IF(93&gt;=63,('Testes estatísticos'!$D$68+'Testes estatísticos'!$D$98)/2,"")</f>
        <v>-1.6711974999999981</v>
      </c>
      <c r="CQ241" s="7">
        <f>IF(94&gt;=63,('Testes estatísticos'!$D$68+'Testes estatísticos'!$D$99)/2,"")</f>
        <v>0.50996049999999826</v>
      </c>
      <c r="CR241" s="7">
        <f>IF(95&gt;=63,('Testes estatísticos'!$D$68+'Testes estatísticos'!$D$100)/2,"")</f>
        <v>-1.3958325000000009</v>
      </c>
      <c r="CS241" s="7">
        <f>IF(96&gt;=63,('Testes estatísticos'!$D$68+'Testes estatísticos'!$D$101)/2,"")</f>
        <v>-1.3518455000000031</v>
      </c>
      <c r="CT241" s="7">
        <f>IF(97&gt;=63,('Testes estatísticos'!$D$68+'Testes estatísticos'!$D$102)/2,"")</f>
        <v>-1.1187950000000022</v>
      </c>
      <c r="CU241" s="7">
        <f>IF(98&gt;=63,('Testes estatísticos'!$D$68+'Testes estatísticos'!$D$103)/2,"")</f>
        <v>-1.0614689999999989</v>
      </c>
      <c r="CV241" s="7">
        <f>IF(99&gt;=63,('Testes estatísticos'!$D$68+'Testes estatísticos'!$D$104)/2,"")</f>
        <v>-1.4962949999999999</v>
      </c>
      <c r="CW241" s="7">
        <f>IF(100&gt;=63,('Testes estatísticos'!$D$68+'Testes estatísticos'!$D$105)/2,"")</f>
        <v>-1.5957609999999995</v>
      </c>
      <c r="CX241" s="7">
        <f>IF(101&gt;=63,('Testes estatísticos'!$D$68+'Testes estatísticos'!$D$106)/2,"")</f>
        <v>-1.072834499999999</v>
      </c>
      <c r="CY241" s="7">
        <f>IF(102&gt;=63,('Testes estatísticos'!$D$68+'Testes estatísticos'!$D$107)/2,"")</f>
        <v>-1.1284995000000002</v>
      </c>
      <c r="CZ241" s="7">
        <f>IF(103&gt;=63,('Testes estatísticos'!$D$68+'Testes estatísticos'!$D$108)/2,"")</f>
        <v>-1.652666</v>
      </c>
      <c r="DA241" s="7">
        <f>IF(104&gt;=63,('Testes estatísticos'!$D$68+'Testes estatísticos'!$D$109)/2,"")</f>
        <v>-1.3900319999999979</v>
      </c>
      <c r="DB241" s="7">
        <f>IF(105&gt;=63,('Testes estatísticos'!$D$68+'Testes estatísticos'!$D$110)/2,"")</f>
        <v>-1.3557009999999998</v>
      </c>
      <c r="DC241" s="7">
        <f>IF(106&gt;=63,('Testes estatísticos'!$D$68+'Testes estatísticos'!$D$111)/2,"")</f>
        <v>-0.61278000000000077</v>
      </c>
      <c r="DD241" s="7">
        <f>IF(107&gt;=63,('Testes estatísticos'!$D$68+'Testes estatísticos'!$D$112)/2,"")</f>
        <v>2.8803909999999995</v>
      </c>
      <c r="DE241" s="7">
        <f>IF(108&gt;=63,('Testes estatísticos'!$D$68+'Testes estatísticos'!$D$113)/2,"")</f>
        <v>-0.54224449999999891</v>
      </c>
      <c r="DF241" s="7">
        <f>IF(109&gt;=63,('Testes estatísticos'!$D$68+'Testes estatísticos'!$D$114)/2,"")</f>
        <v>-0.578501499999998</v>
      </c>
      <c r="DG241" s="7">
        <f>IF(110&gt;=63,('Testes estatísticos'!$D$68+'Testes estatísticos'!$D$115)/2,"")</f>
        <v>-6.1256410000000017</v>
      </c>
      <c r="DH241" s="7">
        <f>IF(111&gt;=63,('Testes estatísticos'!$D$68+'Testes estatísticos'!$D$116)/2,"")</f>
        <v>-0.44481049999999911</v>
      </c>
      <c r="DI241" s="7">
        <f>IF(112&gt;=63,('Testes estatísticos'!$D$68+'Testes estatísticos'!$D$117)/2,"")</f>
        <v>4.9836294999999993</v>
      </c>
      <c r="DJ241" s="7">
        <f>IF(113&gt;=63,('Testes estatísticos'!$D$68+'Testes estatísticos'!$D$118)/2,"")</f>
        <v>-0.47292750000000083</v>
      </c>
      <c r="DK241" s="7">
        <f>IF(114&gt;=63,('Testes estatísticos'!$D$68+'Testes estatísticos'!$D$119)/2,"")</f>
        <v>-0.57467749999999995</v>
      </c>
      <c r="DL241" s="7">
        <f>IF(115&gt;=63,('Testes estatísticos'!$D$68+'Testes estatísticos'!$D$120)/2,"")</f>
        <v>-0.52819999999999823</v>
      </c>
      <c r="DM241" s="7">
        <f>IF(116&gt;=63,('Testes estatísticos'!$D$68+'Testes estatísticos'!$D$121)/2,"")</f>
        <v>-0.51959749999999971</v>
      </c>
      <c r="DN241" s="7">
        <f>IF(117&gt;=63,('Testes estatísticos'!$D$68+'Testes estatísticos'!$D$122)/2,"")</f>
        <v>-0.49652950000000118</v>
      </c>
      <c r="DO241" s="7">
        <f>IF(118&gt;=63,('Testes estatísticos'!$D$68+'Testes estatísticos'!$D$123)/2,"")</f>
        <v>-0.44661900000000188</v>
      </c>
      <c r="DP241" s="7">
        <f>IF(119&gt;=63,('Testes estatísticos'!$D$68+'Testes estatísticos'!$D$124)/2,"")</f>
        <v>-0.46783050000000159</v>
      </c>
      <c r="DQ241" s="7">
        <f>IF(120&gt;=63,('Testes estatísticos'!$D$68+'Testes estatísticos'!$D$125)/2,"")</f>
        <v>2.5837840000000014</v>
      </c>
      <c r="DR241" s="7">
        <f>IF(121&gt;=63,('Testes estatísticos'!$D$68+'Testes estatísticos'!$D$126)/2,"")</f>
        <v>-0.20523250000000104</v>
      </c>
      <c r="DS241" s="7">
        <f>IF(122&gt;=63,('Testes estatísticos'!$D$68+'Testes estatísticos'!$D$127)/2,"")</f>
        <v>-1.2706409999999977</v>
      </c>
      <c r="DT241" s="7">
        <f>IF(123&gt;=63,('Testes estatísticos'!$D$68+'Testes estatísticos'!$D$128)/2,"")</f>
        <v>4.7982284999999969</v>
      </c>
      <c r="DU241" s="7">
        <f>IF(124&gt;=63,('Testes estatísticos'!$D$68+'Testes estatísticos'!$D$129)/2,"")</f>
        <v>-9.7543000000001712E-2</v>
      </c>
      <c r="DV241" s="7">
        <f>IF(125&gt;=63,('Testes estatísticos'!$D$68+'Testes estatísticos'!$D$130)/2,"")</f>
        <v>1.0607644999999977</v>
      </c>
      <c r="DW241" s="7">
        <f>IF(126&gt;=63,('Testes estatísticos'!$D$68+'Testes estatísticos'!$D$131)/2,"")</f>
        <v>-1.3427115000000001</v>
      </c>
      <c r="DX241" s="7">
        <f>IF(127&gt;=63,('Testes estatísticos'!$D$68+'Testes estatísticos'!$D$132)/2,"")</f>
        <v>-3.3989030000000007</v>
      </c>
      <c r="DY241" s="7">
        <f>IF(128&gt;=63,('Testes estatísticos'!$D$68+'Testes estatísticos'!$D$133)/2,"")</f>
        <v>-3.7399924999999996</v>
      </c>
      <c r="DZ241" s="7">
        <f>IF(129&gt;=63,('Testes estatísticos'!$D$68+'Testes estatísticos'!$D$134)/2,"")</f>
        <v>-7.1637824999999999</v>
      </c>
      <c r="EA241" s="7">
        <f>IF(130&gt;=63,('Testes estatísticos'!$D$68+'Testes estatísticos'!$D$135)/2,"")</f>
        <v>-1.4020124999999979</v>
      </c>
      <c r="EB241" s="7">
        <f>IF(131&gt;=63,('Testes estatísticos'!$D$68+'Testes estatísticos'!$D$136)/2,"")</f>
        <v>-1.3141395000000031</v>
      </c>
      <c r="EC241" s="7">
        <f>IF(132&gt;=63,('Testes estatísticos'!$D$68+'Testes estatísticos'!$D$137)/2,"")</f>
        <v>-2.8008760000000024</v>
      </c>
      <c r="ED241" s="7">
        <f>IF(133&gt;=63,('Testes estatísticos'!$D$68+'Testes estatísticos'!$D$138)/2,"")</f>
        <v>-0.61193850000000083</v>
      </c>
      <c r="EE241" s="7">
        <f>IF(134&gt;=63,('Testes estatísticos'!$D$68+'Testes estatísticos'!$D$139)/2,"")</f>
        <v>-2.9091290000000036</v>
      </c>
      <c r="EF241" s="7">
        <f>IF(135&gt;=63,('Testes estatísticos'!$D$68+'Testes estatísticos'!$D$140)/2,"")</f>
        <v>0.30530350000000084</v>
      </c>
      <c r="EG241" s="7">
        <f>IF(136&gt;=63,('Testes estatísticos'!$D$68+'Testes estatísticos'!$D$141)/2,"")</f>
        <v>-1.3881865000000033</v>
      </c>
      <c r="EH241" s="7">
        <f>IF(137&gt;=63,('Testes estatísticos'!$D$68+'Testes estatísticos'!$D$142)/2,"")</f>
        <v>0.31655349999999771</v>
      </c>
      <c r="EI241" s="7">
        <f>IF(138&gt;=63,('Testes estatísticos'!$D$68+'Testes estatísticos'!$D$143)/2,"")</f>
        <v>-1.3484619999999978</v>
      </c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</row>
    <row r="242" spans="2:151" x14ac:dyDescent="0.3">
      <c r="B242" s="7" t="str">
        <f>IF(1&gt;=64,('Testes estatísticos'!$D$69+'Testes estatísticos'!$D$6)/2,"")</f>
        <v/>
      </c>
      <c r="C242" s="7" t="str">
        <f>IF(2&gt;=64,('Testes estatísticos'!$D$69+'Testes estatísticos'!$D$7)/2,"")</f>
        <v/>
      </c>
      <c r="D242" s="7" t="str">
        <f>IF(3&gt;=64,('Testes estatísticos'!$D$69+'Testes estatísticos'!$D$8)/2,"")</f>
        <v/>
      </c>
      <c r="E242" s="7" t="str">
        <f>IF(4&gt;=64,('Testes estatísticos'!$D$69+'Testes estatísticos'!$D$9)/2,"")</f>
        <v/>
      </c>
      <c r="F242" s="7" t="str">
        <f>IF(5&gt;=64,('Testes estatísticos'!$D$69+'Testes estatísticos'!$D$10)/2,"")</f>
        <v/>
      </c>
      <c r="G242" s="7" t="str">
        <f>IF(6&gt;=64,('Testes estatísticos'!$D$69+'Testes estatísticos'!$D$11)/2,"")</f>
        <v/>
      </c>
      <c r="H242" s="7" t="str">
        <f>IF(7&gt;=64,('Testes estatísticos'!$D$69+'Testes estatísticos'!$D$12)/2,"")</f>
        <v/>
      </c>
      <c r="I242" s="7" t="str">
        <f>IF(8&gt;=64,('Testes estatísticos'!$D$69+'Testes estatísticos'!$D$13)/2,"")</f>
        <v/>
      </c>
      <c r="J242" s="7" t="str">
        <f>IF(9&gt;=64,('Testes estatísticos'!$D$69+'Testes estatísticos'!$D$14)/2,"")</f>
        <v/>
      </c>
      <c r="K242" s="7" t="str">
        <f>IF(10&gt;=64,('Testes estatísticos'!$D$69+'Testes estatísticos'!$D$15)/2,"")</f>
        <v/>
      </c>
      <c r="L242" s="7" t="str">
        <f>IF(11&gt;=64,('Testes estatísticos'!$D$69+'Testes estatísticos'!$D$16)/2,"")</f>
        <v/>
      </c>
      <c r="M242" s="7" t="str">
        <f>IF(12&gt;=64,('Testes estatísticos'!$D$69+'Testes estatísticos'!$D$17)/2,"")</f>
        <v/>
      </c>
      <c r="N242" s="7" t="str">
        <f>IF(13&gt;=64,('Testes estatísticos'!$D$69+'Testes estatísticos'!$D$18)/2,"")</f>
        <v/>
      </c>
      <c r="O242" s="7" t="str">
        <f>IF(14&gt;=64,('Testes estatísticos'!$D$69+'Testes estatísticos'!$D$19)/2,"")</f>
        <v/>
      </c>
      <c r="P242" s="7" t="str">
        <f>IF(15&gt;=64,('Testes estatísticos'!$D$69+'Testes estatísticos'!$D$20)/2,"")</f>
        <v/>
      </c>
      <c r="Q242" s="7" t="str">
        <f>IF(16&gt;=64,('Testes estatísticos'!$D$69+'Testes estatísticos'!$D$21)/2,"")</f>
        <v/>
      </c>
      <c r="R242" s="7" t="str">
        <f>IF(17&gt;=64,('Testes estatísticos'!$D$69+'Testes estatísticos'!$D$22)/2,"")</f>
        <v/>
      </c>
      <c r="S242" s="7" t="str">
        <f>IF(18&gt;=64,('Testes estatísticos'!$D$69+'Testes estatísticos'!$D$23)/2,"")</f>
        <v/>
      </c>
      <c r="T242" s="7" t="str">
        <f>IF(19&gt;=64,('Testes estatísticos'!$D$69+'Testes estatísticos'!$D$24)/2,"")</f>
        <v/>
      </c>
      <c r="U242" s="7" t="str">
        <f>IF(20&gt;=64,('Testes estatísticos'!$D$69+'Testes estatísticos'!$D$25)/2,"")</f>
        <v/>
      </c>
      <c r="V242" s="7" t="str">
        <f>IF(21&gt;=64,('Testes estatísticos'!$D$69+'Testes estatísticos'!$D$26)/2,"")</f>
        <v/>
      </c>
      <c r="W242" s="7" t="str">
        <f>IF(22&gt;=64,('Testes estatísticos'!$D$69+'Testes estatísticos'!$D$27)/2,"")</f>
        <v/>
      </c>
      <c r="X242" s="7" t="str">
        <f>IF(23&gt;=64,('Testes estatísticos'!$D$69+'Testes estatísticos'!$D$28)/2,"")</f>
        <v/>
      </c>
      <c r="Y242" s="7" t="str">
        <f>IF(24&gt;=64,('Testes estatísticos'!$D$69+'Testes estatísticos'!$D$29)/2,"")</f>
        <v/>
      </c>
      <c r="Z242" s="7" t="str">
        <f>IF(25&gt;=64,('Testes estatísticos'!$D$69+'Testes estatísticos'!$D$30)/2,"")</f>
        <v/>
      </c>
      <c r="AA242" s="7" t="str">
        <f>IF(26&gt;=64,('Testes estatísticos'!$D$69+'Testes estatísticos'!$D$31)/2,"")</f>
        <v/>
      </c>
      <c r="AB242" s="7" t="str">
        <f>IF(27&gt;=64,('Testes estatísticos'!$D$69+'Testes estatísticos'!$D$32)/2,"")</f>
        <v/>
      </c>
      <c r="AC242" s="7" t="str">
        <f>IF(28&gt;=64,('Testes estatísticos'!$D$69+'Testes estatísticos'!$D$33)/2,"")</f>
        <v/>
      </c>
      <c r="AD242" s="7" t="str">
        <f>IF(29&gt;=64,('Testes estatísticos'!$D$69+'Testes estatísticos'!$D$34)/2,"")</f>
        <v/>
      </c>
      <c r="AE242" s="7" t="str">
        <f>IF(30&gt;=64,('Testes estatísticos'!$D$69+'Testes estatísticos'!$D$35)/2,"")</f>
        <v/>
      </c>
      <c r="AF242" s="7" t="str">
        <f>IF(31&gt;=64,('Testes estatísticos'!$D$69+'Testes estatísticos'!$D$36)/2,"")</f>
        <v/>
      </c>
      <c r="AG242" s="7" t="str">
        <f>IF(32&gt;=64,('Testes estatísticos'!$D$69+'Testes estatísticos'!$D$37)/2,"")</f>
        <v/>
      </c>
      <c r="AH242" s="7" t="str">
        <f>IF(33&gt;=64,('Testes estatísticos'!$D$69+'Testes estatísticos'!$D$38)/2,"")</f>
        <v/>
      </c>
      <c r="AI242" s="7" t="str">
        <f>IF(34&gt;=64,('Testes estatísticos'!$D$69+'Testes estatísticos'!$D$39)/2,"")</f>
        <v/>
      </c>
      <c r="AJ242" s="7" t="str">
        <f>IF(35&gt;=64,('Testes estatísticos'!$D$69+'Testes estatísticos'!$D$40)/2,"")</f>
        <v/>
      </c>
      <c r="AK242" s="7" t="str">
        <f>IF(36&gt;=64,('Testes estatísticos'!$D$69+'Testes estatísticos'!$D$41)/2,"")</f>
        <v/>
      </c>
      <c r="AL242" s="7" t="str">
        <f>IF(37&gt;=64,('Testes estatísticos'!$D$69+'Testes estatísticos'!$D$42)/2,"")</f>
        <v/>
      </c>
      <c r="AM242" s="7" t="str">
        <f>IF(38&gt;=64,('Testes estatísticos'!$D$69+'Testes estatísticos'!$D$43)/2,"")</f>
        <v/>
      </c>
      <c r="AN242" s="7" t="str">
        <f>IF(39&gt;=64,('Testes estatísticos'!$D$69+'Testes estatísticos'!$D$44)/2,"")</f>
        <v/>
      </c>
      <c r="AO242" s="7" t="str">
        <f>IF(40&gt;=64,('Testes estatísticos'!$D$69+'Testes estatísticos'!$D$45)/2,"")</f>
        <v/>
      </c>
      <c r="AP242" s="7" t="str">
        <f>IF(41&gt;=64,('Testes estatísticos'!$D$69+'Testes estatísticos'!$D$46)/2,"")</f>
        <v/>
      </c>
      <c r="AQ242" s="7" t="str">
        <f>IF(42&gt;=64,('Testes estatísticos'!$D$69+'Testes estatísticos'!$D$47)/2,"")</f>
        <v/>
      </c>
      <c r="AR242" s="7" t="str">
        <f>IF(43&gt;=64,('Testes estatísticos'!$D$69+'Testes estatísticos'!$D$48)/2,"")</f>
        <v/>
      </c>
      <c r="AS242" s="7" t="str">
        <f>IF(44&gt;=64,('Testes estatísticos'!$D$69+'Testes estatísticos'!$D$49)/2,"")</f>
        <v/>
      </c>
      <c r="AT242" s="7" t="str">
        <f>IF(45&gt;=64,('Testes estatísticos'!$D$69+'Testes estatísticos'!$D$50)/2,"")</f>
        <v/>
      </c>
      <c r="AU242" s="7" t="str">
        <f>IF(46&gt;=64,('Testes estatísticos'!$D$69+'Testes estatísticos'!$D$51)/2,"")</f>
        <v/>
      </c>
      <c r="AV242" s="7" t="str">
        <f>IF(47&gt;=64,('Testes estatísticos'!$D$69+'Testes estatísticos'!$D$52)/2,"")</f>
        <v/>
      </c>
      <c r="AW242" s="7" t="str">
        <f>IF(48&gt;=64,('Testes estatísticos'!$D$69+'Testes estatísticos'!$D$53)/2,"")</f>
        <v/>
      </c>
      <c r="AX242" s="7" t="str">
        <f>IF(49&gt;=64,('Testes estatísticos'!$D$69+'Testes estatísticos'!$D$54)/2,"")</f>
        <v/>
      </c>
      <c r="AY242" s="7" t="str">
        <f>IF(50&gt;=64,('Testes estatísticos'!$D$69+'Testes estatísticos'!$D$55)/2,"")</f>
        <v/>
      </c>
      <c r="AZ242" s="7" t="str">
        <f>IF(51&gt;=64,('Testes estatísticos'!$D$69+'Testes estatísticos'!$D$56)/2,"")</f>
        <v/>
      </c>
      <c r="BA242" s="7" t="str">
        <f>IF(52&gt;=64,('Testes estatísticos'!$D$69+'Testes estatísticos'!$D$57)/2,"")</f>
        <v/>
      </c>
      <c r="BB242" s="7" t="str">
        <f>IF(53&gt;=64,('Testes estatísticos'!$D$69+'Testes estatísticos'!$D$58)/2,"")</f>
        <v/>
      </c>
      <c r="BC242" s="7" t="str">
        <f>IF(54&gt;=64,('Testes estatísticos'!$D$69+'Testes estatísticos'!$D$59)/2,"")</f>
        <v/>
      </c>
      <c r="BD242" s="7" t="str">
        <f>IF(55&gt;=64,('Testes estatísticos'!$D$69+'Testes estatísticos'!$D$60)/2,"")</f>
        <v/>
      </c>
      <c r="BE242" s="7" t="str">
        <f>IF(56&gt;=64,('Testes estatísticos'!$D$69+'Testes estatísticos'!$D$61)/2,"")</f>
        <v/>
      </c>
      <c r="BF242" s="7" t="str">
        <f>IF(57&gt;=64,('Testes estatísticos'!$D$69+'Testes estatísticos'!$D$62)/2,"")</f>
        <v/>
      </c>
      <c r="BG242" s="7" t="str">
        <f>IF(58&gt;=64,('Testes estatísticos'!$D$69+'Testes estatísticos'!$D$63)/2,"")</f>
        <v/>
      </c>
      <c r="BH242" s="7" t="str">
        <f>IF(59&gt;=64,('Testes estatísticos'!$D$69+'Testes estatísticos'!$D$64)/2,"")</f>
        <v/>
      </c>
      <c r="BI242" s="7" t="str">
        <f>IF(60&gt;=64,('Testes estatísticos'!$D$69+'Testes estatísticos'!$D$65)/2,"")</f>
        <v/>
      </c>
      <c r="BJ242" s="7" t="str">
        <f>IF(61&gt;=64,('Testes estatísticos'!$D$69+'Testes estatísticos'!$D$66)/2,"")</f>
        <v/>
      </c>
      <c r="BK242" s="7" t="str">
        <f>IF(62&gt;=64,('Testes estatísticos'!$D$69+'Testes estatísticos'!$D$67)/2,"")</f>
        <v/>
      </c>
      <c r="BL242" s="7" t="str">
        <f>IF(63&gt;=64,('Testes estatísticos'!$D$69+'Testes estatísticos'!$D$68)/2,"")</f>
        <v/>
      </c>
      <c r="BM242" s="7">
        <f>IF(64&gt;=64,('Testes estatísticos'!$D$69+'Testes estatísticos'!$D$69)/2,"")</f>
        <v>1.1910749999999979</v>
      </c>
      <c r="BN242" s="7">
        <f>IF(65&gt;=64,('Testes estatísticos'!$D$69+'Testes estatísticos'!$D$70)/2,"")</f>
        <v>-0.95473150000000118</v>
      </c>
      <c r="BO242" s="7">
        <f>IF(66&gt;=64,('Testes estatísticos'!$D$69+'Testes estatísticos'!$D$71)/2,"")</f>
        <v>-5.8879000000001014E-2</v>
      </c>
      <c r="BP242" s="7">
        <f>IF(67&gt;=64,('Testes estatísticos'!$D$69+'Testes estatísticos'!$D$72)/2,"")</f>
        <v>-2.9493380000000009</v>
      </c>
      <c r="BQ242" s="7">
        <f>IF(68&gt;=64,('Testes estatísticos'!$D$69+'Testes estatísticos'!$D$73)/2,"")</f>
        <v>1.7138949999999973</v>
      </c>
      <c r="BR242" s="7">
        <f>IF(69&gt;=64,('Testes estatísticos'!$D$69+'Testes estatísticos'!$D$74)/2,"")</f>
        <v>2.3460769999999975</v>
      </c>
      <c r="BS242" s="7">
        <f>IF(70&gt;=64,('Testes estatísticos'!$D$69+'Testes estatísticos'!$D$75)/2,"")</f>
        <v>1.3416124999999965</v>
      </c>
      <c r="BT242" s="7">
        <f>IF(71&gt;=64,('Testes estatísticos'!$D$69+'Testes estatísticos'!$D$76)/2,"")</f>
        <v>2.9159774999999968</v>
      </c>
      <c r="BU242" s="7">
        <f>IF(72&gt;=64,('Testes estatísticos'!$D$69+'Testes estatísticos'!$D$77)/2,"")</f>
        <v>-2.6837195000000023</v>
      </c>
      <c r="BV242" s="7">
        <f>IF(73&gt;=64,('Testes estatísticos'!$D$69+'Testes estatísticos'!$D$78)/2,"")</f>
        <v>-0.61024500000000259</v>
      </c>
      <c r="BW242" s="7">
        <f>IF(74&gt;=64,('Testes estatísticos'!$D$69+'Testes estatísticos'!$D$79)/2,"")</f>
        <v>-1.2935635000000012</v>
      </c>
      <c r="BX242" s="7">
        <f>IF(75&gt;=64,('Testes estatísticos'!$D$69+'Testes estatísticos'!$D$80)/2,"")</f>
        <v>-1.3153415000000024</v>
      </c>
      <c r="BY242" s="7">
        <f>IF(76&gt;=64,('Testes estatísticos'!$D$69+'Testes estatísticos'!$D$81)/2,"")</f>
        <v>2.8161164999999997</v>
      </c>
      <c r="BZ242" s="7">
        <f>IF(77&gt;=64,('Testes estatísticos'!$D$69+'Testes estatísticos'!$D$82)/2,"")</f>
        <v>-2.4454729999999998</v>
      </c>
      <c r="CA242" s="7">
        <f>IF(78&gt;=64,('Testes estatísticos'!$D$69+'Testes estatísticos'!$D$83)/2,"")</f>
        <v>-0.68521399999999844</v>
      </c>
      <c r="CB242" s="7">
        <f>IF(79&gt;=64,('Testes estatísticos'!$D$69+'Testes estatísticos'!$D$84)/2,"")</f>
        <v>-0.63349150000000165</v>
      </c>
      <c r="CC242" s="7">
        <f>IF(80&gt;=64,('Testes estatísticos'!$D$69+'Testes estatísticos'!$D$85)/2,"")</f>
        <v>-2.4405080000000012</v>
      </c>
      <c r="CD242" s="7">
        <f>IF(81&gt;=64,('Testes estatísticos'!$D$69+'Testes estatísticos'!$D$86)/2,"")</f>
        <v>-2.4906530000000018</v>
      </c>
      <c r="CE242" s="7">
        <f>IF(82&gt;=64,('Testes estatísticos'!$D$69+'Testes estatísticos'!$D$87)/2,"")</f>
        <v>-0.4128625000000028</v>
      </c>
      <c r="CF242" s="7">
        <f>IF(83&gt;=64,('Testes estatísticos'!$D$69+'Testes estatísticos'!$D$88)/2,"")</f>
        <v>-0.94166950000000327</v>
      </c>
      <c r="CG242" s="7">
        <f>IF(84&gt;=64,('Testes estatísticos'!$D$69+'Testes estatísticos'!$D$89)/2,"")</f>
        <v>-1.2735765000000008</v>
      </c>
      <c r="CH242" s="7">
        <f>IF(85&gt;=64,('Testes estatísticos'!$D$69+'Testes estatísticos'!$D$90)/2,"")</f>
        <v>0.54197049999999791</v>
      </c>
      <c r="CI242" s="7">
        <f>IF(86&gt;=64,('Testes estatísticos'!$D$69+'Testes estatísticos'!$D$91)/2,"")</f>
        <v>-2.1481889999999986</v>
      </c>
      <c r="CJ242" s="7">
        <f>IF(87&gt;=64,('Testes estatísticos'!$D$69+'Testes estatísticos'!$D$92)/2,"")</f>
        <v>-0.90598250000000036</v>
      </c>
      <c r="CK242" s="7">
        <f>IF(88&gt;=64,('Testes estatísticos'!$D$69+'Testes estatísticos'!$D$93)/2,"")</f>
        <v>-0.66189900000000179</v>
      </c>
      <c r="CL242" s="7">
        <f>IF(89&gt;=64,('Testes estatísticos'!$D$69+'Testes estatísticos'!$D$94)/2,"")</f>
        <v>-1.2734910000000035</v>
      </c>
      <c r="CM242" s="7">
        <f>IF(90&gt;=64,('Testes estatísticos'!$D$69+'Testes estatísticos'!$D$95)/2,"")</f>
        <v>-3.6076230000000002</v>
      </c>
      <c r="CN242" s="7">
        <f>IF(91&gt;=64,('Testes estatísticos'!$D$69+'Testes estatísticos'!$D$96)/2,"")</f>
        <v>-1.0690999999999988</v>
      </c>
      <c r="CO242" s="7">
        <f>IF(92&gt;=64,('Testes estatísticos'!$D$69+'Testes estatísticos'!$D$97)/2,"")</f>
        <v>-1.4156034999999996</v>
      </c>
      <c r="CP242" s="7">
        <f>IF(93&gt;=64,('Testes estatísticos'!$D$69+'Testes estatísticos'!$D$98)/2,"")</f>
        <v>-1.6203554999999987</v>
      </c>
      <c r="CQ242" s="7">
        <f>IF(94&gt;=64,('Testes estatísticos'!$D$69+'Testes estatísticos'!$D$99)/2,"")</f>
        <v>0.56080249999999765</v>
      </c>
      <c r="CR242" s="7">
        <f>IF(95&gt;=64,('Testes estatísticos'!$D$69+'Testes estatísticos'!$D$100)/2,"")</f>
        <v>-1.3449905000000015</v>
      </c>
      <c r="CS242" s="7">
        <f>IF(96&gt;=64,('Testes estatísticos'!$D$69+'Testes estatísticos'!$D$101)/2,"")</f>
        <v>-1.3010035000000038</v>
      </c>
      <c r="CT242" s="7">
        <f>IF(97&gt;=64,('Testes estatísticos'!$D$69+'Testes estatísticos'!$D$102)/2,"")</f>
        <v>-1.0679530000000028</v>
      </c>
      <c r="CU242" s="7">
        <f>IF(98&gt;=64,('Testes estatísticos'!$D$69+'Testes estatísticos'!$D$103)/2,"")</f>
        <v>-1.0106269999999995</v>
      </c>
      <c r="CV242" s="7">
        <f>IF(99&gt;=64,('Testes estatísticos'!$D$69+'Testes estatísticos'!$D$104)/2,"")</f>
        <v>-1.4454530000000005</v>
      </c>
      <c r="CW242" s="7">
        <f>IF(100&gt;=64,('Testes estatísticos'!$D$69+'Testes estatísticos'!$D$105)/2,"")</f>
        <v>-1.5449190000000002</v>
      </c>
      <c r="CX242" s="7">
        <f>IF(101&gt;=64,('Testes estatísticos'!$D$69+'Testes estatísticos'!$D$106)/2,"")</f>
        <v>-1.0219924999999996</v>
      </c>
      <c r="CY242" s="7">
        <f>IF(102&gt;=64,('Testes estatísticos'!$D$69+'Testes estatísticos'!$D$107)/2,"")</f>
        <v>-1.0776575000000008</v>
      </c>
      <c r="CZ242" s="7">
        <f>IF(103&gt;=64,('Testes estatísticos'!$D$69+'Testes estatísticos'!$D$108)/2,"")</f>
        <v>-1.6018240000000006</v>
      </c>
      <c r="DA242" s="7">
        <f>IF(104&gt;=64,('Testes estatísticos'!$D$69+'Testes estatísticos'!$D$109)/2,"")</f>
        <v>-1.3391899999999985</v>
      </c>
      <c r="DB242" s="7">
        <f>IF(105&gt;=64,('Testes estatísticos'!$D$69+'Testes estatísticos'!$D$110)/2,"")</f>
        <v>-1.3048590000000004</v>
      </c>
      <c r="DC242" s="7">
        <f>IF(106&gt;=64,('Testes estatísticos'!$D$69+'Testes estatísticos'!$D$111)/2,"")</f>
        <v>-0.56193800000000138</v>
      </c>
      <c r="DD242" s="7">
        <f>IF(107&gt;=64,('Testes estatísticos'!$D$69+'Testes estatísticos'!$D$112)/2,"")</f>
        <v>2.9312329999999989</v>
      </c>
      <c r="DE242" s="7">
        <f>IF(108&gt;=64,('Testes estatísticos'!$D$69+'Testes estatísticos'!$D$113)/2,"")</f>
        <v>-0.49140249999999952</v>
      </c>
      <c r="DF242" s="7">
        <f>IF(109&gt;=64,('Testes estatísticos'!$D$69+'Testes estatísticos'!$D$114)/2,"")</f>
        <v>-0.52765949999999862</v>
      </c>
      <c r="DG242" s="7">
        <f>IF(110&gt;=64,('Testes estatísticos'!$D$69+'Testes estatísticos'!$D$115)/2,"")</f>
        <v>-6.0747990000000023</v>
      </c>
      <c r="DH242" s="7">
        <f>IF(111&gt;=64,('Testes estatísticos'!$D$69+'Testes estatísticos'!$D$116)/2,"")</f>
        <v>-0.39396849999999972</v>
      </c>
      <c r="DI242" s="7">
        <f>IF(112&gt;=64,('Testes estatísticos'!$D$69+'Testes estatísticos'!$D$117)/2,"")</f>
        <v>5.0344714999999987</v>
      </c>
      <c r="DJ242" s="7">
        <f>IF(113&gt;=64,('Testes estatísticos'!$D$69+'Testes estatísticos'!$D$118)/2,"")</f>
        <v>-0.42208550000000145</v>
      </c>
      <c r="DK242" s="7">
        <f>IF(114&gt;=64,('Testes estatísticos'!$D$69+'Testes estatísticos'!$D$119)/2,"")</f>
        <v>-0.52383550000000056</v>
      </c>
      <c r="DL242" s="7">
        <f>IF(115&gt;=64,('Testes estatísticos'!$D$69+'Testes estatísticos'!$D$120)/2,"")</f>
        <v>-0.47735799999999884</v>
      </c>
      <c r="DM242" s="7">
        <f>IF(116&gt;=64,('Testes estatísticos'!$D$69+'Testes estatísticos'!$D$121)/2,"")</f>
        <v>-0.46875550000000032</v>
      </c>
      <c r="DN242" s="7">
        <f>IF(117&gt;=64,('Testes estatísticos'!$D$69+'Testes estatísticos'!$D$122)/2,"")</f>
        <v>-0.44568750000000179</v>
      </c>
      <c r="DO242" s="7">
        <f>IF(118&gt;=64,('Testes estatísticos'!$D$69+'Testes estatísticos'!$D$123)/2,"")</f>
        <v>-0.39577700000000249</v>
      </c>
      <c r="DP242" s="7">
        <f>IF(119&gt;=64,('Testes estatísticos'!$D$69+'Testes estatísticos'!$D$124)/2,"")</f>
        <v>-0.4169885000000022</v>
      </c>
      <c r="DQ242" s="7">
        <f>IF(120&gt;=64,('Testes estatísticos'!$D$69+'Testes estatísticos'!$D$125)/2,"")</f>
        <v>2.6346260000000008</v>
      </c>
      <c r="DR242" s="7">
        <f>IF(121&gt;=64,('Testes estatísticos'!$D$69+'Testes estatísticos'!$D$126)/2,"")</f>
        <v>-0.15439050000000165</v>
      </c>
      <c r="DS242" s="7">
        <f>IF(122&gt;=64,('Testes estatísticos'!$D$69+'Testes estatísticos'!$D$127)/2,"")</f>
        <v>-1.2197989999999983</v>
      </c>
      <c r="DT242" s="7">
        <f>IF(123&gt;=64,('Testes estatísticos'!$D$69+'Testes estatísticos'!$D$128)/2,"")</f>
        <v>4.8490704999999963</v>
      </c>
      <c r="DU242" s="7">
        <f>IF(124&gt;=64,('Testes estatísticos'!$D$69+'Testes estatísticos'!$D$129)/2,"")</f>
        <v>-4.6701000000002324E-2</v>
      </c>
      <c r="DV242" s="7">
        <f>IF(125&gt;=64,('Testes estatísticos'!$D$69+'Testes estatísticos'!$D$130)/2,"")</f>
        <v>1.1116064999999971</v>
      </c>
      <c r="DW242" s="7">
        <f>IF(126&gt;=64,('Testes estatísticos'!$D$69+'Testes estatísticos'!$D$131)/2,"")</f>
        <v>-1.2918695000000007</v>
      </c>
      <c r="DX242" s="7">
        <f>IF(127&gt;=64,('Testes estatísticos'!$D$69+'Testes estatísticos'!$D$132)/2,"")</f>
        <v>-3.3480610000000013</v>
      </c>
      <c r="DY242" s="7">
        <f>IF(128&gt;=64,('Testes estatísticos'!$D$69+'Testes estatísticos'!$D$133)/2,"")</f>
        <v>-3.6891505000000002</v>
      </c>
      <c r="DZ242" s="7">
        <f>IF(129&gt;=64,('Testes estatísticos'!$D$69+'Testes estatísticos'!$D$134)/2,"")</f>
        <v>-7.1129405000000006</v>
      </c>
      <c r="EA242" s="7">
        <f>IF(130&gt;=64,('Testes estatísticos'!$D$69+'Testes estatísticos'!$D$135)/2,"")</f>
        <v>-1.3511704999999985</v>
      </c>
      <c r="EB242" s="7">
        <f>IF(131&gt;=64,('Testes estatísticos'!$D$69+'Testes estatísticos'!$D$136)/2,"")</f>
        <v>-1.2632975000000037</v>
      </c>
      <c r="EC242" s="7">
        <f>IF(132&gt;=64,('Testes estatísticos'!$D$69+'Testes estatísticos'!$D$137)/2,"")</f>
        <v>-2.750034000000003</v>
      </c>
      <c r="ED242" s="7">
        <f>IF(133&gt;=64,('Testes estatísticos'!$D$69+'Testes estatísticos'!$D$138)/2,"")</f>
        <v>-0.56109650000000144</v>
      </c>
      <c r="EE242" s="7">
        <f>IF(134&gt;=64,('Testes estatísticos'!$D$69+'Testes estatísticos'!$D$139)/2,"")</f>
        <v>-2.8582870000000042</v>
      </c>
      <c r="EF242" s="7">
        <f>IF(135&gt;=64,('Testes estatísticos'!$D$69+'Testes estatísticos'!$D$140)/2,"")</f>
        <v>0.35614550000000023</v>
      </c>
      <c r="EG242" s="7">
        <f>IF(136&gt;=64,('Testes estatísticos'!$D$69+'Testes estatísticos'!$D$141)/2,"")</f>
        <v>-1.3373445000000039</v>
      </c>
      <c r="EH242" s="7">
        <f>IF(137&gt;=64,('Testes estatísticos'!$D$69+'Testes estatísticos'!$D$142)/2,"")</f>
        <v>0.3673954999999971</v>
      </c>
      <c r="EI242" s="7">
        <f>IF(138&gt;=64,('Testes estatísticos'!$D$69+'Testes estatísticos'!$D$143)/2,"")</f>
        <v>-1.2976199999999984</v>
      </c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</row>
    <row r="243" spans="2:151" x14ac:dyDescent="0.3">
      <c r="B243" s="7" t="str">
        <f>IF(1&gt;=65,('Testes estatísticos'!$D$70+'Testes estatísticos'!$D$6)/2,"")</f>
        <v/>
      </c>
      <c r="C243" s="7" t="str">
        <f>IF(2&gt;=65,('Testes estatísticos'!$D$70+'Testes estatísticos'!$D$7)/2,"")</f>
        <v/>
      </c>
      <c r="D243" s="7" t="str">
        <f>IF(3&gt;=65,('Testes estatísticos'!$D$70+'Testes estatísticos'!$D$8)/2,"")</f>
        <v/>
      </c>
      <c r="E243" s="7" t="str">
        <f>IF(4&gt;=65,('Testes estatísticos'!$D$70+'Testes estatísticos'!$D$9)/2,"")</f>
        <v/>
      </c>
      <c r="F243" s="7" t="str">
        <f>IF(5&gt;=65,('Testes estatísticos'!$D$70+'Testes estatísticos'!$D$10)/2,"")</f>
        <v/>
      </c>
      <c r="G243" s="7" t="str">
        <f>IF(6&gt;=65,('Testes estatísticos'!$D$70+'Testes estatísticos'!$D$11)/2,"")</f>
        <v/>
      </c>
      <c r="H243" s="7" t="str">
        <f>IF(7&gt;=65,('Testes estatísticos'!$D$70+'Testes estatísticos'!$D$12)/2,"")</f>
        <v/>
      </c>
      <c r="I243" s="7" t="str">
        <f>IF(8&gt;=65,('Testes estatísticos'!$D$70+'Testes estatísticos'!$D$13)/2,"")</f>
        <v/>
      </c>
      <c r="J243" s="7" t="str">
        <f>IF(9&gt;=65,('Testes estatísticos'!$D$70+'Testes estatísticos'!$D$14)/2,"")</f>
        <v/>
      </c>
      <c r="K243" s="7" t="str">
        <f>IF(10&gt;=65,('Testes estatísticos'!$D$70+'Testes estatísticos'!$D$15)/2,"")</f>
        <v/>
      </c>
      <c r="L243" s="7" t="str">
        <f>IF(11&gt;=65,('Testes estatísticos'!$D$70+'Testes estatísticos'!$D$16)/2,"")</f>
        <v/>
      </c>
      <c r="M243" s="7" t="str">
        <f>IF(12&gt;=65,('Testes estatísticos'!$D$70+'Testes estatísticos'!$D$17)/2,"")</f>
        <v/>
      </c>
      <c r="N243" s="7" t="str">
        <f>IF(13&gt;=65,('Testes estatísticos'!$D$70+'Testes estatísticos'!$D$18)/2,"")</f>
        <v/>
      </c>
      <c r="O243" s="7" t="str">
        <f>IF(14&gt;=65,('Testes estatísticos'!$D$70+'Testes estatísticos'!$D$19)/2,"")</f>
        <v/>
      </c>
      <c r="P243" s="7" t="str">
        <f>IF(15&gt;=65,('Testes estatísticos'!$D$70+'Testes estatísticos'!$D$20)/2,"")</f>
        <v/>
      </c>
      <c r="Q243" s="7" t="str">
        <f>IF(16&gt;=65,('Testes estatísticos'!$D$70+'Testes estatísticos'!$D$21)/2,"")</f>
        <v/>
      </c>
      <c r="R243" s="7" t="str">
        <f>IF(17&gt;=65,('Testes estatísticos'!$D$70+'Testes estatísticos'!$D$22)/2,"")</f>
        <v/>
      </c>
      <c r="S243" s="7" t="str">
        <f>IF(18&gt;=65,('Testes estatísticos'!$D$70+'Testes estatísticos'!$D$23)/2,"")</f>
        <v/>
      </c>
      <c r="T243" s="7" t="str">
        <f>IF(19&gt;=65,('Testes estatísticos'!$D$70+'Testes estatísticos'!$D$24)/2,"")</f>
        <v/>
      </c>
      <c r="U243" s="7" t="str">
        <f>IF(20&gt;=65,('Testes estatísticos'!$D$70+'Testes estatísticos'!$D$25)/2,"")</f>
        <v/>
      </c>
      <c r="V243" s="7" t="str">
        <f>IF(21&gt;=65,('Testes estatísticos'!$D$70+'Testes estatísticos'!$D$26)/2,"")</f>
        <v/>
      </c>
      <c r="W243" s="7" t="str">
        <f>IF(22&gt;=65,('Testes estatísticos'!$D$70+'Testes estatísticos'!$D$27)/2,"")</f>
        <v/>
      </c>
      <c r="X243" s="7" t="str">
        <f>IF(23&gt;=65,('Testes estatísticos'!$D$70+'Testes estatísticos'!$D$28)/2,"")</f>
        <v/>
      </c>
      <c r="Y243" s="7" t="str">
        <f>IF(24&gt;=65,('Testes estatísticos'!$D$70+'Testes estatísticos'!$D$29)/2,"")</f>
        <v/>
      </c>
      <c r="Z243" s="7" t="str">
        <f>IF(25&gt;=65,('Testes estatísticos'!$D$70+'Testes estatísticos'!$D$30)/2,"")</f>
        <v/>
      </c>
      <c r="AA243" s="7" t="str">
        <f>IF(26&gt;=65,('Testes estatísticos'!$D$70+'Testes estatísticos'!$D$31)/2,"")</f>
        <v/>
      </c>
      <c r="AB243" s="7" t="str">
        <f>IF(27&gt;=65,('Testes estatísticos'!$D$70+'Testes estatísticos'!$D$32)/2,"")</f>
        <v/>
      </c>
      <c r="AC243" s="7" t="str">
        <f>IF(28&gt;=65,('Testes estatísticos'!$D$70+'Testes estatísticos'!$D$33)/2,"")</f>
        <v/>
      </c>
      <c r="AD243" s="7" t="str">
        <f>IF(29&gt;=65,('Testes estatísticos'!$D$70+'Testes estatísticos'!$D$34)/2,"")</f>
        <v/>
      </c>
      <c r="AE243" s="7" t="str">
        <f>IF(30&gt;=65,('Testes estatísticos'!$D$70+'Testes estatísticos'!$D$35)/2,"")</f>
        <v/>
      </c>
      <c r="AF243" s="7" t="str">
        <f>IF(31&gt;=65,('Testes estatísticos'!$D$70+'Testes estatísticos'!$D$36)/2,"")</f>
        <v/>
      </c>
      <c r="AG243" s="7" t="str">
        <f>IF(32&gt;=65,('Testes estatísticos'!$D$70+'Testes estatísticos'!$D$37)/2,"")</f>
        <v/>
      </c>
      <c r="AH243" s="7" t="str">
        <f>IF(33&gt;=65,('Testes estatísticos'!$D$70+'Testes estatísticos'!$D$38)/2,"")</f>
        <v/>
      </c>
      <c r="AI243" s="7" t="str">
        <f>IF(34&gt;=65,('Testes estatísticos'!$D$70+'Testes estatísticos'!$D$39)/2,"")</f>
        <v/>
      </c>
      <c r="AJ243" s="7" t="str">
        <f>IF(35&gt;=65,('Testes estatísticos'!$D$70+'Testes estatísticos'!$D$40)/2,"")</f>
        <v/>
      </c>
      <c r="AK243" s="7" t="str">
        <f>IF(36&gt;=65,('Testes estatísticos'!$D$70+'Testes estatísticos'!$D$41)/2,"")</f>
        <v/>
      </c>
      <c r="AL243" s="7" t="str">
        <f>IF(37&gt;=65,('Testes estatísticos'!$D$70+'Testes estatísticos'!$D$42)/2,"")</f>
        <v/>
      </c>
      <c r="AM243" s="7" t="str">
        <f>IF(38&gt;=65,('Testes estatísticos'!$D$70+'Testes estatísticos'!$D$43)/2,"")</f>
        <v/>
      </c>
      <c r="AN243" s="7" t="str">
        <f>IF(39&gt;=65,('Testes estatísticos'!$D$70+'Testes estatísticos'!$D$44)/2,"")</f>
        <v/>
      </c>
      <c r="AO243" s="7" t="str">
        <f>IF(40&gt;=65,('Testes estatísticos'!$D$70+'Testes estatísticos'!$D$45)/2,"")</f>
        <v/>
      </c>
      <c r="AP243" s="7" t="str">
        <f>IF(41&gt;=65,('Testes estatísticos'!$D$70+'Testes estatísticos'!$D$46)/2,"")</f>
        <v/>
      </c>
      <c r="AQ243" s="7" t="str">
        <f>IF(42&gt;=65,('Testes estatísticos'!$D$70+'Testes estatísticos'!$D$47)/2,"")</f>
        <v/>
      </c>
      <c r="AR243" s="7" t="str">
        <f>IF(43&gt;=65,('Testes estatísticos'!$D$70+'Testes estatísticos'!$D$48)/2,"")</f>
        <v/>
      </c>
      <c r="AS243" s="7" t="str">
        <f>IF(44&gt;=65,('Testes estatísticos'!$D$70+'Testes estatísticos'!$D$49)/2,"")</f>
        <v/>
      </c>
      <c r="AT243" s="7" t="str">
        <f>IF(45&gt;=65,('Testes estatísticos'!$D$70+'Testes estatísticos'!$D$50)/2,"")</f>
        <v/>
      </c>
      <c r="AU243" s="7" t="str">
        <f>IF(46&gt;=65,('Testes estatísticos'!$D$70+'Testes estatísticos'!$D$51)/2,"")</f>
        <v/>
      </c>
      <c r="AV243" s="7" t="str">
        <f>IF(47&gt;=65,('Testes estatísticos'!$D$70+'Testes estatísticos'!$D$52)/2,"")</f>
        <v/>
      </c>
      <c r="AW243" s="7" t="str">
        <f>IF(48&gt;=65,('Testes estatísticos'!$D$70+'Testes estatísticos'!$D$53)/2,"")</f>
        <v/>
      </c>
      <c r="AX243" s="7" t="str">
        <f>IF(49&gt;=65,('Testes estatísticos'!$D$70+'Testes estatísticos'!$D$54)/2,"")</f>
        <v/>
      </c>
      <c r="AY243" s="7" t="str">
        <f>IF(50&gt;=65,('Testes estatísticos'!$D$70+'Testes estatísticos'!$D$55)/2,"")</f>
        <v/>
      </c>
      <c r="AZ243" s="7" t="str">
        <f>IF(51&gt;=65,('Testes estatísticos'!$D$70+'Testes estatísticos'!$D$56)/2,"")</f>
        <v/>
      </c>
      <c r="BA243" s="7" t="str">
        <f>IF(52&gt;=65,('Testes estatísticos'!$D$70+'Testes estatísticos'!$D$57)/2,"")</f>
        <v/>
      </c>
      <c r="BB243" s="7" t="str">
        <f>IF(53&gt;=65,('Testes estatísticos'!$D$70+'Testes estatísticos'!$D$58)/2,"")</f>
        <v/>
      </c>
      <c r="BC243" s="7" t="str">
        <f>IF(54&gt;=65,('Testes estatísticos'!$D$70+'Testes estatísticos'!$D$59)/2,"")</f>
        <v/>
      </c>
      <c r="BD243" s="7" t="str">
        <f>IF(55&gt;=65,('Testes estatísticos'!$D$70+'Testes estatísticos'!$D$60)/2,"")</f>
        <v/>
      </c>
      <c r="BE243" s="7" t="str">
        <f>IF(56&gt;=65,('Testes estatísticos'!$D$70+'Testes estatísticos'!$D$61)/2,"")</f>
        <v/>
      </c>
      <c r="BF243" s="7" t="str">
        <f>IF(57&gt;=65,('Testes estatísticos'!$D$70+'Testes estatísticos'!$D$62)/2,"")</f>
        <v/>
      </c>
      <c r="BG243" s="7" t="str">
        <f>IF(58&gt;=65,('Testes estatísticos'!$D$70+'Testes estatísticos'!$D$63)/2,"")</f>
        <v/>
      </c>
      <c r="BH243" s="7" t="str">
        <f>IF(59&gt;=65,('Testes estatísticos'!$D$70+'Testes estatísticos'!$D$64)/2,"")</f>
        <v/>
      </c>
      <c r="BI243" s="7" t="str">
        <f>IF(60&gt;=65,('Testes estatísticos'!$D$70+'Testes estatísticos'!$D$65)/2,"")</f>
        <v/>
      </c>
      <c r="BJ243" s="7" t="str">
        <f>IF(61&gt;=65,('Testes estatísticos'!$D$70+'Testes estatísticos'!$D$66)/2,"")</f>
        <v/>
      </c>
      <c r="BK243" s="7" t="str">
        <f>IF(62&gt;=65,('Testes estatísticos'!$D$70+'Testes estatísticos'!$D$67)/2,"")</f>
        <v/>
      </c>
      <c r="BL243" s="7" t="str">
        <f>IF(63&gt;=65,('Testes estatísticos'!$D$70+'Testes estatísticos'!$D$68)/2,"")</f>
        <v/>
      </c>
      <c r="BM243" s="7" t="str">
        <f>IF(64&gt;=65,('Testes estatísticos'!$D$70+'Testes estatísticos'!$D$69)/2,"")</f>
        <v/>
      </c>
      <c r="BN243" s="7">
        <f>IF(65&gt;=65,('Testes estatísticos'!$D$70+'Testes estatísticos'!$D$70)/2,"")</f>
        <v>-3.1005380000000002</v>
      </c>
      <c r="BO243" s="7">
        <f>IF(66&gt;=65,('Testes estatísticos'!$D$70+'Testes estatísticos'!$D$71)/2,"")</f>
        <v>-2.2046855000000001</v>
      </c>
      <c r="BP243" s="7">
        <f>IF(67&gt;=65,('Testes estatísticos'!$D$70+'Testes estatísticos'!$D$72)/2,"")</f>
        <v>-5.0951445</v>
      </c>
      <c r="BQ243" s="7">
        <f>IF(68&gt;=65,('Testes estatísticos'!$D$70+'Testes estatísticos'!$D$73)/2,"")</f>
        <v>-0.43191150000000178</v>
      </c>
      <c r="BR243" s="7">
        <f>IF(69&gt;=65,('Testes estatísticos'!$D$70+'Testes estatísticos'!$D$74)/2,"")</f>
        <v>0.20027049999999846</v>
      </c>
      <c r="BS243" s="7">
        <f>IF(70&gt;=65,('Testes estatísticos'!$D$70+'Testes estatísticos'!$D$75)/2,"")</f>
        <v>-0.80419400000000252</v>
      </c>
      <c r="BT243" s="7">
        <f>IF(71&gt;=65,('Testes estatísticos'!$D$70+'Testes estatísticos'!$D$76)/2,"")</f>
        <v>0.77017099999999772</v>
      </c>
      <c r="BU243" s="7">
        <f>IF(72&gt;=65,('Testes estatísticos'!$D$70+'Testes estatísticos'!$D$77)/2,"")</f>
        <v>-4.8295260000000013</v>
      </c>
      <c r="BV243" s="7">
        <f>IF(73&gt;=65,('Testes estatísticos'!$D$70+'Testes estatísticos'!$D$78)/2,"")</f>
        <v>-2.7560515000000017</v>
      </c>
      <c r="BW243" s="7">
        <f>IF(74&gt;=65,('Testes estatísticos'!$D$70+'Testes estatísticos'!$D$79)/2,"")</f>
        <v>-3.4393700000000003</v>
      </c>
      <c r="BX243" s="7">
        <f>IF(75&gt;=65,('Testes estatísticos'!$D$70+'Testes estatísticos'!$D$80)/2,"")</f>
        <v>-3.4611480000000014</v>
      </c>
      <c r="BY243" s="7">
        <f>IF(76&gt;=65,('Testes estatísticos'!$D$70+'Testes estatísticos'!$D$81)/2,"")</f>
        <v>0.67031000000000063</v>
      </c>
      <c r="BZ243" s="7">
        <f>IF(77&gt;=65,('Testes estatísticos'!$D$70+'Testes estatísticos'!$D$82)/2,"")</f>
        <v>-4.5912794999999988</v>
      </c>
      <c r="CA243" s="7">
        <f>IF(78&gt;=65,('Testes estatísticos'!$D$70+'Testes estatísticos'!$D$83)/2,"")</f>
        <v>-2.8310204999999975</v>
      </c>
      <c r="CB243" s="7">
        <f>IF(79&gt;=65,('Testes estatísticos'!$D$70+'Testes estatísticos'!$D$84)/2,"")</f>
        <v>-2.7792980000000007</v>
      </c>
      <c r="CC243" s="7">
        <f>IF(80&gt;=65,('Testes estatísticos'!$D$70+'Testes estatísticos'!$D$85)/2,"")</f>
        <v>-4.5863145000000003</v>
      </c>
      <c r="CD243" s="7">
        <f>IF(81&gt;=65,('Testes estatísticos'!$D$70+'Testes estatísticos'!$D$86)/2,"")</f>
        <v>-4.6364595000000008</v>
      </c>
      <c r="CE243" s="7">
        <f>IF(82&gt;=65,('Testes estatísticos'!$D$70+'Testes estatísticos'!$D$87)/2,"")</f>
        <v>-2.5586690000000019</v>
      </c>
      <c r="CF243" s="7">
        <f>IF(83&gt;=65,('Testes estatísticos'!$D$70+'Testes estatísticos'!$D$88)/2,"")</f>
        <v>-3.0874760000000023</v>
      </c>
      <c r="CG243" s="7">
        <f>IF(84&gt;=65,('Testes estatísticos'!$D$70+'Testes estatísticos'!$D$89)/2,"")</f>
        <v>-3.4193829999999998</v>
      </c>
      <c r="CH243" s="7">
        <f>IF(85&gt;=65,('Testes estatísticos'!$D$70+'Testes estatísticos'!$D$90)/2,"")</f>
        <v>-1.6038360000000011</v>
      </c>
      <c r="CI243" s="7">
        <f>IF(86&gt;=65,('Testes estatísticos'!$D$70+'Testes estatísticos'!$D$91)/2,"")</f>
        <v>-4.2939954999999976</v>
      </c>
      <c r="CJ243" s="7">
        <f>IF(87&gt;=65,('Testes estatísticos'!$D$70+'Testes estatísticos'!$D$92)/2,"")</f>
        <v>-3.0517889999999994</v>
      </c>
      <c r="CK243" s="7">
        <f>IF(88&gt;=65,('Testes estatísticos'!$D$70+'Testes estatísticos'!$D$93)/2,"")</f>
        <v>-2.8077055000000009</v>
      </c>
      <c r="CL243" s="7">
        <f>IF(89&gt;=65,('Testes estatísticos'!$D$70+'Testes estatísticos'!$D$94)/2,"")</f>
        <v>-3.4192975000000025</v>
      </c>
      <c r="CM243" s="7">
        <f>IF(90&gt;=65,('Testes estatísticos'!$D$70+'Testes estatísticos'!$D$95)/2,"")</f>
        <v>-5.7534294999999993</v>
      </c>
      <c r="CN243" s="7">
        <f>IF(91&gt;=65,('Testes estatísticos'!$D$70+'Testes estatísticos'!$D$96)/2,"")</f>
        <v>-3.2149064999999979</v>
      </c>
      <c r="CO243" s="7">
        <f>IF(92&gt;=65,('Testes estatísticos'!$D$70+'Testes estatísticos'!$D$97)/2,"")</f>
        <v>-3.5614099999999986</v>
      </c>
      <c r="CP243" s="7">
        <f>IF(93&gt;=65,('Testes estatísticos'!$D$70+'Testes estatísticos'!$D$98)/2,"")</f>
        <v>-3.7661619999999978</v>
      </c>
      <c r="CQ243" s="7">
        <f>IF(94&gt;=65,('Testes estatísticos'!$D$70+'Testes estatísticos'!$D$99)/2,"")</f>
        <v>-1.5850040000000014</v>
      </c>
      <c r="CR243" s="7">
        <f>IF(95&gt;=65,('Testes estatísticos'!$D$70+'Testes estatísticos'!$D$100)/2,"")</f>
        <v>-3.4907970000000006</v>
      </c>
      <c r="CS243" s="7">
        <f>IF(96&gt;=65,('Testes estatísticos'!$D$70+'Testes estatísticos'!$D$101)/2,"")</f>
        <v>-3.4468100000000028</v>
      </c>
      <c r="CT243" s="7">
        <f>IF(97&gt;=65,('Testes estatísticos'!$D$70+'Testes estatísticos'!$D$102)/2,"")</f>
        <v>-3.2137595000000019</v>
      </c>
      <c r="CU243" s="7">
        <f>IF(98&gt;=65,('Testes estatísticos'!$D$70+'Testes estatísticos'!$D$103)/2,"")</f>
        <v>-3.1564334999999986</v>
      </c>
      <c r="CV243" s="7">
        <f>IF(99&gt;=65,('Testes estatísticos'!$D$70+'Testes estatísticos'!$D$104)/2,"")</f>
        <v>-3.5912594999999996</v>
      </c>
      <c r="CW243" s="7">
        <f>IF(100&gt;=65,('Testes estatísticos'!$D$70+'Testes estatísticos'!$D$105)/2,"")</f>
        <v>-3.6907254999999992</v>
      </c>
      <c r="CX243" s="7">
        <f>IF(101&gt;=65,('Testes estatísticos'!$D$70+'Testes estatísticos'!$D$106)/2,"")</f>
        <v>-3.1677989999999987</v>
      </c>
      <c r="CY243" s="7">
        <f>IF(102&gt;=65,('Testes estatísticos'!$D$70+'Testes estatísticos'!$D$107)/2,"")</f>
        <v>-3.2234639999999999</v>
      </c>
      <c r="CZ243" s="7">
        <f>IF(103&gt;=65,('Testes estatísticos'!$D$70+'Testes estatísticos'!$D$108)/2,"")</f>
        <v>-3.7476304999999996</v>
      </c>
      <c r="DA243" s="7">
        <f>IF(104&gt;=65,('Testes estatísticos'!$D$70+'Testes estatísticos'!$D$109)/2,"")</f>
        <v>-3.4849964999999976</v>
      </c>
      <c r="DB243" s="7">
        <f>IF(105&gt;=65,('Testes estatísticos'!$D$70+'Testes estatísticos'!$D$110)/2,"")</f>
        <v>-3.4506654999999995</v>
      </c>
      <c r="DC243" s="7">
        <f>IF(106&gt;=65,('Testes estatísticos'!$D$70+'Testes estatísticos'!$D$111)/2,"")</f>
        <v>-2.7077445000000004</v>
      </c>
      <c r="DD243" s="7">
        <f>IF(107&gt;=65,('Testes estatísticos'!$D$70+'Testes estatísticos'!$D$112)/2,"")</f>
        <v>0.78542649999999981</v>
      </c>
      <c r="DE243" s="7">
        <f>IF(108&gt;=65,('Testes estatísticos'!$D$70+'Testes estatísticos'!$D$113)/2,"")</f>
        <v>-2.6372089999999986</v>
      </c>
      <c r="DF243" s="7">
        <f>IF(109&gt;=65,('Testes estatísticos'!$D$70+'Testes estatísticos'!$D$114)/2,"")</f>
        <v>-2.6734659999999977</v>
      </c>
      <c r="DG243" s="7">
        <f>IF(110&gt;=65,('Testes estatísticos'!$D$70+'Testes estatísticos'!$D$115)/2,"")</f>
        <v>-8.2206055000000013</v>
      </c>
      <c r="DH243" s="7">
        <f>IF(111&gt;=65,('Testes estatísticos'!$D$70+'Testes estatísticos'!$D$116)/2,"")</f>
        <v>-2.5397749999999988</v>
      </c>
      <c r="DI243" s="7">
        <f>IF(112&gt;=65,('Testes estatísticos'!$D$70+'Testes estatísticos'!$D$117)/2,"")</f>
        <v>2.8886649999999996</v>
      </c>
      <c r="DJ243" s="7">
        <f>IF(113&gt;=65,('Testes estatísticos'!$D$70+'Testes estatísticos'!$D$118)/2,"")</f>
        <v>-2.5678920000000005</v>
      </c>
      <c r="DK243" s="7">
        <f>IF(114&gt;=65,('Testes estatísticos'!$D$70+'Testes estatísticos'!$D$119)/2,"")</f>
        <v>-2.6696419999999996</v>
      </c>
      <c r="DL243" s="7">
        <f>IF(115&gt;=65,('Testes estatísticos'!$D$70+'Testes estatísticos'!$D$120)/2,"")</f>
        <v>-2.6231644999999979</v>
      </c>
      <c r="DM243" s="7">
        <f>IF(116&gt;=65,('Testes estatísticos'!$D$70+'Testes estatísticos'!$D$121)/2,"")</f>
        <v>-2.6145619999999994</v>
      </c>
      <c r="DN243" s="7">
        <f>IF(117&gt;=65,('Testes estatísticos'!$D$70+'Testes estatísticos'!$D$122)/2,"")</f>
        <v>-2.5914940000000009</v>
      </c>
      <c r="DO243" s="7">
        <f>IF(118&gt;=65,('Testes estatísticos'!$D$70+'Testes estatísticos'!$D$123)/2,"")</f>
        <v>-2.5415835000000015</v>
      </c>
      <c r="DP243" s="7">
        <f>IF(119&gt;=65,('Testes estatísticos'!$D$70+'Testes estatísticos'!$D$124)/2,"")</f>
        <v>-2.5627950000000013</v>
      </c>
      <c r="DQ243" s="7">
        <f>IF(120&gt;=65,('Testes estatísticos'!$D$70+'Testes estatísticos'!$D$125)/2,"")</f>
        <v>0.48881950000000174</v>
      </c>
      <c r="DR243" s="7">
        <f>IF(121&gt;=65,('Testes estatísticos'!$D$70+'Testes estatísticos'!$D$126)/2,"")</f>
        <v>-2.3001970000000007</v>
      </c>
      <c r="DS243" s="7">
        <f>IF(122&gt;=65,('Testes estatísticos'!$D$70+'Testes estatísticos'!$D$127)/2,"")</f>
        <v>-3.3656054999999974</v>
      </c>
      <c r="DT243" s="7">
        <f>IF(123&gt;=65,('Testes estatísticos'!$D$70+'Testes estatísticos'!$D$128)/2,"")</f>
        <v>2.7032639999999972</v>
      </c>
      <c r="DU243" s="7">
        <f>IF(124&gt;=65,('Testes estatísticos'!$D$70+'Testes estatísticos'!$D$129)/2,"")</f>
        <v>-2.1925075000000014</v>
      </c>
      <c r="DV243" s="7">
        <f>IF(125&gt;=65,('Testes estatísticos'!$D$70+'Testes estatísticos'!$D$130)/2,"")</f>
        <v>-1.034200000000002</v>
      </c>
      <c r="DW243" s="7">
        <f>IF(126&gt;=65,('Testes estatísticos'!$D$70+'Testes estatísticos'!$D$131)/2,"")</f>
        <v>-3.4376759999999997</v>
      </c>
      <c r="DX243" s="7">
        <f>IF(127&gt;=65,('Testes estatísticos'!$D$70+'Testes estatísticos'!$D$132)/2,"")</f>
        <v>-5.4938675000000003</v>
      </c>
      <c r="DY243" s="7">
        <f>IF(128&gt;=65,('Testes estatísticos'!$D$70+'Testes estatísticos'!$D$133)/2,"")</f>
        <v>-5.8349569999999993</v>
      </c>
      <c r="DZ243" s="7">
        <f>IF(129&gt;=65,('Testes estatísticos'!$D$70+'Testes estatísticos'!$D$134)/2,"")</f>
        <v>-9.2587469999999996</v>
      </c>
      <c r="EA243" s="7">
        <f>IF(130&gt;=65,('Testes estatísticos'!$D$70+'Testes estatísticos'!$D$135)/2,"")</f>
        <v>-3.4969769999999976</v>
      </c>
      <c r="EB243" s="7">
        <f>IF(131&gt;=65,('Testes estatísticos'!$D$70+'Testes estatísticos'!$D$136)/2,"")</f>
        <v>-3.4091040000000028</v>
      </c>
      <c r="EC243" s="7">
        <f>IF(132&gt;=65,('Testes estatísticos'!$D$70+'Testes estatísticos'!$D$137)/2,"")</f>
        <v>-4.895840500000002</v>
      </c>
      <c r="ED243" s="7">
        <f>IF(133&gt;=65,('Testes estatísticos'!$D$70+'Testes estatísticos'!$D$138)/2,"")</f>
        <v>-2.7069030000000005</v>
      </c>
      <c r="EE243" s="7">
        <f>IF(134&gt;=65,('Testes estatísticos'!$D$70+'Testes estatísticos'!$D$139)/2,"")</f>
        <v>-5.0040935000000033</v>
      </c>
      <c r="EF243" s="7">
        <f>IF(135&gt;=65,('Testes estatísticos'!$D$70+'Testes estatísticos'!$D$140)/2,"")</f>
        <v>-1.7896609999999988</v>
      </c>
      <c r="EG243" s="7">
        <f>IF(136&gt;=65,('Testes estatísticos'!$D$70+'Testes estatísticos'!$D$141)/2,"")</f>
        <v>-3.483151000000003</v>
      </c>
      <c r="EH243" s="7">
        <f>IF(137&gt;=65,('Testes estatísticos'!$D$70+'Testes estatísticos'!$D$142)/2,"")</f>
        <v>-1.778411000000002</v>
      </c>
      <c r="EI243" s="7">
        <f>IF(138&gt;=65,('Testes estatísticos'!$D$70+'Testes estatísticos'!$D$143)/2,"")</f>
        <v>-3.4434264999999975</v>
      </c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</row>
    <row r="244" spans="2:151" x14ac:dyDescent="0.3">
      <c r="B244" s="7" t="str">
        <f>IF(1&gt;=66,('Testes estatísticos'!$D$71+'Testes estatísticos'!$D$6)/2,"")</f>
        <v/>
      </c>
      <c r="C244" s="7" t="str">
        <f>IF(2&gt;=66,('Testes estatísticos'!$D$71+'Testes estatísticos'!$D$7)/2,"")</f>
        <v/>
      </c>
      <c r="D244" s="7" t="str">
        <f>IF(3&gt;=66,('Testes estatísticos'!$D$71+'Testes estatísticos'!$D$8)/2,"")</f>
        <v/>
      </c>
      <c r="E244" s="7" t="str">
        <f>IF(4&gt;=66,('Testes estatísticos'!$D$71+'Testes estatísticos'!$D$9)/2,"")</f>
        <v/>
      </c>
      <c r="F244" s="7" t="str">
        <f>IF(5&gt;=66,('Testes estatísticos'!$D$71+'Testes estatísticos'!$D$10)/2,"")</f>
        <v/>
      </c>
      <c r="G244" s="7" t="str">
        <f>IF(6&gt;=66,('Testes estatísticos'!$D$71+'Testes estatísticos'!$D$11)/2,"")</f>
        <v/>
      </c>
      <c r="H244" s="7" t="str">
        <f>IF(7&gt;=66,('Testes estatísticos'!$D$71+'Testes estatísticos'!$D$12)/2,"")</f>
        <v/>
      </c>
      <c r="I244" s="7" t="str">
        <f>IF(8&gt;=66,('Testes estatísticos'!$D$71+'Testes estatísticos'!$D$13)/2,"")</f>
        <v/>
      </c>
      <c r="J244" s="7" t="str">
        <f>IF(9&gt;=66,('Testes estatísticos'!$D$71+'Testes estatísticos'!$D$14)/2,"")</f>
        <v/>
      </c>
      <c r="K244" s="7" t="str">
        <f>IF(10&gt;=66,('Testes estatísticos'!$D$71+'Testes estatísticos'!$D$15)/2,"")</f>
        <v/>
      </c>
      <c r="L244" s="7" t="str">
        <f>IF(11&gt;=66,('Testes estatísticos'!$D$71+'Testes estatísticos'!$D$16)/2,"")</f>
        <v/>
      </c>
      <c r="M244" s="7" t="str">
        <f>IF(12&gt;=66,('Testes estatísticos'!$D$71+'Testes estatísticos'!$D$17)/2,"")</f>
        <v/>
      </c>
      <c r="N244" s="7" t="str">
        <f>IF(13&gt;=66,('Testes estatísticos'!$D$71+'Testes estatísticos'!$D$18)/2,"")</f>
        <v/>
      </c>
      <c r="O244" s="7" t="str">
        <f>IF(14&gt;=66,('Testes estatísticos'!$D$71+'Testes estatísticos'!$D$19)/2,"")</f>
        <v/>
      </c>
      <c r="P244" s="7" t="str">
        <f>IF(15&gt;=66,('Testes estatísticos'!$D$71+'Testes estatísticos'!$D$20)/2,"")</f>
        <v/>
      </c>
      <c r="Q244" s="7" t="str">
        <f>IF(16&gt;=66,('Testes estatísticos'!$D$71+'Testes estatísticos'!$D$21)/2,"")</f>
        <v/>
      </c>
      <c r="R244" s="7" t="str">
        <f>IF(17&gt;=66,('Testes estatísticos'!$D$71+'Testes estatísticos'!$D$22)/2,"")</f>
        <v/>
      </c>
      <c r="S244" s="7" t="str">
        <f>IF(18&gt;=66,('Testes estatísticos'!$D$71+'Testes estatísticos'!$D$23)/2,"")</f>
        <v/>
      </c>
      <c r="T244" s="7" t="str">
        <f>IF(19&gt;=66,('Testes estatísticos'!$D$71+'Testes estatísticos'!$D$24)/2,"")</f>
        <v/>
      </c>
      <c r="U244" s="7" t="str">
        <f>IF(20&gt;=66,('Testes estatísticos'!$D$71+'Testes estatísticos'!$D$25)/2,"")</f>
        <v/>
      </c>
      <c r="V244" s="7" t="str">
        <f>IF(21&gt;=66,('Testes estatísticos'!$D$71+'Testes estatísticos'!$D$26)/2,"")</f>
        <v/>
      </c>
      <c r="W244" s="7" t="str">
        <f>IF(22&gt;=66,('Testes estatísticos'!$D$71+'Testes estatísticos'!$D$27)/2,"")</f>
        <v/>
      </c>
      <c r="X244" s="7" t="str">
        <f>IF(23&gt;=66,('Testes estatísticos'!$D$71+'Testes estatísticos'!$D$28)/2,"")</f>
        <v/>
      </c>
      <c r="Y244" s="7" t="str">
        <f>IF(24&gt;=66,('Testes estatísticos'!$D$71+'Testes estatísticos'!$D$29)/2,"")</f>
        <v/>
      </c>
      <c r="Z244" s="7" t="str">
        <f>IF(25&gt;=66,('Testes estatísticos'!$D$71+'Testes estatísticos'!$D$30)/2,"")</f>
        <v/>
      </c>
      <c r="AA244" s="7" t="str">
        <f>IF(26&gt;=66,('Testes estatísticos'!$D$71+'Testes estatísticos'!$D$31)/2,"")</f>
        <v/>
      </c>
      <c r="AB244" s="7" t="str">
        <f>IF(27&gt;=66,('Testes estatísticos'!$D$71+'Testes estatísticos'!$D$32)/2,"")</f>
        <v/>
      </c>
      <c r="AC244" s="7" t="str">
        <f>IF(28&gt;=66,('Testes estatísticos'!$D$71+'Testes estatísticos'!$D$33)/2,"")</f>
        <v/>
      </c>
      <c r="AD244" s="7" t="str">
        <f>IF(29&gt;=66,('Testes estatísticos'!$D$71+'Testes estatísticos'!$D$34)/2,"")</f>
        <v/>
      </c>
      <c r="AE244" s="7" t="str">
        <f>IF(30&gt;=66,('Testes estatísticos'!$D$71+'Testes estatísticos'!$D$35)/2,"")</f>
        <v/>
      </c>
      <c r="AF244" s="7" t="str">
        <f>IF(31&gt;=66,('Testes estatísticos'!$D$71+'Testes estatísticos'!$D$36)/2,"")</f>
        <v/>
      </c>
      <c r="AG244" s="7" t="str">
        <f>IF(32&gt;=66,('Testes estatísticos'!$D$71+'Testes estatísticos'!$D$37)/2,"")</f>
        <v/>
      </c>
      <c r="AH244" s="7" t="str">
        <f>IF(33&gt;=66,('Testes estatísticos'!$D$71+'Testes estatísticos'!$D$38)/2,"")</f>
        <v/>
      </c>
      <c r="AI244" s="7" t="str">
        <f>IF(34&gt;=66,('Testes estatísticos'!$D$71+'Testes estatísticos'!$D$39)/2,"")</f>
        <v/>
      </c>
      <c r="AJ244" s="7" t="str">
        <f>IF(35&gt;=66,('Testes estatísticos'!$D$71+'Testes estatísticos'!$D$40)/2,"")</f>
        <v/>
      </c>
      <c r="AK244" s="7" t="str">
        <f>IF(36&gt;=66,('Testes estatísticos'!$D$71+'Testes estatísticos'!$D$41)/2,"")</f>
        <v/>
      </c>
      <c r="AL244" s="7" t="str">
        <f>IF(37&gt;=66,('Testes estatísticos'!$D$71+'Testes estatísticos'!$D$42)/2,"")</f>
        <v/>
      </c>
      <c r="AM244" s="7" t="str">
        <f>IF(38&gt;=66,('Testes estatísticos'!$D$71+'Testes estatísticos'!$D$43)/2,"")</f>
        <v/>
      </c>
      <c r="AN244" s="7" t="str">
        <f>IF(39&gt;=66,('Testes estatísticos'!$D$71+'Testes estatísticos'!$D$44)/2,"")</f>
        <v/>
      </c>
      <c r="AO244" s="7" t="str">
        <f>IF(40&gt;=66,('Testes estatísticos'!$D$71+'Testes estatísticos'!$D$45)/2,"")</f>
        <v/>
      </c>
      <c r="AP244" s="7" t="str">
        <f>IF(41&gt;=66,('Testes estatísticos'!$D$71+'Testes estatísticos'!$D$46)/2,"")</f>
        <v/>
      </c>
      <c r="AQ244" s="7" t="str">
        <f>IF(42&gt;=66,('Testes estatísticos'!$D$71+'Testes estatísticos'!$D$47)/2,"")</f>
        <v/>
      </c>
      <c r="AR244" s="7" t="str">
        <f>IF(43&gt;=66,('Testes estatísticos'!$D$71+'Testes estatísticos'!$D$48)/2,"")</f>
        <v/>
      </c>
      <c r="AS244" s="7" t="str">
        <f>IF(44&gt;=66,('Testes estatísticos'!$D$71+'Testes estatísticos'!$D$49)/2,"")</f>
        <v/>
      </c>
      <c r="AT244" s="7" t="str">
        <f>IF(45&gt;=66,('Testes estatísticos'!$D$71+'Testes estatísticos'!$D$50)/2,"")</f>
        <v/>
      </c>
      <c r="AU244" s="7" t="str">
        <f>IF(46&gt;=66,('Testes estatísticos'!$D$71+'Testes estatísticos'!$D$51)/2,"")</f>
        <v/>
      </c>
      <c r="AV244" s="7" t="str">
        <f>IF(47&gt;=66,('Testes estatísticos'!$D$71+'Testes estatísticos'!$D$52)/2,"")</f>
        <v/>
      </c>
      <c r="AW244" s="7" t="str">
        <f>IF(48&gt;=66,('Testes estatísticos'!$D$71+'Testes estatísticos'!$D$53)/2,"")</f>
        <v/>
      </c>
      <c r="AX244" s="7" t="str">
        <f>IF(49&gt;=66,('Testes estatísticos'!$D$71+'Testes estatísticos'!$D$54)/2,"")</f>
        <v/>
      </c>
      <c r="AY244" s="7" t="str">
        <f>IF(50&gt;=66,('Testes estatísticos'!$D$71+'Testes estatísticos'!$D$55)/2,"")</f>
        <v/>
      </c>
      <c r="AZ244" s="7" t="str">
        <f>IF(51&gt;=66,('Testes estatísticos'!$D$71+'Testes estatísticos'!$D$56)/2,"")</f>
        <v/>
      </c>
      <c r="BA244" s="7" t="str">
        <f>IF(52&gt;=66,('Testes estatísticos'!$D$71+'Testes estatísticos'!$D$57)/2,"")</f>
        <v/>
      </c>
      <c r="BB244" s="7" t="str">
        <f>IF(53&gt;=66,('Testes estatísticos'!$D$71+'Testes estatísticos'!$D$58)/2,"")</f>
        <v/>
      </c>
      <c r="BC244" s="7" t="str">
        <f>IF(54&gt;=66,('Testes estatísticos'!$D$71+'Testes estatísticos'!$D$59)/2,"")</f>
        <v/>
      </c>
      <c r="BD244" s="7" t="str">
        <f>IF(55&gt;=66,('Testes estatísticos'!$D$71+'Testes estatísticos'!$D$60)/2,"")</f>
        <v/>
      </c>
      <c r="BE244" s="7" t="str">
        <f>IF(56&gt;=66,('Testes estatísticos'!$D$71+'Testes estatísticos'!$D$61)/2,"")</f>
        <v/>
      </c>
      <c r="BF244" s="7" t="str">
        <f>IF(57&gt;=66,('Testes estatísticos'!$D$71+'Testes estatísticos'!$D$62)/2,"")</f>
        <v/>
      </c>
      <c r="BG244" s="7" t="str">
        <f>IF(58&gt;=66,('Testes estatísticos'!$D$71+'Testes estatísticos'!$D$63)/2,"")</f>
        <v/>
      </c>
      <c r="BH244" s="7" t="str">
        <f>IF(59&gt;=66,('Testes estatísticos'!$D$71+'Testes estatísticos'!$D$64)/2,"")</f>
        <v/>
      </c>
      <c r="BI244" s="7" t="str">
        <f>IF(60&gt;=66,('Testes estatísticos'!$D$71+'Testes estatísticos'!$D$65)/2,"")</f>
        <v/>
      </c>
      <c r="BJ244" s="7" t="str">
        <f>IF(61&gt;=66,('Testes estatísticos'!$D$71+'Testes estatísticos'!$D$66)/2,"")</f>
        <v/>
      </c>
      <c r="BK244" s="7" t="str">
        <f>IF(62&gt;=66,('Testes estatísticos'!$D$71+'Testes estatísticos'!$D$67)/2,"")</f>
        <v/>
      </c>
      <c r="BL244" s="7" t="str">
        <f>IF(63&gt;=66,('Testes estatísticos'!$D$71+'Testes estatísticos'!$D$68)/2,"")</f>
        <v/>
      </c>
      <c r="BM244" s="7" t="str">
        <f>IF(64&gt;=66,('Testes estatísticos'!$D$71+'Testes estatísticos'!$D$69)/2,"")</f>
        <v/>
      </c>
      <c r="BN244" s="7" t="str">
        <f>IF(65&gt;=66,('Testes estatísticos'!$D$71+'Testes estatísticos'!$D$70)/2,"")</f>
        <v/>
      </c>
      <c r="BO244" s="7">
        <f>IF(66&gt;=66,('Testes estatísticos'!$D$71+'Testes estatísticos'!$D$71)/2,"")</f>
        <v>-1.3088329999999999</v>
      </c>
      <c r="BP244" s="7">
        <f>IF(67&gt;=66,('Testes estatísticos'!$D$71+'Testes estatísticos'!$D$72)/2,"")</f>
        <v>-4.1992919999999998</v>
      </c>
      <c r="BQ244" s="7">
        <f>IF(68&gt;=66,('Testes estatísticos'!$D$71+'Testes estatísticos'!$D$73)/2,"")</f>
        <v>0.46394099999999838</v>
      </c>
      <c r="BR244" s="7">
        <f>IF(69&gt;=66,('Testes estatísticos'!$D$71+'Testes estatísticos'!$D$74)/2,"")</f>
        <v>1.0961229999999986</v>
      </c>
      <c r="BS244" s="7">
        <f>IF(70&gt;=66,('Testes estatísticos'!$D$71+'Testes estatísticos'!$D$75)/2,"")</f>
        <v>9.1658499999997645E-2</v>
      </c>
      <c r="BT244" s="7">
        <f>IF(71&gt;=66,('Testes estatísticos'!$D$71+'Testes estatísticos'!$D$76)/2,"")</f>
        <v>1.6660234999999979</v>
      </c>
      <c r="BU244" s="7">
        <f>IF(72&gt;=66,('Testes estatísticos'!$D$71+'Testes estatísticos'!$D$77)/2,"")</f>
        <v>-3.9336735000000012</v>
      </c>
      <c r="BV244" s="7">
        <f>IF(73&gt;=66,('Testes estatísticos'!$D$71+'Testes estatísticos'!$D$78)/2,"")</f>
        <v>-1.8601990000000015</v>
      </c>
      <c r="BW244" s="7">
        <f>IF(74&gt;=66,('Testes estatísticos'!$D$71+'Testes estatísticos'!$D$79)/2,"")</f>
        <v>-2.5435175000000001</v>
      </c>
      <c r="BX244" s="7">
        <f>IF(75&gt;=66,('Testes estatísticos'!$D$71+'Testes estatísticos'!$D$80)/2,"")</f>
        <v>-2.5652955000000013</v>
      </c>
      <c r="BY244" s="7">
        <f>IF(76&gt;=66,('Testes estatísticos'!$D$71+'Testes estatísticos'!$D$81)/2,"")</f>
        <v>1.5661625000000008</v>
      </c>
      <c r="BZ244" s="7">
        <f>IF(77&gt;=66,('Testes estatísticos'!$D$71+'Testes estatísticos'!$D$82)/2,"")</f>
        <v>-3.6954269999999987</v>
      </c>
      <c r="CA244" s="7">
        <f>IF(78&gt;=66,('Testes estatísticos'!$D$71+'Testes estatísticos'!$D$83)/2,"")</f>
        <v>-1.9351679999999973</v>
      </c>
      <c r="CB244" s="7">
        <f>IF(79&gt;=66,('Testes estatísticos'!$D$71+'Testes estatísticos'!$D$84)/2,"")</f>
        <v>-1.8834455000000005</v>
      </c>
      <c r="CC244" s="7">
        <f>IF(80&gt;=66,('Testes estatísticos'!$D$71+'Testes estatísticos'!$D$85)/2,"")</f>
        <v>-3.6904620000000001</v>
      </c>
      <c r="CD244" s="7">
        <f>IF(81&gt;=66,('Testes estatísticos'!$D$71+'Testes estatísticos'!$D$86)/2,"")</f>
        <v>-3.7406070000000007</v>
      </c>
      <c r="CE244" s="7">
        <f>IF(82&gt;=66,('Testes estatísticos'!$D$71+'Testes estatísticos'!$D$87)/2,"")</f>
        <v>-1.6628165000000017</v>
      </c>
      <c r="CF244" s="7">
        <f>IF(83&gt;=66,('Testes estatísticos'!$D$71+'Testes estatísticos'!$D$88)/2,"")</f>
        <v>-2.1916235000000022</v>
      </c>
      <c r="CG244" s="7">
        <f>IF(84&gt;=66,('Testes estatísticos'!$D$71+'Testes estatísticos'!$D$89)/2,"")</f>
        <v>-2.5235304999999997</v>
      </c>
      <c r="CH244" s="7">
        <f>IF(85&gt;=66,('Testes estatísticos'!$D$71+'Testes estatísticos'!$D$90)/2,"")</f>
        <v>-0.70798350000000099</v>
      </c>
      <c r="CI244" s="7">
        <f>IF(86&gt;=66,('Testes estatísticos'!$D$71+'Testes estatísticos'!$D$91)/2,"")</f>
        <v>-3.3981429999999975</v>
      </c>
      <c r="CJ244" s="7">
        <f>IF(87&gt;=66,('Testes estatísticos'!$D$71+'Testes estatísticos'!$D$92)/2,"")</f>
        <v>-2.1559364999999993</v>
      </c>
      <c r="CK244" s="7">
        <f>IF(88&gt;=66,('Testes estatísticos'!$D$71+'Testes estatísticos'!$D$93)/2,"")</f>
        <v>-1.9118530000000007</v>
      </c>
      <c r="CL244" s="7">
        <f>IF(89&gt;=66,('Testes estatísticos'!$D$71+'Testes estatísticos'!$D$94)/2,"")</f>
        <v>-2.5234450000000024</v>
      </c>
      <c r="CM244" s="7">
        <f>IF(90&gt;=66,('Testes estatísticos'!$D$71+'Testes estatísticos'!$D$95)/2,"")</f>
        <v>-4.8575769999999991</v>
      </c>
      <c r="CN244" s="7">
        <f>IF(91&gt;=66,('Testes estatísticos'!$D$71+'Testes estatísticos'!$D$96)/2,"")</f>
        <v>-2.3190539999999977</v>
      </c>
      <c r="CO244" s="7">
        <f>IF(92&gt;=66,('Testes estatísticos'!$D$71+'Testes estatísticos'!$D$97)/2,"")</f>
        <v>-2.6655574999999985</v>
      </c>
      <c r="CP244" s="7">
        <f>IF(93&gt;=66,('Testes estatísticos'!$D$71+'Testes estatísticos'!$D$98)/2,"")</f>
        <v>-2.8703094999999976</v>
      </c>
      <c r="CQ244" s="7">
        <f>IF(94&gt;=66,('Testes estatísticos'!$D$71+'Testes estatísticos'!$D$99)/2,"")</f>
        <v>-0.68915150000000125</v>
      </c>
      <c r="CR244" s="7">
        <f>IF(95&gt;=66,('Testes estatísticos'!$D$71+'Testes estatísticos'!$D$100)/2,"")</f>
        <v>-2.5949445000000004</v>
      </c>
      <c r="CS244" s="7">
        <f>IF(96&gt;=66,('Testes estatísticos'!$D$71+'Testes estatísticos'!$D$101)/2,"")</f>
        <v>-2.5509575000000027</v>
      </c>
      <c r="CT244" s="7">
        <f>IF(97&gt;=66,('Testes estatísticos'!$D$71+'Testes estatísticos'!$D$102)/2,"")</f>
        <v>-2.3179070000000017</v>
      </c>
      <c r="CU244" s="7">
        <f>IF(98&gt;=66,('Testes estatísticos'!$D$71+'Testes estatísticos'!$D$103)/2,"")</f>
        <v>-2.2605809999999984</v>
      </c>
      <c r="CV244" s="7">
        <f>IF(99&gt;=66,('Testes estatísticos'!$D$71+'Testes estatísticos'!$D$104)/2,"")</f>
        <v>-2.6954069999999994</v>
      </c>
      <c r="CW244" s="7">
        <f>IF(100&gt;=66,('Testes estatísticos'!$D$71+'Testes estatísticos'!$D$105)/2,"")</f>
        <v>-2.7948729999999991</v>
      </c>
      <c r="CX244" s="7">
        <f>IF(101&gt;=66,('Testes estatísticos'!$D$71+'Testes estatísticos'!$D$106)/2,"")</f>
        <v>-2.2719464999999985</v>
      </c>
      <c r="CY244" s="7">
        <f>IF(102&gt;=66,('Testes estatísticos'!$D$71+'Testes estatísticos'!$D$107)/2,"")</f>
        <v>-2.3276114999999997</v>
      </c>
      <c r="CZ244" s="7">
        <f>IF(103&gt;=66,('Testes estatísticos'!$D$71+'Testes estatísticos'!$D$108)/2,"")</f>
        <v>-2.8517779999999995</v>
      </c>
      <c r="DA244" s="7">
        <f>IF(104&gt;=66,('Testes estatísticos'!$D$71+'Testes estatísticos'!$D$109)/2,"")</f>
        <v>-2.5891439999999974</v>
      </c>
      <c r="DB244" s="7">
        <f>IF(105&gt;=66,('Testes estatísticos'!$D$71+'Testes estatísticos'!$D$110)/2,"")</f>
        <v>-2.5548129999999993</v>
      </c>
      <c r="DC244" s="7">
        <f>IF(106&gt;=66,('Testes estatísticos'!$D$71+'Testes estatísticos'!$D$111)/2,"")</f>
        <v>-1.8118920000000003</v>
      </c>
      <c r="DD244" s="7">
        <f>IF(107&gt;=66,('Testes estatísticos'!$D$71+'Testes estatísticos'!$D$112)/2,"")</f>
        <v>1.681279</v>
      </c>
      <c r="DE244" s="7">
        <f>IF(108&gt;=66,('Testes estatísticos'!$D$71+'Testes estatísticos'!$D$113)/2,"")</f>
        <v>-1.7413564999999984</v>
      </c>
      <c r="DF244" s="7">
        <f>IF(109&gt;=66,('Testes estatísticos'!$D$71+'Testes estatísticos'!$D$114)/2,"")</f>
        <v>-1.7776134999999975</v>
      </c>
      <c r="DG244" s="7">
        <f>IF(110&gt;=66,('Testes estatísticos'!$D$71+'Testes estatísticos'!$D$115)/2,"")</f>
        <v>-7.3247530000000012</v>
      </c>
      <c r="DH244" s="7">
        <f>IF(111&gt;=66,('Testes estatísticos'!$D$71+'Testes estatísticos'!$D$116)/2,"")</f>
        <v>-1.6439224999999986</v>
      </c>
      <c r="DI244" s="7">
        <f>IF(112&gt;=66,('Testes estatísticos'!$D$71+'Testes estatísticos'!$D$117)/2,"")</f>
        <v>3.7845174999999998</v>
      </c>
      <c r="DJ244" s="7">
        <f>IF(113&gt;=66,('Testes estatísticos'!$D$71+'Testes estatísticos'!$D$118)/2,"")</f>
        <v>-1.6720395000000003</v>
      </c>
      <c r="DK244" s="7">
        <f>IF(114&gt;=66,('Testes estatísticos'!$D$71+'Testes estatísticos'!$D$119)/2,"")</f>
        <v>-1.7737894999999995</v>
      </c>
      <c r="DL244" s="7">
        <f>IF(115&gt;=66,('Testes estatísticos'!$D$71+'Testes estatísticos'!$D$120)/2,"")</f>
        <v>-1.7273119999999977</v>
      </c>
      <c r="DM244" s="7">
        <f>IF(116&gt;=66,('Testes estatísticos'!$D$71+'Testes estatísticos'!$D$121)/2,"")</f>
        <v>-1.7187094999999992</v>
      </c>
      <c r="DN244" s="7">
        <f>IF(117&gt;=66,('Testes estatísticos'!$D$71+'Testes estatísticos'!$D$122)/2,"")</f>
        <v>-1.6956415000000007</v>
      </c>
      <c r="DO244" s="7">
        <f>IF(118&gt;=66,('Testes estatísticos'!$D$71+'Testes estatísticos'!$D$123)/2,"")</f>
        <v>-1.6457310000000014</v>
      </c>
      <c r="DP244" s="7">
        <f>IF(119&gt;=66,('Testes estatísticos'!$D$71+'Testes estatísticos'!$D$124)/2,"")</f>
        <v>-1.6669425000000011</v>
      </c>
      <c r="DQ244" s="7">
        <f>IF(120&gt;=66,('Testes estatísticos'!$D$71+'Testes estatísticos'!$D$125)/2,"")</f>
        <v>1.3846720000000019</v>
      </c>
      <c r="DR244" s="7">
        <f>IF(121&gt;=66,('Testes estatísticos'!$D$71+'Testes estatísticos'!$D$126)/2,"")</f>
        <v>-1.4043445000000006</v>
      </c>
      <c r="DS244" s="7">
        <f>IF(122&gt;=66,('Testes estatísticos'!$D$71+'Testes estatísticos'!$D$127)/2,"")</f>
        <v>-2.4697529999999972</v>
      </c>
      <c r="DT244" s="7">
        <f>IF(123&gt;=66,('Testes estatísticos'!$D$71+'Testes estatísticos'!$D$128)/2,"")</f>
        <v>3.5991164999999974</v>
      </c>
      <c r="DU244" s="7">
        <f>IF(124&gt;=66,('Testes estatísticos'!$D$71+'Testes estatísticos'!$D$129)/2,"")</f>
        <v>-1.2966550000000012</v>
      </c>
      <c r="DV244" s="7">
        <f>IF(125&gt;=66,('Testes estatísticos'!$D$71+'Testes estatísticos'!$D$130)/2,"")</f>
        <v>-0.13834750000000184</v>
      </c>
      <c r="DW244" s="7">
        <f>IF(126&gt;=66,('Testes estatísticos'!$D$71+'Testes estatísticos'!$D$131)/2,"")</f>
        <v>-2.5418234999999996</v>
      </c>
      <c r="DX244" s="7">
        <f>IF(127&gt;=66,('Testes estatísticos'!$D$71+'Testes estatísticos'!$D$132)/2,"")</f>
        <v>-4.5980150000000002</v>
      </c>
      <c r="DY244" s="7">
        <f>IF(128&gt;=66,('Testes estatísticos'!$D$71+'Testes estatísticos'!$D$133)/2,"")</f>
        <v>-4.9391044999999991</v>
      </c>
      <c r="DZ244" s="7">
        <f>IF(129&gt;=66,('Testes estatísticos'!$D$71+'Testes estatísticos'!$D$134)/2,"")</f>
        <v>-8.3628944999999995</v>
      </c>
      <c r="EA244" s="7">
        <f>IF(130&gt;=66,('Testes estatísticos'!$D$71+'Testes estatísticos'!$D$135)/2,"")</f>
        <v>-2.6011244999999974</v>
      </c>
      <c r="EB244" s="7">
        <f>IF(131&gt;=66,('Testes estatísticos'!$D$71+'Testes estatísticos'!$D$136)/2,"")</f>
        <v>-2.5132515000000026</v>
      </c>
      <c r="EC244" s="7">
        <f>IF(132&gt;=66,('Testes estatísticos'!$D$71+'Testes estatísticos'!$D$137)/2,"")</f>
        <v>-3.9999880000000019</v>
      </c>
      <c r="ED244" s="7">
        <f>IF(133&gt;=66,('Testes estatísticos'!$D$71+'Testes estatísticos'!$D$138)/2,"")</f>
        <v>-1.8110505000000003</v>
      </c>
      <c r="EE244" s="7">
        <f>IF(134&gt;=66,('Testes estatísticos'!$D$71+'Testes estatísticos'!$D$139)/2,"")</f>
        <v>-4.1082410000000031</v>
      </c>
      <c r="EF244" s="7">
        <f>IF(135&gt;=66,('Testes estatísticos'!$D$71+'Testes estatísticos'!$D$140)/2,"")</f>
        <v>-0.89380849999999867</v>
      </c>
      <c r="EG244" s="7">
        <f>IF(136&gt;=66,('Testes estatísticos'!$D$71+'Testes estatísticos'!$D$141)/2,"")</f>
        <v>-2.5872985000000028</v>
      </c>
      <c r="EH244" s="7">
        <f>IF(137&gt;=66,('Testes estatísticos'!$D$71+'Testes estatísticos'!$D$142)/2,"")</f>
        <v>-0.8825585000000018</v>
      </c>
      <c r="EI244" s="7">
        <f>IF(138&gt;=66,('Testes estatísticos'!$D$71+'Testes estatísticos'!$D$143)/2,"")</f>
        <v>-2.5475739999999973</v>
      </c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</row>
    <row r="245" spans="2:151" x14ac:dyDescent="0.3">
      <c r="B245" s="7" t="str">
        <f>IF(1&gt;=67,('Testes estatísticos'!$D$72+'Testes estatísticos'!$D$6)/2,"")</f>
        <v/>
      </c>
      <c r="C245" s="7" t="str">
        <f>IF(2&gt;=67,('Testes estatísticos'!$D$72+'Testes estatísticos'!$D$7)/2,"")</f>
        <v/>
      </c>
      <c r="D245" s="7" t="str">
        <f>IF(3&gt;=67,('Testes estatísticos'!$D$72+'Testes estatísticos'!$D$8)/2,"")</f>
        <v/>
      </c>
      <c r="E245" s="7" t="str">
        <f>IF(4&gt;=67,('Testes estatísticos'!$D$72+'Testes estatísticos'!$D$9)/2,"")</f>
        <v/>
      </c>
      <c r="F245" s="7" t="str">
        <f>IF(5&gt;=67,('Testes estatísticos'!$D$72+'Testes estatísticos'!$D$10)/2,"")</f>
        <v/>
      </c>
      <c r="G245" s="7" t="str">
        <f>IF(6&gt;=67,('Testes estatísticos'!$D$72+'Testes estatísticos'!$D$11)/2,"")</f>
        <v/>
      </c>
      <c r="H245" s="7" t="str">
        <f>IF(7&gt;=67,('Testes estatísticos'!$D$72+'Testes estatísticos'!$D$12)/2,"")</f>
        <v/>
      </c>
      <c r="I245" s="7" t="str">
        <f>IF(8&gt;=67,('Testes estatísticos'!$D$72+'Testes estatísticos'!$D$13)/2,"")</f>
        <v/>
      </c>
      <c r="J245" s="7" t="str">
        <f>IF(9&gt;=67,('Testes estatísticos'!$D$72+'Testes estatísticos'!$D$14)/2,"")</f>
        <v/>
      </c>
      <c r="K245" s="7" t="str">
        <f>IF(10&gt;=67,('Testes estatísticos'!$D$72+'Testes estatísticos'!$D$15)/2,"")</f>
        <v/>
      </c>
      <c r="L245" s="7" t="str">
        <f>IF(11&gt;=67,('Testes estatísticos'!$D$72+'Testes estatísticos'!$D$16)/2,"")</f>
        <v/>
      </c>
      <c r="M245" s="7" t="str">
        <f>IF(12&gt;=67,('Testes estatísticos'!$D$72+'Testes estatísticos'!$D$17)/2,"")</f>
        <v/>
      </c>
      <c r="N245" s="7" t="str">
        <f>IF(13&gt;=67,('Testes estatísticos'!$D$72+'Testes estatísticos'!$D$18)/2,"")</f>
        <v/>
      </c>
      <c r="O245" s="7" t="str">
        <f>IF(14&gt;=67,('Testes estatísticos'!$D$72+'Testes estatísticos'!$D$19)/2,"")</f>
        <v/>
      </c>
      <c r="P245" s="7" t="str">
        <f>IF(15&gt;=67,('Testes estatísticos'!$D$72+'Testes estatísticos'!$D$20)/2,"")</f>
        <v/>
      </c>
      <c r="Q245" s="7" t="str">
        <f>IF(16&gt;=67,('Testes estatísticos'!$D$72+'Testes estatísticos'!$D$21)/2,"")</f>
        <v/>
      </c>
      <c r="R245" s="7" t="str">
        <f>IF(17&gt;=67,('Testes estatísticos'!$D$72+'Testes estatísticos'!$D$22)/2,"")</f>
        <v/>
      </c>
      <c r="S245" s="7" t="str">
        <f>IF(18&gt;=67,('Testes estatísticos'!$D$72+'Testes estatísticos'!$D$23)/2,"")</f>
        <v/>
      </c>
      <c r="T245" s="7" t="str">
        <f>IF(19&gt;=67,('Testes estatísticos'!$D$72+'Testes estatísticos'!$D$24)/2,"")</f>
        <v/>
      </c>
      <c r="U245" s="7" t="str">
        <f>IF(20&gt;=67,('Testes estatísticos'!$D$72+'Testes estatísticos'!$D$25)/2,"")</f>
        <v/>
      </c>
      <c r="V245" s="7" t="str">
        <f>IF(21&gt;=67,('Testes estatísticos'!$D$72+'Testes estatísticos'!$D$26)/2,"")</f>
        <v/>
      </c>
      <c r="W245" s="7" t="str">
        <f>IF(22&gt;=67,('Testes estatísticos'!$D$72+'Testes estatísticos'!$D$27)/2,"")</f>
        <v/>
      </c>
      <c r="X245" s="7" t="str">
        <f>IF(23&gt;=67,('Testes estatísticos'!$D$72+'Testes estatísticos'!$D$28)/2,"")</f>
        <v/>
      </c>
      <c r="Y245" s="7" t="str">
        <f>IF(24&gt;=67,('Testes estatísticos'!$D$72+'Testes estatísticos'!$D$29)/2,"")</f>
        <v/>
      </c>
      <c r="Z245" s="7" t="str">
        <f>IF(25&gt;=67,('Testes estatísticos'!$D$72+'Testes estatísticos'!$D$30)/2,"")</f>
        <v/>
      </c>
      <c r="AA245" s="7" t="str">
        <f>IF(26&gt;=67,('Testes estatísticos'!$D$72+'Testes estatísticos'!$D$31)/2,"")</f>
        <v/>
      </c>
      <c r="AB245" s="7" t="str">
        <f>IF(27&gt;=67,('Testes estatísticos'!$D$72+'Testes estatísticos'!$D$32)/2,"")</f>
        <v/>
      </c>
      <c r="AC245" s="7" t="str">
        <f>IF(28&gt;=67,('Testes estatísticos'!$D$72+'Testes estatísticos'!$D$33)/2,"")</f>
        <v/>
      </c>
      <c r="AD245" s="7" t="str">
        <f>IF(29&gt;=67,('Testes estatísticos'!$D$72+'Testes estatísticos'!$D$34)/2,"")</f>
        <v/>
      </c>
      <c r="AE245" s="7" t="str">
        <f>IF(30&gt;=67,('Testes estatísticos'!$D$72+'Testes estatísticos'!$D$35)/2,"")</f>
        <v/>
      </c>
      <c r="AF245" s="7" t="str">
        <f>IF(31&gt;=67,('Testes estatísticos'!$D$72+'Testes estatísticos'!$D$36)/2,"")</f>
        <v/>
      </c>
      <c r="AG245" s="7" t="str">
        <f>IF(32&gt;=67,('Testes estatísticos'!$D$72+'Testes estatísticos'!$D$37)/2,"")</f>
        <v/>
      </c>
      <c r="AH245" s="7" t="str">
        <f>IF(33&gt;=67,('Testes estatísticos'!$D$72+'Testes estatísticos'!$D$38)/2,"")</f>
        <v/>
      </c>
      <c r="AI245" s="7" t="str">
        <f>IF(34&gt;=67,('Testes estatísticos'!$D$72+'Testes estatísticos'!$D$39)/2,"")</f>
        <v/>
      </c>
      <c r="AJ245" s="7" t="str">
        <f>IF(35&gt;=67,('Testes estatísticos'!$D$72+'Testes estatísticos'!$D$40)/2,"")</f>
        <v/>
      </c>
      <c r="AK245" s="7" t="str">
        <f>IF(36&gt;=67,('Testes estatísticos'!$D$72+'Testes estatísticos'!$D$41)/2,"")</f>
        <v/>
      </c>
      <c r="AL245" s="7" t="str">
        <f>IF(37&gt;=67,('Testes estatísticos'!$D$72+'Testes estatísticos'!$D$42)/2,"")</f>
        <v/>
      </c>
      <c r="AM245" s="7" t="str">
        <f>IF(38&gt;=67,('Testes estatísticos'!$D$72+'Testes estatísticos'!$D$43)/2,"")</f>
        <v/>
      </c>
      <c r="AN245" s="7" t="str">
        <f>IF(39&gt;=67,('Testes estatísticos'!$D$72+'Testes estatísticos'!$D$44)/2,"")</f>
        <v/>
      </c>
      <c r="AO245" s="7" t="str">
        <f>IF(40&gt;=67,('Testes estatísticos'!$D$72+'Testes estatísticos'!$D$45)/2,"")</f>
        <v/>
      </c>
      <c r="AP245" s="7" t="str">
        <f>IF(41&gt;=67,('Testes estatísticos'!$D$72+'Testes estatísticos'!$D$46)/2,"")</f>
        <v/>
      </c>
      <c r="AQ245" s="7" t="str">
        <f>IF(42&gt;=67,('Testes estatísticos'!$D$72+'Testes estatísticos'!$D$47)/2,"")</f>
        <v/>
      </c>
      <c r="AR245" s="7" t="str">
        <f>IF(43&gt;=67,('Testes estatísticos'!$D$72+'Testes estatísticos'!$D$48)/2,"")</f>
        <v/>
      </c>
      <c r="AS245" s="7" t="str">
        <f>IF(44&gt;=67,('Testes estatísticos'!$D$72+'Testes estatísticos'!$D$49)/2,"")</f>
        <v/>
      </c>
      <c r="AT245" s="7" t="str">
        <f>IF(45&gt;=67,('Testes estatísticos'!$D$72+'Testes estatísticos'!$D$50)/2,"")</f>
        <v/>
      </c>
      <c r="AU245" s="7" t="str">
        <f>IF(46&gt;=67,('Testes estatísticos'!$D$72+'Testes estatísticos'!$D$51)/2,"")</f>
        <v/>
      </c>
      <c r="AV245" s="7" t="str">
        <f>IF(47&gt;=67,('Testes estatísticos'!$D$72+'Testes estatísticos'!$D$52)/2,"")</f>
        <v/>
      </c>
      <c r="AW245" s="7" t="str">
        <f>IF(48&gt;=67,('Testes estatísticos'!$D$72+'Testes estatísticos'!$D$53)/2,"")</f>
        <v/>
      </c>
      <c r="AX245" s="7" t="str">
        <f>IF(49&gt;=67,('Testes estatísticos'!$D$72+'Testes estatísticos'!$D$54)/2,"")</f>
        <v/>
      </c>
      <c r="AY245" s="7" t="str">
        <f>IF(50&gt;=67,('Testes estatísticos'!$D$72+'Testes estatísticos'!$D$55)/2,"")</f>
        <v/>
      </c>
      <c r="AZ245" s="7" t="str">
        <f>IF(51&gt;=67,('Testes estatísticos'!$D$72+'Testes estatísticos'!$D$56)/2,"")</f>
        <v/>
      </c>
      <c r="BA245" s="7" t="str">
        <f>IF(52&gt;=67,('Testes estatísticos'!$D$72+'Testes estatísticos'!$D$57)/2,"")</f>
        <v/>
      </c>
      <c r="BB245" s="7" t="str">
        <f>IF(53&gt;=67,('Testes estatísticos'!$D$72+'Testes estatísticos'!$D$58)/2,"")</f>
        <v/>
      </c>
      <c r="BC245" s="7" t="str">
        <f>IF(54&gt;=67,('Testes estatísticos'!$D$72+'Testes estatísticos'!$D$59)/2,"")</f>
        <v/>
      </c>
      <c r="BD245" s="7" t="str">
        <f>IF(55&gt;=67,('Testes estatísticos'!$D$72+'Testes estatísticos'!$D$60)/2,"")</f>
        <v/>
      </c>
      <c r="BE245" s="7" t="str">
        <f>IF(56&gt;=67,('Testes estatísticos'!$D$72+'Testes estatísticos'!$D$61)/2,"")</f>
        <v/>
      </c>
      <c r="BF245" s="7" t="str">
        <f>IF(57&gt;=67,('Testes estatísticos'!$D$72+'Testes estatísticos'!$D$62)/2,"")</f>
        <v/>
      </c>
      <c r="BG245" s="7" t="str">
        <f>IF(58&gt;=67,('Testes estatísticos'!$D$72+'Testes estatísticos'!$D$63)/2,"")</f>
        <v/>
      </c>
      <c r="BH245" s="7" t="str">
        <f>IF(59&gt;=67,('Testes estatísticos'!$D$72+'Testes estatísticos'!$D$64)/2,"")</f>
        <v/>
      </c>
      <c r="BI245" s="7" t="str">
        <f>IF(60&gt;=67,('Testes estatísticos'!$D$72+'Testes estatísticos'!$D$65)/2,"")</f>
        <v/>
      </c>
      <c r="BJ245" s="7" t="str">
        <f>IF(61&gt;=67,('Testes estatísticos'!$D$72+'Testes estatísticos'!$D$66)/2,"")</f>
        <v/>
      </c>
      <c r="BK245" s="7" t="str">
        <f>IF(62&gt;=67,('Testes estatísticos'!$D$72+'Testes estatísticos'!$D$67)/2,"")</f>
        <v/>
      </c>
      <c r="BL245" s="7" t="str">
        <f>IF(63&gt;=67,('Testes estatísticos'!$D$72+'Testes estatísticos'!$D$68)/2,"")</f>
        <v/>
      </c>
      <c r="BM245" s="7" t="str">
        <f>IF(64&gt;=67,('Testes estatísticos'!$D$72+'Testes estatísticos'!$D$69)/2,"")</f>
        <v/>
      </c>
      <c r="BN245" s="7" t="str">
        <f>IF(65&gt;=67,('Testes estatísticos'!$D$72+'Testes estatísticos'!$D$70)/2,"")</f>
        <v/>
      </c>
      <c r="BO245" s="7" t="str">
        <f>IF(66&gt;=67,('Testes estatísticos'!$D$72+'Testes estatísticos'!$D$71)/2,"")</f>
        <v/>
      </c>
      <c r="BP245" s="7">
        <f>IF(67&gt;=67,('Testes estatísticos'!$D$72+'Testes estatísticos'!$D$72)/2,"")</f>
        <v>-7.0897509999999997</v>
      </c>
      <c r="BQ245" s="7">
        <f>IF(68&gt;=67,('Testes estatísticos'!$D$72+'Testes estatísticos'!$D$73)/2,"")</f>
        <v>-2.4265180000000015</v>
      </c>
      <c r="BR245" s="7">
        <f>IF(69&gt;=67,('Testes estatísticos'!$D$72+'Testes estatísticos'!$D$74)/2,"")</f>
        <v>-1.7943360000000013</v>
      </c>
      <c r="BS245" s="7">
        <f>IF(70&gt;=67,('Testes estatísticos'!$D$72+'Testes estatísticos'!$D$75)/2,"")</f>
        <v>-2.7988005000000022</v>
      </c>
      <c r="BT245" s="7">
        <f>IF(71&gt;=67,('Testes estatísticos'!$D$72+'Testes estatísticos'!$D$76)/2,"")</f>
        <v>-1.224435500000002</v>
      </c>
      <c r="BU245" s="7">
        <f>IF(72&gt;=67,('Testes estatísticos'!$D$72+'Testes estatísticos'!$D$77)/2,"")</f>
        <v>-6.824132500000001</v>
      </c>
      <c r="BV245" s="7">
        <f>IF(73&gt;=67,('Testes estatísticos'!$D$72+'Testes estatísticos'!$D$78)/2,"")</f>
        <v>-4.7506580000000014</v>
      </c>
      <c r="BW245" s="7">
        <f>IF(74&gt;=67,('Testes estatísticos'!$D$72+'Testes estatísticos'!$D$79)/2,"")</f>
        <v>-5.4339765</v>
      </c>
      <c r="BX245" s="7">
        <f>IF(75&gt;=67,('Testes estatísticos'!$D$72+'Testes estatísticos'!$D$80)/2,"")</f>
        <v>-5.4557545000000012</v>
      </c>
      <c r="BY245" s="7">
        <f>IF(76&gt;=67,('Testes estatísticos'!$D$72+'Testes estatísticos'!$D$81)/2,"")</f>
        <v>-1.3242964999999991</v>
      </c>
      <c r="BZ245" s="7">
        <f>IF(77&gt;=67,('Testes estatísticos'!$D$72+'Testes estatísticos'!$D$82)/2,"")</f>
        <v>-6.5858859999999986</v>
      </c>
      <c r="CA245" s="7">
        <f>IF(78&gt;=67,('Testes estatísticos'!$D$72+'Testes estatísticos'!$D$83)/2,"")</f>
        <v>-4.8256269999999972</v>
      </c>
      <c r="CB245" s="7">
        <f>IF(79&gt;=67,('Testes estatísticos'!$D$72+'Testes estatísticos'!$D$84)/2,"")</f>
        <v>-4.7739045000000004</v>
      </c>
      <c r="CC245" s="7">
        <f>IF(80&gt;=67,('Testes estatísticos'!$D$72+'Testes estatísticos'!$D$85)/2,"")</f>
        <v>-6.580921</v>
      </c>
      <c r="CD245" s="7">
        <f>IF(81&gt;=67,('Testes estatísticos'!$D$72+'Testes estatísticos'!$D$86)/2,"")</f>
        <v>-6.6310660000000006</v>
      </c>
      <c r="CE245" s="7">
        <f>IF(82&gt;=67,('Testes estatísticos'!$D$72+'Testes estatísticos'!$D$87)/2,"")</f>
        <v>-4.5532755000000016</v>
      </c>
      <c r="CF245" s="7">
        <f>IF(83&gt;=67,('Testes estatísticos'!$D$72+'Testes estatísticos'!$D$88)/2,"")</f>
        <v>-5.0820825000000021</v>
      </c>
      <c r="CG245" s="7">
        <f>IF(84&gt;=67,('Testes estatísticos'!$D$72+'Testes estatísticos'!$D$89)/2,"")</f>
        <v>-5.4139894999999996</v>
      </c>
      <c r="CH245" s="7">
        <f>IF(85&gt;=67,('Testes estatísticos'!$D$72+'Testes estatísticos'!$D$90)/2,"")</f>
        <v>-3.5984425000000009</v>
      </c>
      <c r="CI245" s="7">
        <f>IF(86&gt;=67,('Testes estatísticos'!$D$72+'Testes estatísticos'!$D$91)/2,"")</f>
        <v>-6.2886019999999974</v>
      </c>
      <c r="CJ245" s="7">
        <f>IF(87&gt;=67,('Testes estatísticos'!$D$72+'Testes estatísticos'!$D$92)/2,"")</f>
        <v>-5.0463954999999991</v>
      </c>
      <c r="CK245" s="7">
        <f>IF(88&gt;=67,('Testes estatísticos'!$D$72+'Testes estatísticos'!$D$93)/2,"")</f>
        <v>-4.8023120000000006</v>
      </c>
      <c r="CL245" s="7">
        <f>IF(89&gt;=67,('Testes estatísticos'!$D$72+'Testes estatísticos'!$D$94)/2,"")</f>
        <v>-5.4139040000000023</v>
      </c>
      <c r="CM245" s="7">
        <f>IF(90&gt;=67,('Testes estatísticos'!$D$72+'Testes estatísticos'!$D$95)/2,"")</f>
        <v>-7.748035999999999</v>
      </c>
      <c r="CN245" s="7">
        <f>IF(91&gt;=67,('Testes estatísticos'!$D$72+'Testes estatísticos'!$D$96)/2,"")</f>
        <v>-5.2095129999999976</v>
      </c>
      <c r="CO245" s="7">
        <f>IF(92&gt;=67,('Testes estatísticos'!$D$72+'Testes estatísticos'!$D$97)/2,"")</f>
        <v>-5.5560164999999984</v>
      </c>
      <c r="CP245" s="7">
        <f>IF(93&gt;=67,('Testes estatísticos'!$D$72+'Testes estatísticos'!$D$98)/2,"")</f>
        <v>-5.7607684999999975</v>
      </c>
      <c r="CQ245" s="7">
        <f>IF(94&gt;=67,('Testes estatísticos'!$D$72+'Testes estatísticos'!$D$99)/2,"")</f>
        <v>-3.5796105000000011</v>
      </c>
      <c r="CR245" s="7">
        <f>IF(95&gt;=67,('Testes estatísticos'!$D$72+'Testes estatísticos'!$D$100)/2,"")</f>
        <v>-5.4854035000000003</v>
      </c>
      <c r="CS245" s="7">
        <f>IF(96&gt;=67,('Testes estatísticos'!$D$72+'Testes estatísticos'!$D$101)/2,"")</f>
        <v>-5.4414165000000025</v>
      </c>
      <c r="CT245" s="7">
        <f>IF(97&gt;=67,('Testes estatísticos'!$D$72+'Testes estatísticos'!$D$102)/2,"")</f>
        <v>-5.2083660000000016</v>
      </c>
      <c r="CU245" s="7">
        <f>IF(98&gt;=67,('Testes estatísticos'!$D$72+'Testes estatísticos'!$D$103)/2,"")</f>
        <v>-5.1510399999999983</v>
      </c>
      <c r="CV245" s="7">
        <f>IF(99&gt;=67,('Testes estatísticos'!$D$72+'Testes estatísticos'!$D$104)/2,"")</f>
        <v>-5.5858659999999993</v>
      </c>
      <c r="CW245" s="7">
        <f>IF(100&gt;=67,('Testes estatísticos'!$D$72+'Testes estatísticos'!$D$105)/2,"")</f>
        <v>-5.6853319999999989</v>
      </c>
      <c r="CX245" s="7">
        <f>IF(101&gt;=67,('Testes estatísticos'!$D$72+'Testes estatísticos'!$D$106)/2,"")</f>
        <v>-5.1624054999999984</v>
      </c>
      <c r="CY245" s="7">
        <f>IF(102&gt;=67,('Testes estatísticos'!$D$72+'Testes estatísticos'!$D$107)/2,"")</f>
        <v>-5.2180704999999996</v>
      </c>
      <c r="CZ245" s="7">
        <f>IF(103&gt;=67,('Testes estatísticos'!$D$72+'Testes estatísticos'!$D$108)/2,"")</f>
        <v>-5.7422369999999994</v>
      </c>
      <c r="DA245" s="7">
        <f>IF(104&gt;=67,('Testes estatísticos'!$D$72+'Testes estatísticos'!$D$109)/2,"")</f>
        <v>-5.4796029999999973</v>
      </c>
      <c r="DB245" s="7">
        <f>IF(105&gt;=67,('Testes estatísticos'!$D$72+'Testes estatísticos'!$D$110)/2,"")</f>
        <v>-5.4452719999999992</v>
      </c>
      <c r="DC245" s="7">
        <f>IF(106&gt;=67,('Testes estatísticos'!$D$72+'Testes estatísticos'!$D$111)/2,"")</f>
        <v>-4.7023510000000002</v>
      </c>
      <c r="DD245" s="7">
        <f>IF(107&gt;=67,('Testes estatísticos'!$D$72+'Testes estatísticos'!$D$112)/2,"")</f>
        <v>-1.2091799999999999</v>
      </c>
      <c r="DE245" s="7">
        <f>IF(108&gt;=67,('Testes estatísticos'!$D$72+'Testes estatísticos'!$D$113)/2,"")</f>
        <v>-4.6318154999999983</v>
      </c>
      <c r="DF245" s="7">
        <f>IF(109&gt;=67,('Testes estatísticos'!$D$72+'Testes estatísticos'!$D$114)/2,"")</f>
        <v>-4.6680724999999974</v>
      </c>
      <c r="DG245" s="7">
        <f>IF(110&gt;=67,('Testes estatísticos'!$D$72+'Testes estatísticos'!$D$115)/2,"")</f>
        <v>-10.215212000000001</v>
      </c>
      <c r="DH245" s="7">
        <f>IF(111&gt;=67,('Testes estatísticos'!$D$72+'Testes estatísticos'!$D$116)/2,"")</f>
        <v>-4.5343814999999985</v>
      </c>
      <c r="DI245" s="7">
        <f>IF(112&gt;=67,('Testes estatísticos'!$D$72+'Testes estatísticos'!$D$117)/2,"")</f>
        <v>0.89405849999999987</v>
      </c>
      <c r="DJ245" s="7">
        <f>IF(113&gt;=67,('Testes estatísticos'!$D$72+'Testes estatísticos'!$D$118)/2,"")</f>
        <v>-4.5624985000000002</v>
      </c>
      <c r="DK245" s="7">
        <f>IF(114&gt;=67,('Testes estatísticos'!$D$72+'Testes estatísticos'!$D$119)/2,"")</f>
        <v>-4.6642484999999994</v>
      </c>
      <c r="DL245" s="7">
        <f>IF(115&gt;=67,('Testes estatísticos'!$D$72+'Testes estatísticos'!$D$120)/2,"")</f>
        <v>-4.6177709999999976</v>
      </c>
      <c r="DM245" s="7">
        <f>IF(116&gt;=67,('Testes estatísticos'!$D$72+'Testes estatísticos'!$D$121)/2,"")</f>
        <v>-4.6091684999999991</v>
      </c>
      <c r="DN245" s="7">
        <f>IF(117&gt;=67,('Testes estatísticos'!$D$72+'Testes estatísticos'!$D$122)/2,"")</f>
        <v>-4.5861005000000006</v>
      </c>
      <c r="DO245" s="7">
        <f>IF(118&gt;=67,('Testes estatísticos'!$D$72+'Testes estatísticos'!$D$123)/2,"")</f>
        <v>-4.5361900000000013</v>
      </c>
      <c r="DP245" s="7">
        <f>IF(119&gt;=67,('Testes estatísticos'!$D$72+'Testes estatísticos'!$D$124)/2,"")</f>
        <v>-4.557401500000001</v>
      </c>
      <c r="DQ245" s="7">
        <f>IF(120&gt;=67,('Testes estatísticos'!$D$72+'Testes estatísticos'!$D$125)/2,"")</f>
        <v>-1.505786999999998</v>
      </c>
      <c r="DR245" s="7">
        <f>IF(121&gt;=67,('Testes estatísticos'!$D$72+'Testes estatísticos'!$D$126)/2,"")</f>
        <v>-4.2948035000000004</v>
      </c>
      <c r="DS245" s="7">
        <f>IF(122&gt;=67,('Testes estatísticos'!$D$72+'Testes estatísticos'!$D$127)/2,"")</f>
        <v>-5.3602119999999971</v>
      </c>
      <c r="DT245" s="7">
        <f>IF(123&gt;=67,('Testes estatísticos'!$D$72+'Testes estatísticos'!$D$128)/2,"")</f>
        <v>0.7086574999999975</v>
      </c>
      <c r="DU245" s="7">
        <f>IF(124&gt;=67,('Testes estatísticos'!$D$72+'Testes estatísticos'!$D$129)/2,"")</f>
        <v>-4.1871140000000011</v>
      </c>
      <c r="DV245" s="7">
        <f>IF(125&gt;=67,('Testes estatísticos'!$D$72+'Testes estatísticos'!$D$130)/2,"")</f>
        <v>-3.0288065000000017</v>
      </c>
      <c r="DW245" s="7">
        <f>IF(126&gt;=67,('Testes estatísticos'!$D$72+'Testes estatísticos'!$D$131)/2,"")</f>
        <v>-5.4322824999999995</v>
      </c>
      <c r="DX245" s="7">
        <f>IF(127&gt;=67,('Testes estatísticos'!$D$72+'Testes estatísticos'!$D$132)/2,"")</f>
        <v>-7.4884740000000001</v>
      </c>
      <c r="DY245" s="7">
        <f>IF(128&gt;=67,('Testes estatísticos'!$D$72+'Testes estatísticos'!$D$133)/2,"")</f>
        <v>-7.829563499999999</v>
      </c>
      <c r="DZ245" s="7">
        <f>IF(129&gt;=67,('Testes estatísticos'!$D$72+'Testes estatísticos'!$D$134)/2,"")</f>
        <v>-11.253353499999999</v>
      </c>
      <c r="EA245" s="7">
        <f>IF(130&gt;=67,('Testes estatísticos'!$D$72+'Testes estatísticos'!$D$135)/2,"")</f>
        <v>-5.4915834999999973</v>
      </c>
      <c r="EB245" s="7">
        <f>IF(131&gt;=67,('Testes estatísticos'!$D$72+'Testes estatísticos'!$D$136)/2,"")</f>
        <v>-5.4037105000000025</v>
      </c>
      <c r="EC245" s="7">
        <f>IF(132&gt;=67,('Testes estatísticos'!$D$72+'Testes estatísticos'!$D$137)/2,"")</f>
        <v>-6.8904470000000018</v>
      </c>
      <c r="ED245" s="7">
        <f>IF(133&gt;=67,('Testes estatísticos'!$D$72+'Testes estatísticos'!$D$138)/2,"")</f>
        <v>-4.7015095000000002</v>
      </c>
      <c r="EE245" s="7">
        <f>IF(134&gt;=67,('Testes estatísticos'!$D$72+'Testes estatísticos'!$D$139)/2,"")</f>
        <v>-6.998700000000003</v>
      </c>
      <c r="EF245" s="7">
        <f>IF(135&gt;=67,('Testes estatísticos'!$D$72+'Testes estatísticos'!$D$140)/2,"")</f>
        <v>-3.7842674999999986</v>
      </c>
      <c r="EG245" s="7">
        <f>IF(136&gt;=67,('Testes estatísticos'!$D$72+'Testes estatísticos'!$D$141)/2,"")</f>
        <v>-5.4777575000000027</v>
      </c>
      <c r="EH245" s="7">
        <f>IF(137&gt;=67,('Testes estatísticos'!$D$72+'Testes estatísticos'!$D$142)/2,"")</f>
        <v>-3.7730175000000017</v>
      </c>
      <c r="EI245" s="7">
        <f>IF(138&gt;=67,('Testes estatísticos'!$D$72+'Testes estatísticos'!$D$143)/2,"")</f>
        <v>-5.4380329999999972</v>
      </c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</row>
    <row r="246" spans="2:151" x14ac:dyDescent="0.3">
      <c r="B246" s="7" t="str">
        <f>IF(1&gt;=68,('Testes estatísticos'!$D$73+'Testes estatísticos'!$D$6)/2,"")</f>
        <v/>
      </c>
      <c r="C246" s="7" t="str">
        <f>IF(2&gt;=68,('Testes estatísticos'!$D$73+'Testes estatísticos'!$D$7)/2,"")</f>
        <v/>
      </c>
      <c r="D246" s="7" t="str">
        <f>IF(3&gt;=68,('Testes estatísticos'!$D$73+'Testes estatísticos'!$D$8)/2,"")</f>
        <v/>
      </c>
      <c r="E246" s="7" t="str">
        <f>IF(4&gt;=68,('Testes estatísticos'!$D$73+'Testes estatísticos'!$D$9)/2,"")</f>
        <v/>
      </c>
      <c r="F246" s="7" t="str">
        <f>IF(5&gt;=68,('Testes estatísticos'!$D$73+'Testes estatísticos'!$D$10)/2,"")</f>
        <v/>
      </c>
      <c r="G246" s="7" t="str">
        <f>IF(6&gt;=68,('Testes estatísticos'!$D$73+'Testes estatísticos'!$D$11)/2,"")</f>
        <v/>
      </c>
      <c r="H246" s="7" t="str">
        <f>IF(7&gt;=68,('Testes estatísticos'!$D$73+'Testes estatísticos'!$D$12)/2,"")</f>
        <v/>
      </c>
      <c r="I246" s="7" t="str">
        <f>IF(8&gt;=68,('Testes estatísticos'!$D$73+'Testes estatísticos'!$D$13)/2,"")</f>
        <v/>
      </c>
      <c r="J246" s="7" t="str">
        <f>IF(9&gt;=68,('Testes estatísticos'!$D$73+'Testes estatísticos'!$D$14)/2,"")</f>
        <v/>
      </c>
      <c r="K246" s="7" t="str">
        <f>IF(10&gt;=68,('Testes estatísticos'!$D$73+'Testes estatísticos'!$D$15)/2,"")</f>
        <v/>
      </c>
      <c r="L246" s="7" t="str">
        <f>IF(11&gt;=68,('Testes estatísticos'!$D$73+'Testes estatísticos'!$D$16)/2,"")</f>
        <v/>
      </c>
      <c r="M246" s="7" t="str">
        <f>IF(12&gt;=68,('Testes estatísticos'!$D$73+'Testes estatísticos'!$D$17)/2,"")</f>
        <v/>
      </c>
      <c r="N246" s="7" t="str">
        <f>IF(13&gt;=68,('Testes estatísticos'!$D$73+'Testes estatísticos'!$D$18)/2,"")</f>
        <v/>
      </c>
      <c r="O246" s="7" t="str">
        <f>IF(14&gt;=68,('Testes estatísticos'!$D$73+'Testes estatísticos'!$D$19)/2,"")</f>
        <v/>
      </c>
      <c r="P246" s="7" t="str">
        <f>IF(15&gt;=68,('Testes estatísticos'!$D$73+'Testes estatísticos'!$D$20)/2,"")</f>
        <v/>
      </c>
      <c r="Q246" s="7" t="str">
        <f>IF(16&gt;=68,('Testes estatísticos'!$D$73+'Testes estatísticos'!$D$21)/2,"")</f>
        <v/>
      </c>
      <c r="R246" s="7" t="str">
        <f>IF(17&gt;=68,('Testes estatísticos'!$D$73+'Testes estatísticos'!$D$22)/2,"")</f>
        <v/>
      </c>
      <c r="S246" s="7" t="str">
        <f>IF(18&gt;=68,('Testes estatísticos'!$D$73+'Testes estatísticos'!$D$23)/2,"")</f>
        <v/>
      </c>
      <c r="T246" s="7" t="str">
        <f>IF(19&gt;=68,('Testes estatísticos'!$D$73+'Testes estatísticos'!$D$24)/2,"")</f>
        <v/>
      </c>
      <c r="U246" s="7" t="str">
        <f>IF(20&gt;=68,('Testes estatísticos'!$D$73+'Testes estatísticos'!$D$25)/2,"")</f>
        <v/>
      </c>
      <c r="V246" s="7" t="str">
        <f>IF(21&gt;=68,('Testes estatísticos'!$D$73+'Testes estatísticos'!$D$26)/2,"")</f>
        <v/>
      </c>
      <c r="W246" s="7" t="str">
        <f>IF(22&gt;=68,('Testes estatísticos'!$D$73+'Testes estatísticos'!$D$27)/2,"")</f>
        <v/>
      </c>
      <c r="X246" s="7" t="str">
        <f>IF(23&gt;=68,('Testes estatísticos'!$D$73+'Testes estatísticos'!$D$28)/2,"")</f>
        <v/>
      </c>
      <c r="Y246" s="7" t="str">
        <f>IF(24&gt;=68,('Testes estatísticos'!$D$73+'Testes estatísticos'!$D$29)/2,"")</f>
        <v/>
      </c>
      <c r="Z246" s="7" t="str">
        <f>IF(25&gt;=68,('Testes estatísticos'!$D$73+'Testes estatísticos'!$D$30)/2,"")</f>
        <v/>
      </c>
      <c r="AA246" s="7" t="str">
        <f>IF(26&gt;=68,('Testes estatísticos'!$D$73+'Testes estatísticos'!$D$31)/2,"")</f>
        <v/>
      </c>
      <c r="AB246" s="7" t="str">
        <f>IF(27&gt;=68,('Testes estatísticos'!$D$73+'Testes estatísticos'!$D$32)/2,"")</f>
        <v/>
      </c>
      <c r="AC246" s="7" t="str">
        <f>IF(28&gt;=68,('Testes estatísticos'!$D$73+'Testes estatísticos'!$D$33)/2,"")</f>
        <v/>
      </c>
      <c r="AD246" s="7" t="str">
        <f>IF(29&gt;=68,('Testes estatísticos'!$D$73+'Testes estatísticos'!$D$34)/2,"")</f>
        <v/>
      </c>
      <c r="AE246" s="7" t="str">
        <f>IF(30&gt;=68,('Testes estatísticos'!$D$73+'Testes estatísticos'!$D$35)/2,"")</f>
        <v/>
      </c>
      <c r="AF246" s="7" t="str">
        <f>IF(31&gt;=68,('Testes estatísticos'!$D$73+'Testes estatísticos'!$D$36)/2,"")</f>
        <v/>
      </c>
      <c r="AG246" s="7" t="str">
        <f>IF(32&gt;=68,('Testes estatísticos'!$D$73+'Testes estatísticos'!$D$37)/2,"")</f>
        <v/>
      </c>
      <c r="AH246" s="7" t="str">
        <f>IF(33&gt;=68,('Testes estatísticos'!$D$73+'Testes estatísticos'!$D$38)/2,"")</f>
        <v/>
      </c>
      <c r="AI246" s="7" t="str">
        <f>IF(34&gt;=68,('Testes estatísticos'!$D$73+'Testes estatísticos'!$D$39)/2,"")</f>
        <v/>
      </c>
      <c r="AJ246" s="7" t="str">
        <f>IF(35&gt;=68,('Testes estatísticos'!$D$73+'Testes estatísticos'!$D$40)/2,"")</f>
        <v/>
      </c>
      <c r="AK246" s="7" t="str">
        <f>IF(36&gt;=68,('Testes estatísticos'!$D$73+'Testes estatísticos'!$D$41)/2,"")</f>
        <v/>
      </c>
      <c r="AL246" s="7" t="str">
        <f>IF(37&gt;=68,('Testes estatísticos'!$D$73+'Testes estatísticos'!$D$42)/2,"")</f>
        <v/>
      </c>
      <c r="AM246" s="7" t="str">
        <f>IF(38&gt;=68,('Testes estatísticos'!$D$73+'Testes estatísticos'!$D$43)/2,"")</f>
        <v/>
      </c>
      <c r="AN246" s="7" t="str">
        <f>IF(39&gt;=68,('Testes estatísticos'!$D$73+'Testes estatísticos'!$D$44)/2,"")</f>
        <v/>
      </c>
      <c r="AO246" s="7" t="str">
        <f>IF(40&gt;=68,('Testes estatísticos'!$D$73+'Testes estatísticos'!$D$45)/2,"")</f>
        <v/>
      </c>
      <c r="AP246" s="7" t="str">
        <f>IF(41&gt;=68,('Testes estatísticos'!$D$73+'Testes estatísticos'!$D$46)/2,"")</f>
        <v/>
      </c>
      <c r="AQ246" s="7" t="str">
        <f>IF(42&gt;=68,('Testes estatísticos'!$D$73+'Testes estatísticos'!$D$47)/2,"")</f>
        <v/>
      </c>
      <c r="AR246" s="7" t="str">
        <f>IF(43&gt;=68,('Testes estatísticos'!$D$73+'Testes estatísticos'!$D$48)/2,"")</f>
        <v/>
      </c>
      <c r="AS246" s="7" t="str">
        <f>IF(44&gt;=68,('Testes estatísticos'!$D$73+'Testes estatísticos'!$D$49)/2,"")</f>
        <v/>
      </c>
      <c r="AT246" s="7" t="str">
        <f>IF(45&gt;=68,('Testes estatísticos'!$D$73+'Testes estatísticos'!$D$50)/2,"")</f>
        <v/>
      </c>
      <c r="AU246" s="7" t="str">
        <f>IF(46&gt;=68,('Testes estatísticos'!$D$73+'Testes estatísticos'!$D$51)/2,"")</f>
        <v/>
      </c>
      <c r="AV246" s="7" t="str">
        <f>IF(47&gt;=68,('Testes estatísticos'!$D$73+'Testes estatísticos'!$D$52)/2,"")</f>
        <v/>
      </c>
      <c r="AW246" s="7" t="str">
        <f>IF(48&gt;=68,('Testes estatísticos'!$D$73+'Testes estatísticos'!$D$53)/2,"")</f>
        <v/>
      </c>
      <c r="AX246" s="7" t="str">
        <f>IF(49&gt;=68,('Testes estatísticos'!$D$73+'Testes estatísticos'!$D$54)/2,"")</f>
        <v/>
      </c>
      <c r="AY246" s="7" t="str">
        <f>IF(50&gt;=68,('Testes estatísticos'!$D$73+'Testes estatísticos'!$D$55)/2,"")</f>
        <v/>
      </c>
      <c r="AZ246" s="7" t="str">
        <f>IF(51&gt;=68,('Testes estatísticos'!$D$73+'Testes estatísticos'!$D$56)/2,"")</f>
        <v/>
      </c>
      <c r="BA246" s="7" t="str">
        <f>IF(52&gt;=68,('Testes estatísticos'!$D$73+'Testes estatísticos'!$D$57)/2,"")</f>
        <v/>
      </c>
      <c r="BB246" s="7" t="str">
        <f>IF(53&gt;=68,('Testes estatísticos'!$D$73+'Testes estatísticos'!$D$58)/2,"")</f>
        <v/>
      </c>
      <c r="BC246" s="7" t="str">
        <f>IF(54&gt;=68,('Testes estatísticos'!$D$73+'Testes estatísticos'!$D$59)/2,"")</f>
        <v/>
      </c>
      <c r="BD246" s="7" t="str">
        <f>IF(55&gt;=68,('Testes estatísticos'!$D$73+'Testes estatísticos'!$D$60)/2,"")</f>
        <v/>
      </c>
      <c r="BE246" s="7" t="str">
        <f>IF(56&gt;=68,('Testes estatísticos'!$D$73+'Testes estatísticos'!$D$61)/2,"")</f>
        <v/>
      </c>
      <c r="BF246" s="7" t="str">
        <f>IF(57&gt;=68,('Testes estatísticos'!$D$73+'Testes estatísticos'!$D$62)/2,"")</f>
        <v/>
      </c>
      <c r="BG246" s="7" t="str">
        <f>IF(58&gt;=68,('Testes estatísticos'!$D$73+'Testes estatísticos'!$D$63)/2,"")</f>
        <v/>
      </c>
      <c r="BH246" s="7" t="str">
        <f>IF(59&gt;=68,('Testes estatísticos'!$D$73+'Testes estatísticos'!$D$64)/2,"")</f>
        <v/>
      </c>
      <c r="BI246" s="7" t="str">
        <f>IF(60&gt;=68,('Testes estatísticos'!$D$73+'Testes estatísticos'!$D$65)/2,"")</f>
        <v/>
      </c>
      <c r="BJ246" s="7" t="str">
        <f>IF(61&gt;=68,('Testes estatísticos'!$D$73+'Testes estatísticos'!$D$66)/2,"")</f>
        <v/>
      </c>
      <c r="BK246" s="7" t="str">
        <f>IF(62&gt;=68,('Testes estatísticos'!$D$73+'Testes estatísticos'!$D$67)/2,"")</f>
        <v/>
      </c>
      <c r="BL246" s="7" t="str">
        <f>IF(63&gt;=68,('Testes estatísticos'!$D$73+'Testes estatísticos'!$D$68)/2,"")</f>
        <v/>
      </c>
      <c r="BM246" s="7" t="str">
        <f>IF(64&gt;=68,('Testes estatísticos'!$D$73+'Testes estatísticos'!$D$69)/2,"")</f>
        <v/>
      </c>
      <c r="BN246" s="7" t="str">
        <f>IF(65&gt;=68,('Testes estatísticos'!$D$73+'Testes estatísticos'!$D$70)/2,"")</f>
        <v/>
      </c>
      <c r="BO246" s="7" t="str">
        <f>IF(66&gt;=68,('Testes estatísticos'!$D$73+'Testes estatísticos'!$D$71)/2,"")</f>
        <v/>
      </c>
      <c r="BP246" s="7" t="str">
        <f>IF(67&gt;=68,('Testes estatísticos'!$D$73+'Testes estatísticos'!$D$72)/2,"")</f>
        <v/>
      </c>
      <c r="BQ246" s="7">
        <f>IF(68&gt;=68,('Testes estatísticos'!$D$73+'Testes estatísticos'!$D$73)/2,"")</f>
        <v>2.2367149999999967</v>
      </c>
      <c r="BR246" s="7">
        <f>IF(69&gt;=68,('Testes estatísticos'!$D$73+'Testes estatísticos'!$D$74)/2,"")</f>
        <v>2.8688969999999969</v>
      </c>
      <c r="BS246" s="7">
        <f>IF(70&gt;=68,('Testes estatísticos'!$D$73+'Testes estatísticos'!$D$75)/2,"")</f>
        <v>1.8644324999999959</v>
      </c>
      <c r="BT246" s="7">
        <f>IF(71&gt;=68,('Testes estatísticos'!$D$73+'Testes estatísticos'!$D$76)/2,"")</f>
        <v>3.4387974999999962</v>
      </c>
      <c r="BU246" s="7">
        <f>IF(72&gt;=68,('Testes estatísticos'!$D$73+'Testes estatísticos'!$D$77)/2,"")</f>
        <v>-2.1608995000000029</v>
      </c>
      <c r="BV246" s="7">
        <f>IF(73&gt;=68,('Testes estatísticos'!$D$73+'Testes estatísticos'!$D$78)/2,"")</f>
        <v>-8.7425000000003195E-2</v>
      </c>
      <c r="BW246" s="7">
        <f>IF(74&gt;=68,('Testes estatísticos'!$D$73+'Testes estatísticos'!$D$79)/2,"")</f>
        <v>-0.7707435000000018</v>
      </c>
      <c r="BX246" s="7">
        <f>IF(75&gt;=68,('Testes estatísticos'!$D$73+'Testes estatísticos'!$D$80)/2,"")</f>
        <v>-0.79252150000000299</v>
      </c>
      <c r="BY246" s="7">
        <f>IF(76&gt;=68,('Testes estatísticos'!$D$73+'Testes estatísticos'!$D$81)/2,"")</f>
        <v>3.3389364999999991</v>
      </c>
      <c r="BZ246" s="7">
        <f>IF(77&gt;=68,('Testes estatísticos'!$D$73+'Testes estatísticos'!$D$82)/2,"")</f>
        <v>-1.9226530000000004</v>
      </c>
      <c r="CA246" s="7">
        <f>IF(78&gt;=68,('Testes estatísticos'!$D$73+'Testes estatísticos'!$D$83)/2,"")</f>
        <v>-0.16239399999999904</v>
      </c>
      <c r="CB246" s="7">
        <f>IF(79&gt;=68,('Testes estatísticos'!$D$73+'Testes estatísticos'!$D$84)/2,"")</f>
        <v>-0.11067150000000225</v>
      </c>
      <c r="CC246" s="7">
        <f>IF(80&gt;=68,('Testes estatísticos'!$D$73+'Testes estatísticos'!$D$85)/2,"")</f>
        <v>-1.9176880000000018</v>
      </c>
      <c r="CD246" s="7">
        <f>IF(81&gt;=68,('Testes estatísticos'!$D$73+'Testes estatísticos'!$D$86)/2,"")</f>
        <v>-1.9678330000000024</v>
      </c>
      <c r="CE246" s="7">
        <f>IF(82&gt;=68,('Testes estatísticos'!$D$73+'Testes estatísticos'!$D$87)/2,"")</f>
        <v>0.1099574999999966</v>
      </c>
      <c r="CF246" s="7">
        <f>IF(83&gt;=68,('Testes estatísticos'!$D$73+'Testes estatísticos'!$D$88)/2,"")</f>
        <v>-0.41884950000000387</v>
      </c>
      <c r="CG246" s="7">
        <f>IF(84&gt;=68,('Testes estatísticos'!$D$73+'Testes estatísticos'!$D$89)/2,"")</f>
        <v>-0.75075650000000138</v>
      </c>
      <c r="CH246" s="7">
        <f>IF(85&gt;=68,('Testes estatísticos'!$D$73+'Testes estatísticos'!$D$90)/2,"")</f>
        <v>1.0647904999999973</v>
      </c>
      <c r="CI246" s="7">
        <f>IF(86&gt;=68,('Testes estatísticos'!$D$73+'Testes estatísticos'!$D$91)/2,"")</f>
        <v>-1.6253689999999992</v>
      </c>
      <c r="CJ246" s="7">
        <f>IF(87&gt;=68,('Testes estatísticos'!$D$73+'Testes estatísticos'!$D$92)/2,"")</f>
        <v>-0.38316250000000096</v>
      </c>
      <c r="CK246" s="7">
        <f>IF(88&gt;=68,('Testes estatísticos'!$D$73+'Testes estatísticos'!$D$93)/2,"")</f>
        <v>-0.1390790000000024</v>
      </c>
      <c r="CL246" s="7">
        <f>IF(89&gt;=68,('Testes estatísticos'!$D$73+'Testes estatísticos'!$D$94)/2,"")</f>
        <v>-0.75067100000000408</v>
      </c>
      <c r="CM246" s="7">
        <f>IF(90&gt;=68,('Testes estatísticos'!$D$73+'Testes estatísticos'!$D$95)/2,"")</f>
        <v>-3.0848030000000008</v>
      </c>
      <c r="CN246" s="7">
        <f>IF(91&gt;=68,('Testes estatísticos'!$D$73+'Testes estatísticos'!$D$96)/2,"")</f>
        <v>-0.54627999999999943</v>
      </c>
      <c r="CO246" s="7">
        <f>IF(92&gt;=68,('Testes estatísticos'!$D$73+'Testes estatísticos'!$D$97)/2,"")</f>
        <v>-0.89278350000000017</v>
      </c>
      <c r="CP246" s="7">
        <f>IF(93&gt;=68,('Testes estatísticos'!$D$73+'Testes estatísticos'!$D$98)/2,"")</f>
        <v>-1.0975354999999993</v>
      </c>
      <c r="CQ246" s="7">
        <f>IF(94&gt;=68,('Testes estatísticos'!$D$73+'Testes estatísticos'!$D$99)/2,"")</f>
        <v>1.083622499999997</v>
      </c>
      <c r="CR246" s="7">
        <f>IF(95&gt;=68,('Testes estatísticos'!$D$73+'Testes estatísticos'!$D$100)/2,"")</f>
        <v>-0.82217050000000214</v>
      </c>
      <c r="CS246" s="7">
        <f>IF(96&gt;=68,('Testes estatísticos'!$D$73+'Testes estatísticos'!$D$101)/2,"")</f>
        <v>-0.77818350000000436</v>
      </c>
      <c r="CT246" s="7">
        <f>IF(97&gt;=68,('Testes estatísticos'!$D$73+'Testes estatísticos'!$D$102)/2,"")</f>
        <v>-0.54513300000000342</v>
      </c>
      <c r="CU246" s="7">
        <f>IF(98&gt;=68,('Testes estatísticos'!$D$73+'Testes estatísticos'!$D$103)/2,"")</f>
        <v>-0.4878070000000001</v>
      </c>
      <c r="CV246" s="7">
        <f>IF(99&gt;=68,('Testes estatísticos'!$D$73+'Testes estatísticos'!$D$104)/2,"")</f>
        <v>-0.92263300000000115</v>
      </c>
      <c r="CW246" s="7">
        <f>IF(100&gt;=68,('Testes estatísticos'!$D$73+'Testes estatísticos'!$D$105)/2,"")</f>
        <v>-1.0220990000000008</v>
      </c>
      <c r="CX246" s="7">
        <f>IF(101&gt;=68,('Testes estatísticos'!$D$73+'Testes estatísticos'!$D$106)/2,"")</f>
        <v>-0.49917250000000024</v>
      </c>
      <c r="CY246" s="7">
        <f>IF(102&gt;=68,('Testes estatísticos'!$D$73+'Testes estatísticos'!$D$107)/2,"")</f>
        <v>-0.55483750000000143</v>
      </c>
      <c r="CZ246" s="7">
        <f>IF(103&gt;=68,('Testes estatísticos'!$D$73+'Testes estatísticos'!$D$108)/2,"")</f>
        <v>-1.0790040000000012</v>
      </c>
      <c r="DA246" s="7">
        <f>IF(104&gt;=68,('Testes estatísticos'!$D$73+'Testes estatísticos'!$D$109)/2,"")</f>
        <v>-0.81636999999999915</v>
      </c>
      <c r="DB246" s="7">
        <f>IF(105&gt;=68,('Testes estatísticos'!$D$73+'Testes estatísticos'!$D$110)/2,"")</f>
        <v>-0.78203900000000104</v>
      </c>
      <c r="DC246" s="7">
        <f>IF(106&gt;=68,('Testes estatísticos'!$D$73+'Testes estatísticos'!$D$111)/2,"")</f>
        <v>-3.9118000000001985E-2</v>
      </c>
      <c r="DD246" s="7">
        <f>IF(107&gt;=68,('Testes estatísticos'!$D$73+'Testes estatísticos'!$D$112)/2,"")</f>
        <v>3.4540529999999983</v>
      </c>
      <c r="DE246" s="7">
        <f>IF(108&gt;=68,('Testes estatísticos'!$D$73+'Testes estatísticos'!$D$113)/2,"")</f>
        <v>3.1417499999999876E-2</v>
      </c>
      <c r="DF246" s="7">
        <f>IF(109&gt;=68,('Testes estatísticos'!$D$73+'Testes estatísticos'!$D$114)/2,"")</f>
        <v>-4.8394999999992194E-3</v>
      </c>
      <c r="DG246" s="7">
        <f>IF(110&gt;=68,('Testes estatísticos'!$D$73+'Testes estatísticos'!$D$115)/2,"")</f>
        <v>-5.5519790000000029</v>
      </c>
      <c r="DH246" s="7">
        <f>IF(111&gt;=68,('Testes estatísticos'!$D$73+'Testes estatísticos'!$D$116)/2,"")</f>
        <v>0.12885149999999967</v>
      </c>
      <c r="DI246" s="7">
        <f>IF(112&gt;=68,('Testes estatísticos'!$D$73+'Testes estatísticos'!$D$117)/2,"")</f>
        <v>5.5572914999999981</v>
      </c>
      <c r="DJ246" s="7">
        <f>IF(113&gt;=68,('Testes estatísticos'!$D$73+'Testes estatísticos'!$D$118)/2,"")</f>
        <v>0.10073449999999795</v>
      </c>
      <c r="DK246" s="7">
        <f>IF(114&gt;=68,('Testes estatísticos'!$D$73+'Testes estatísticos'!$D$119)/2,"")</f>
        <v>-1.0155000000011682E-3</v>
      </c>
      <c r="DL246" s="7">
        <f>IF(115&gt;=68,('Testes estatísticos'!$D$73+'Testes estatísticos'!$D$120)/2,"")</f>
        <v>4.5462000000000558E-2</v>
      </c>
      <c r="DM246" s="7">
        <f>IF(116&gt;=68,('Testes estatísticos'!$D$73+'Testes estatísticos'!$D$121)/2,"")</f>
        <v>5.4064499999999072E-2</v>
      </c>
      <c r="DN246" s="7">
        <f>IF(117&gt;=68,('Testes estatísticos'!$D$73+'Testes estatísticos'!$D$122)/2,"")</f>
        <v>7.7132499999997606E-2</v>
      </c>
      <c r="DO246" s="7">
        <f>IF(118&gt;=68,('Testes estatísticos'!$D$73+'Testes estatísticos'!$D$123)/2,"")</f>
        <v>0.12704299999999691</v>
      </c>
      <c r="DP246" s="7">
        <f>IF(119&gt;=68,('Testes estatísticos'!$D$73+'Testes estatísticos'!$D$124)/2,"")</f>
        <v>0.10583149999999719</v>
      </c>
      <c r="DQ246" s="7">
        <f>IF(120&gt;=68,('Testes estatísticos'!$D$73+'Testes estatísticos'!$D$125)/2,"")</f>
        <v>3.1574460000000002</v>
      </c>
      <c r="DR246" s="7">
        <f>IF(121&gt;=68,('Testes estatísticos'!$D$73+'Testes estatísticos'!$D$126)/2,"")</f>
        <v>0.36842949999999774</v>
      </c>
      <c r="DS246" s="7">
        <f>IF(122&gt;=68,('Testes estatísticos'!$D$73+'Testes estatísticos'!$D$127)/2,"")</f>
        <v>-0.6969789999999989</v>
      </c>
      <c r="DT246" s="7">
        <f>IF(123&gt;=68,('Testes estatísticos'!$D$73+'Testes estatísticos'!$D$128)/2,"")</f>
        <v>5.3718904999999957</v>
      </c>
      <c r="DU246" s="7">
        <f>IF(124&gt;=68,('Testes estatísticos'!$D$73+'Testes estatísticos'!$D$129)/2,"")</f>
        <v>0.47611899999999707</v>
      </c>
      <c r="DV246" s="7">
        <f>IF(125&gt;=68,('Testes estatísticos'!$D$73+'Testes estatísticos'!$D$130)/2,"")</f>
        <v>1.6344264999999965</v>
      </c>
      <c r="DW246" s="7">
        <f>IF(126&gt;=68,('Testes estatísticos'!$D$73+'Testes estatísticos'!$D$131)/2,"")</f>
        <v>-0.76904950000000127</v>
      </c>
      <c r="DX246" s="7">
        <f>IF(127&gt;=68,('Testes estatísticos'!$D$73+'Testes estatísticos'!$D$132)/2,"")</f>
        <v>-2.8252410000000019</v>
      </c>
      <c r="DY246" s="7">
        <f>IF(128&gt;=68,('Testes estatísticos'!$D$73+'Testes estatísticos'!$D$133)/2,"")</f>
        <v>-3.1663305000000008</v>
      </c>
      <c r="DZ246" s="7">
        <f>IF(129&gt;=68,('Testes estatísticos'!$D$73+'Testes estatísticos'!$D$134)/2,"")</f>
        <v>-6.5901205000000012</v>
      </c>
      <c r="EA246" s="7">
        <f>IF(130&gt;=68,('Testes estatísticos'!$D$73+'Testes estatísticos'!$D$135)/2,"")</f>
        <v>-0.8283504999999991</v>
      </c>
      <c r="EB246" s="7">
        <f>IF(131&gt;=68,('Testes estatísticos'!$D$73+'Testes estatísticos'!$D$136)/2,"")</f>
        <v>-0.74047750000000434</v>
      </c>
      <c r="EC246" s="7">
        <f>IF(132&gt;=68,('Testes estatísticos'!$D$73+'Testes estatísticos'!$D$137)/2,"")</f>
        <v>-2.2272140000000036</v>
      </c>
      <c r="ED246" s="7">
        <f>IF(133&gt;=68,('Testes estatísticos'!$D$73+'Testes estatísticos'!$D$138)/2,"")</f>
        <v>-3.8276500000002045E-2</v>
      </c>
      <c r="EE246" s="7">
        <f>IF(134&gt;=68,('Testes estatísticos'!$D$73+'Testes estatísticos'!$D$139)/2,"")</f>
        <v>-2.3354670000000048</v>
      </c>
      <c r="EF246" s="7">
        <f>IF(135&gt;=68,('Testes estatísticos'!$D$73+'Testes estatísticos'!$D$140)/2,"")</f>
        <v>0.87896549999999962</v>
      </c>
      <c r="EG246" s="7">
        <f>IF(136&gt;=68,('Testes estatísticos'!$D$73+'Testes estatísticos'!$D$141)/2,"")</f>
        <v>-0.81452450000000454</v>
      </c>
      <c r="EH246" s="7">
        <f>IF(137&gt;=68,('Testes estatísticos'!$D$73+'Testes estatísticos'!$D$142)/2,"")</f>
        <v>0.8902154999999965</v>
      </c>
      <c r="EI246" s="7">
        <f>IF(138&gt;=68,('Testes estatísticos'!$D$73+'Testes estatísticos'!$D$143)/2,"")</f>
        <v>-0.77479999999999905</v>
      </c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</row>
    <row r="247" spans="2:151" x14ac:dyDescent="0.3">
      <c r="B247" s="7" t="str">
        <f>IF(1&gt;=69,('Testes estatísticos'!$D$74+'Testes estatísticos'!$D$6)/2,"")</f>
        <v/>
      </c>
      <c r="C247" s="7" t="str">
        <f>IF(2&gt;=69,('Testes estatísticos'!$D$74+'Testes estatísticos'!$D$7)/2,"")</f>
        <v/>
      </c>
      <c r="D247" s="7" t="str">
        <f>IF(3&gt;=69,('Testes estatísticos'!$D$74+'Testes estatísticos'!$D$8)/2,"")</f>
        <v/>
      </c>
      <c r="E247" s="7" t="str">
        <f>IF(4&gt;=69,('Testes estatísticos'!$D$74+'Testes estatísticos'!$D$9)/2,"")</f>
        <v/>
      </c>
      <c r="F247" s="7" t="str">
        <f>IF(5&gt;=69,('Testes estatísticos'!$D$74+'Testes estatísticos'!$D$10)/2,"")</f>
        <v/>
      </c>
      <c r="G247" s="7" t="str">
        <f>IF(6&gt;=69,('Testes estatísticos'!$D$74+'Testes estatísticos'!$D$11)/2,"")</f>
        <v/>
      </c>
      <c r="H247" s="7" t="str">
        <f>IF(7&gt;=69,('Testes estatísticos'!$D$74+'Testes estatísticos'!$D$12)/2,"")</f>
        <v/>
      </c>
      <c r="I247" s="7" t="str">
        <f>IF(8&gt;=69,('Testes estatísticos'!$D$74+'Testes estatísticos'!$D$13)/2,"")</f>
        <v/>
      </c>
      <c r="J247" s="7" t="str">
        <f>IF(9&gt;=69,('Testes estatísticos'!$D$74+'Testes estatísticos'!$D$14)/2,"")</f>
        <v/>
      </c>
      <c r="K247" s="7" t="str">
        <f>IF(10&gt;=69,('Testes estatísticos'!$D$74+'Testes estatísticos'!$D$15)/2,"")</f>
        <v/>
      </c>
      <c r="L247" s="7" t="str">
        <f>IF(11&gt;=69,('Testes estatísticos'!$D$74+'Testes estatísticos'!$D$16)/2,"")</f>
        <v/>
      </c>
      <c r="M247" s="7" t="str">
        <f>IF(12&gt;=69,('Testes estatísticos'!$D$74+'Testes estatísticos'!$D$17)/2,"")</f>
        <v/>
      </c>
      <c r="N247" s="7" t="str">
        <f>IF(13&gt;=69,('Testes estatísticos'!$D$74+'Testes estatísticos'!$D$18)/2,"")</f>
        <v/>
      </c>
      <c r="O247" s="7" t="str">
        <f>IF(14&gt;=69,('Testes estatísticos'!$D$74+'Testes estatísticos'!$D$19)/2,"")</f>
        <v/>
      </c>
      <c r="P247" s="7" t="str">
        <f>IF(15&gt;=69,('Testes estatísticos'!$D$74+'Testes estatísticos'!$D$20)/2,"")</f>
        <v/>
      </c>
      <c r="Q247" s="7" t="str">
        <f>IF(16&gt;=69,('Testes estatísticos'!$D$74+'Testes estatísticos'!$D$21)/2,"")</f>
        <v/>
      </c>
      <c r="R247" s="7" t="str">
        <f>IF(17&gt;=69,('Testes estatísticos'!$D$74+'Testes estatísticos'!$D$22)/2,"")</f>
        <v/>
      </c>
      <c r="S247" s="7" t="str">
        <f>IF(18&gt;=69,('Testes estatísticos'!$D$74+'Testes estatísticos'!$D$23)/2,"")</f>
        <v/>
      </c>
      <c r="T247" s="7" t="str">
        <f>IF(19&gt;=69,('Testes estatísticos'!$D$74+'Testes estatísticos'!$D$24)/2,"")</f>
        <v/>
      </c>
      <c r="U247" s="7" t="str">
        <f>IF(20&gt;=69,('Testes estatísticos'!$D$74+'Testes estatísticos'!$D$25)/2,"")</f>
        <v/>
      </c>
      <c r="V247" s="7" t="str">
        <f>IF(21&gt;=69,('Testes estatísticos'!$D$74+'Testes estatísticos'!$D$26)/2,"")</f>
        <v/>
      </c>
      <c r="W247" s="7" t="str">
        <f>IF(22&gt;=69,('Testes estatísticos'!$D$74+'Testes estatísticos'!$D$27)/2,"")</f>
        <v/>
      </c>
      <c r="X247" s="7" t="str">
        <f>IF(23&gt;=69,('Testes estatísticos'!$D$74+'Testes estatísticos'!$D$28)/2,"")</f>
        <v/>
      </c>
      <c r="Y247" s="7" t="str">
        <f>IF(24&gt;=69,('Testes estatísticos'!$D$74+'Testes estatísticos'!$D$29)/2,"")</f>
        <v/>
      </c>
      <c r="Z247" s="7" t="str">
        <f>IF(25&gt;=69,('Testes estatísticos'!$D$74+'Testes estatísticos'!$D$30)/2,"")</f>
        <v/>
      </c>
      <c r="AA247" s="7" t="str">
        <f>IF(26&gt;=69,('Testes estatísticos'!$D$74+'Testes estatísticos'!$D$31)/2,"")</f>
        <v/>
      </c>
      <c r="AB247" s="7" t="str">
        <f>IF(27&gt;=69,('Testes estatísticos'!$D$74+'Testes estatísticos'!$D$32)/2,"")</f>
        <v/>
      </c>
      <c r="AC247" s="7" t="str">
        <f>IF(28&gt;=69,('Testes estatísticos'!$D$74+'Testes estatísticos'!$D$33)/2,"")</f>
        <v/>
      </c>
      <c r="AD247" s="7" t="str">
        <f>IF(29&gt;=69,('Testes estatísticos'!$D$74+'Testes estatísticos'!$D$34)/2,"")</f>
        <v/>
      </c>
      <c r="AE247" s="7" t="str">
        <f>IF(30&gt;=69,('Testes estatísticos'!$D$74+'Testes estatísticos'!$D$35)/2,"")</f>
        <v/>
      </c>
      <c r="AF247" s="7" t="str">
        <f>IF(31&gt;=69,('Testes estatísticos'!$D$74+'Testes estatísticos'!$D$36)/2,"")</f>
        <v/>
      </c>
      <c r="AG247" s="7" t="str">
        <f>IF(32&gt;=69,('Testes estatísticos'!$D$74+'Testes estatísticos'!$D$37)/2,"")</f>
        <v/>
      </c>
      <c r="AH247" s="7" t="str">
        <f>IF(33&gt;=69,('Testes estatísticos'!$D$74+'Testes estatísticos'!$D$38)/2,"")</f>
        <v/>
      </c>
      <c r="AI247" s="7" t="str">
        <f>IF(34&gt;=69,('Testes estatísticos'!$D$74+'Testes estatísticos'!$D$39)/2,"")</f>
        <v/>
      </c>
      <c r="AJ247" s="7" t="str">
        <f>IF(35&gt;=69,('Testes estatísticos'!$D$74+'Testes estatísticos'!$D$40)/2,"")</f>
        <v/>
      </c>
      <c r="AK247" s="7" t="str">
        <f>IF(36&gt;=69,('Testes estatísticos'!$D$74+'Testes estatísticos'!$D$41)/2,"")</f>
        <v/>
      </c>
      <c r="AL247" s="7" t="str">
        <f>IF(37&gt;=69,('Testes estatísticos'!$D$74+'Testes estatísticos'!$D$42)/2,"")</f>
        <v/>
      </c>
      <c r="AM247" s="7" t="str">
        <f>IF(38&gt;=69,('Testes estatísticos'!$D$74+'Testes estatísticos'!$D$43)/2,"")</f>
        <v/>
      </c>
      <c r="AN247" s="7" t="str">
        <f>IF(39&gt;=69,('Testes estatísticos'!$D$74+'Testes estatísticos'!$D$44)/2,"")</f>
        <v/>
      </c>
      <c r="AO247" s="7" t="str">
        <f>IF(40&gt;=69,('Testes estatísticos'!$D$74+'Testes estatísticos'!$D$45)/2,"")</f>
        <v/>
      </c>
      <c r="AP247" s="7" t="str">
        <f>IF(41&gt;=69,('Testes estatísticos'!$D$74+'Testes estatísticos'!$D$46)/2,"")</f>
        <v/>
      </c>
      <c r="AQ247" s="7" t="str">
        <f>IF(42&gt;=69,('Testes estatísticos'!$D$74+'Testes estatísticos'!$D$47)/2,"")</f>
        <v/>
      </c>
      <c r="AR247" s="7" t="str">
        <f>IF(43&gt;=69,('Testes estatísticos'!$D$74+'Testes estatísticos'!$D$48)/2,"")</f>
        <v/>
      </c>
      <c r="AS247" s="7" t="str">
        <f>IF(44&gt;=69,('Testes estatísticos'!$D$74+'Testes estatísticos'!$D$49)/2,"")</f>
        <v/>
      </c>
      <c r="AT247" s="7" t="str">
        <f>IF(45&gt;=69,('Testes estatísticos'!$D$74+'Testes estatísticos'!$D$50)/2,"")</f>
        <v/>
      </c>
      <c r="AU247" s="7" t="str">
        <f>IF(46&gt;=69,('Testes estatísticos'!$D$74+'Testes estatísticos'!$D$51)/2,"")</f>
        <v/>
      </c>
      <c r="AV247" s="7" t="str">
        <f>IF(47&gt;=69,('Testes estatísticos'!$D$74+'Testes estatísticos'!$D$52)/2,"")</f>
        <v/>
      </c>
      <c r="AW247" s="7" t="str">
        <f>IF(48&gt;=69,('Testes estatísticos'!$D$74+'Testes estatísticos'!$D$53)/2,"")</f>
        <v/>
      </c>
      <c r="AX247" s="7" t="str">
        <f>IF(49&gt;=69,('Testes estatísticos'!$D$74+'Testes estatísticos'!$D$54)/2,"")</f>
        <v/>
      </c>
      <c r="AY247" s="7" t="str">
        <f>IF(50&gt;=69,('Testes estatísticos'!$D$74+'Testes estatísticos'!$D$55)/2,"")</f>
        <v/>
      </c>
      <c r="AZ247" s="7" t="str">
        <f>IF(51&gt;=69,('Testes estatísticos'!$D$74+'Testes estatísticos'!$D$56)/2,"")</f>
        <v/>
      </c>
      <c r="BA247" s="7" t="str">
        <f>IF(52&gt;=69,('Testes estatísticos'!$D$74+'Testes estatísticos'!$D$57)/2,"")</f>
        <v/>
      </c>
      <c r="BB247" s="7" t="str">
        <f>IF(53&gt;=69,('Testes estatísticos'!$D$74+'Testes estatísticos'!$D$58)/2,"")</f>
        <v/>
      </c>
      <c r="BC247" s="7" t="str">
        <f>IF(54&gt;=69,('Testes estatísticos'!$D$74+'Testes estatísticos'!$D$59)/2,"")</f>
        <v/>
      </c>
      <c r="BD247" s="7" t="str">
        <f>IF(55&gt;=69,('Testes estatísticos'!$D$74+'Testes estatísticos'!$D$60)/2,"")</f>
        <v/>
      </c>
      <c r="BE247" s="7" t="str">
        <f>IF(56&gt;=69,('Testes estatísticos'!$D$74+'Testes estatísticos'!$D$61)/2,"")</f>
        <v/>
      </c>
      <c r="BF247" s="7" t="str">
        <f>IF(57&gt;=69,('Testes estatísticos'!$D$74+'Testes estatísticos'!$D$62)/2,"")</f>
        <v/>
      </c>
      <c r="BG247" s="7" t="str">
        <f>IF(58&gt;=69,('Testes estatísticos'!$D$74+'Testes estatísticos'!$D$63)/2,"")</f>
        <v/>
      </c>
      <c r="BH247" s="7" t="str">
        <f>IF(59&gt;=69,('Testes estatísticos'!$D$74+'Testes estatísticos'!$D$64)/2,"")</f>
        <v/>
      </c>
      <c r="BI247" s="7" t="str">
        <f>IF(60&gt;=69,('Testes estatísticos'!$D$74+'Testes estatísticos'!$D$65)/2,"")</f>
        <v/>
      </c>
      <c r="BJ247" s="7" t="str">
        <f>IF(61&gt;=69,('Testes estatísticos'!$D$74+'Testes estatísticos'!$D$66)/2,"")</f>
        <v/>
      </c>
      <c r="BK247" s="7" t="str">
        <f>IF(62&gt;=69,('Testes estatísticos'!$D$74+'Testes estatísticos'!$D$67)/2,"")</f>
        <v/>
      </c>
      <c r="BL247" s="7" t="str">
        <f>IF(63&gt;=69,('Testes estatísticos'!$D$74+'Testes estatísticos'!$D$68)/2,"")</f>
        <v/>
      </c>
      <c r="BM247" s="7" t="str">
        <f>IF(64&gt;=69,('Testes estatísticos'!$D$74+'Testes estatísticos'!$D$69)/2,"")</f>
        <v/>
      </c>
      <c r="BN247" s="7" t="str">
        <f>IF(65&gt;=69,('Testes estatísticos'!$D$74+'Testes estatísticos'!$D$70)/2,"")</f>
        <v/>
      </c>
      <c r="BO247" s="7" t="str">
        <f>IF(66&gt;=69,('Testes estatísticos'!$D$74+'Testes estatísticos'!$D$71)/2,"")</f>
        <v/>
      </c>
      <c r="BP247" s="7" t="str">
        <f>IF(67&gt;=69,('Testes estatísticos'!$D$74+'Testes estatísticos'!$D$72)/2,"")</f>
        <v/>
      </c>
      <c r="BQ247" s="7" t="str">
        <f>IF(68&gt;=69,('Testes estatísticos'!$D$74+'Testes estatísticos'!$D$73)/2,"")</f>
        <v/>
      </c>
      <c r="BR247" s="7">
        <f>IF(69&gt;=69,('Testes estatísticos'!$D$74+'Testes estatísticos'!$D$74)/2,"")</f>
        <v>3.5010789999999972</v>
      </c>
      <c r="BS247" s="7">
        <f>IF(70&gt;=69,('Testes estatísticos'!$D$74+'Testes estatísticos'!$D$75)/2,"")</f>
        <v>2.4966144999999962</v>
      </c>
      <c r="BT247" s="7">
        <f>IF(71&gt;=69,('Testes estatísticos'!$D$74+'Testes estatísticos'!$D$76)/2,"")</f>
        <v>4.0709794999999964</v>
      </c>
      <c r="BU247" s="7">
        <f>IF(72&gt;=69,('Testes estatísticos'!$D$74+'Testes estatísticos'!$D$77)/2,"")</f>
        <v>-1.5287175000000026</v>
      </c>
      <c r="BV247" s="7">
        <f>IF(73&gt;=69,('Testes estatísticos'!$D$74+'Testes estatísticos'!$D$78)/2,"")</f>
        <v>0.54475699999999705</v>
      </c>
      <c r="BW247" s="7">
        <f>IF(74&gt;=69,('Testes estatísticos'!$D$74+'Testes estatísticos'!$D$79)/2,"")</f>
        <v>-0.13856150000000156</v>
      </c>
      <c r="BX247" s="7">
        <f>IF(75&gt;=69,('Testes estatísticos'!$D$74+'Testes estatísticos'!$D$80)/2,"")</f>
        <v>-0.16033950000000274</v>
      </c>
      <c r="BY247" s="7">
        <f>IF(76&gt;=69,('Testes estatísticos'!$D$74+'Testes estatísticos'!$D$81)/2,"")</f>
        <v>3.9711184999999993</v>
      </c>
      <c r="BZ247" s="7">
        <f>IF(77&gt;=69,('Testes estatísticos'!$D$74+'Testes estatísticos'!$D$82)/2,"")</f>
        <v>-1.2904710000000001</v>
      </c>
      <c r="CA247" s="7">
        <f>IF(78&gt;=69,('Testes estatísticos'!$D$74+'Testes estatísticos'!$D$83)/2,"")</f>
        <v>0.4697880000000012</v>
      </c>
      <c r="CB247" s="7">
        <f>IF(79&gt;=69,('Testes estatísticos'!$D$74+'Testes estatísticos'!$D$84)/2,"")</f>
        <v>0.52151049999999799</v>
      </c>
      <c r="CC247" s="7">
        <f>IF(80&gt;=69,('Testes estatísticos'!$D$74+'Testes estatísticos'!$D$85)/2,"")</f>
        <v>-1.2855060000000016</v>
      </c>
      <c r="CD247" s="7">
        <f>IF(81&gt;=69,('Testes estatísticos'!$D$74+'Testes estatísticos'!$D$86)/2,"")</f>
        <v>-1.3356510000000021</v>
      </c>
      <c r="CE247" s="7">
        <f>IF(82&gt;=69,('Testes estatísticos'!$D$74+'Testes estatísticos'!$D$87)/2,"")</f>
        <v>0.74213949999999684</v>
      </c>
      <c r="CF247" s="7">
        <f>IF(83&gt;=69,('Testes estatísticos'!$D$74+'Testes estatísticos'!$D$88)/2,"")</f>
        <v>0.21333249999999637</v>
      </c>
      <c r="CG247" s="7">
        <f>IF(84&gt;=69,('Testes estatísticos'!$D$74+'Testes estatísticos'!$D$89)/2,"")</f>
        <v>-0.11857450000000114</v>
      </c>
      <c r="CH247" s="7">
        <f>IF(85&gt;=69,('Testes estatísticos'!$D$74+'Testes estatísticos'!$D$90)/2,"")</f>
        <v>1.6969724999999976</v>
      </c>
      <c r="CI247" s="7">
        <f>IF(86&gt;=69,('Testes estatísticos'!$D$74+'Testes estatísticos'!$D$91)/2,"")</f>
        <v>-0.99318699999999893</v>
      </c>
      <c r="CJ247" s="7">
        <f>IF(87&gt;=69,('Testes estatísticos'!$D$74+'Testes estatísticos'!$D$92)/2,"")</f>
        <v>0.24901949999999928</v>
      </c>
      <c r="CK247" s="7">
        <f>IF(88&gt;=69,('Testes estatísticos'!$D$74+'Testes estatísticos'!$D$93)/2,"")</f>
        <v>0.49310299999999785</v>
      </c>
      <c r="CL247" s="7">
        <f>IF(89&gt;=69,('Testes estatísticos'!$D$74+'Testes estatísticos'!$D$94)/2,"")</f>
        <v>-0.11848900000000384</v>
      </c>
      <c r="CM247" s="7">
        <f>IF(90&gt;=69,('Testes estatísticos'!$D$74+'Testes estatísticos'!$D$95)/2,"")</f>
        <v>-2.4526210000000006</v>
      </c>
      <c r="CN247" s="7">
        <f>IF(91&gt;=69,('Testes estatísticos'!$D$74+'Testes estatísticos'!$D$96)/2,"")</f>
        <v>8.5902000000000811E-2</v>
      </c>
      <c r="CO247" s="7">
        <f>IF(92&gt;=69,('Testes estatísticos'!$D$74+'Testes estatísticos'!$D$97)/2,"")</f>
        <v>-0.26060149999999993</v>
      </c>
      <c r="CP247" s="7">
        <f>IF(93&gt;=69,('Testes estatísticos'!$D$74+'Testes estatísticos'!$D$98)/2,"")</f>
        <v>-0.46535349999999909</v>
      </c>
      <c r="CQ247" s="7">
        <f>IF(94&gt;=69,('Testes estatísticos'!$D$74+'Testes estatísticos'!$D$99)/2,"")</f>
        <v>1.7158044999999973</v>
      </c>
      <c r="CR247" s="7">
        <f>IF(95&gt;=69,('Testes estatísticos'!$D$74+'Testes estatísticos'!$D$100)/2,"")</f>
        <v>-0.18998850000000189</v>
      </c>
      <c r="CS247" s="7">
        <f>IF(96&gt;=69,('Testes estatísticos'!$D$74+'Testes estatísticos'!$D$101)/2,"")</f>
        <v>-0.14600150000000411</v>
      </c>
      <c r="CT247" s="7">
        <f>IF(97&gt;=69,('Testes estatísticos'!$D$74+'Testes estatísticos'!$D$102)/2,"")</f>
        <v>8.7048999999996823E-2</v>
      </c>
      <c r="CU247" s="7">
        <f>IF(98&gt;=69,('Testes estatísticos'!$D$74+'Testes estatísticos'!$D$103)/2,"")</f>
        <v>0.14437500000000014</v>
      </c>
      <c r="CV247" s="7">
        <f>IF(99&gt;=69,('Testes estatísticos'!$D$74+'Testes estatísticos'!$D$104)/2,"")</f>
        <v>-0.2904510000000009</v>
      </c>
      <c r="CW247" s="7">
        <f>IF(100&gt;=69,('Testes estatísticos'!$D$74+'Testes estatísticos'!$D$105)/2,"")</f>
        <v>-0.38991700000000051</v>
      </c>
      <c r="CX247" s="7">
        <f>IF(101&gt;=69,('Testes estatísticos'!$D$74+'Testes estatísticos'!$D$106)/2,"")</f>
        <v>0.1330095</v>
      </c>
      <c r="CY247" s="7">
        <f>IF(102&gt;=69,('Testes estatísticos'!$D$74+'Testes estatísticos'!$D$107)/2,"")</f>
        <v>7.7344499999998817E-2</v>
      </c>
      <c r="CZ247" s="7">
        <f>IF(103&gt;=69,('Testes estatísticos'!$D$74+'Testes estatísticos'!$D$108)/2,"")</f>
        <v>-0.44682200000000094</v>
      </c>
      <c r="DA247" s="7">
        <f>IF(104&gt;=69,('Testes estatísticos'!$D$74+'Testes estatísticos'!$D$109)/2,"")</f>
        <v>-0.18418799999999891</v>
      </c>
      <c r="DB247" s="7">
        <f>IF(105&gt;=69,('Testes estatísticos'!$D$74+'Testes estatísticos'!$D$110)/2,"")</f>
        <v>-0.1498570000000008</v>
      </c>
      <c r="DC247" s="7">
        <f>IF(106&gt;=69,('Testes estatísticos'!$D$74+'Testes estatísticos'!$D$111)/2,"")</f>
        <v>0.59306399999999826</v>
      </c>
      <c r="DD247" s="7">
        <f>IF(107&gt;=69,('Testes estatísticos'!$D$74+'Testes estatísticos'!$D$112)/2,"")</f>
        <v>4.0862349999999985</v>
      </c>
      <c r="DE247" s="7">
        <f>IF(108&gt;=69,('Testes estatísticos'!$D$74+'Testes estatísticos'!$D$113)/2,"")</f>
        <v>0.66359950000000012</v>
      </c>
      <c r="DF247" s="7">
        <f>IF(109&gt;=69,('Testes estatísticos'!$D$74+'Testes estatísticos'!$D$114)/2,"")</f>
        <v>0.62734250000000102</v>
      </c>
      <c r="DG247" s="7">
        <f>IF(110&gt;=69,('Testes estatísticos'!$D$74+'Testes estatísticos'!$D$115)/2,"")</f>
        <v>-4.9197970000000026</v>
      </c>
      <c r="DH247" s="7">
        <f>IF(111&gt;=69,('Testes estatísticos'!$D$74+'Testes estatísticos'!$D$116)/2,"")</f>
        <v>0.76103349999999992</v>
      </c>
      <c r="DI247" s="7">
        <f>IF(112&gt;=69,('Testes estatísticos'!$D$74+'Testes estatísticos'!$D$117)/2,"")</f>
        <v>6.1894734999999983</v>
      </c>
      <c r="DJ247" s="7">
        <f>IF(113&gt;=69,('Testes estatísticos'!$D$74+'Testes estatísticos'!$D$118)/2,"")</f>
        <v>0.73291649999999819</v>
      </c>
      <c r="DK247" s="7">
        <f>IF(114&gt;=69,('Testes estatísticos'!$D$74+'Testes estatísticos'!$D$119)/2,"")</f>
        <v>0.63116649999999908</v>
      </c>
      <c r="DL247" s="7">
        <f>IF(115&gt;=69,('Testes estatísticos'!$D$74+'Testes estatísticos'!$D$120)/2,"")</f>
        <v>0.6776440000000008</v>
      </c>
      <c r="DM247" s="7">
        <f>IF(116&gt;=69,('Testes estatísticos'!$D$74+'Testes estatísticos'!$D$121)/2,"")</f>
        <v>0.68624649999999932</v>
      </c>
      <c r="DN247" s="7">
        <f>IF(117&gt;=69,('Testes estatísticos'!$D$74+'Testes estatísticos'!$D$122)/2,"")</f>
        <v>0.70931449999999785</v>
      </c>
      <c r="DO247" s="7">
        <f>IF(118&gt;=69,('Testes estatísticos'!$D$74+'Testes estatísticos'!$D$123)/2,"")</f>
        <v>0.75922499999999715</v>
      </c>
      <c r="DP247" s="7">
        <f>IF(119&gt;=69,('Testes estatísticos'!$D$74+'Testes estatísticos'!$D$124)/2,"")</f>
        <v>0.73801349999999744</v>
      </c>
      <c r="DQ247" s="7">
        <f>IF(120&gt;=69,('Testes estatísticos'!$D$74+'Testes estatísticos'!$D$125)/2,"")</f>
        <v>3.7896280000000004</v>
      </c>
      <c r="DR247" s="7">
        <f>IF(121&gt;=69,('Testes estatísticos'!$D$74+'Testes estatísticos'!$D$126)/2,"")</f>
        <v>1.000611499999998</v>
      </c>
      <c r="DS247" s="7">
        <f>IF(122&gt;=69,('Testes estatísticos'!$D$74+'Testes estatísticos'!$D$127)/2,"")</f>
        <v>-6.4796999999998661E-2</v>
      </c>
      <c r="DT247" s="7">
        <f>IF(123&gt;=69,('Testes estatísticos'!$D$74+'Testes estatísticos'!$D$128)/2,"")</f>
        <v>6.0040724999999959</v>
      </c>
      <c r="DU247" s="7">
        <f>IF(124&gt;=69,('Testes estatísticos'!$D$74+'Testes estatísticos'!$D$129)/2,"")</f>
        <v>1.1083009999999973</v>
      </c>
      <c r="DV247" s="7">
        <f>IF(125&gt;=69,('Testes estatísticos'!$D$74+'Testes estatísticos'!$D$130)/2,"")</f>
        <v>2.2666084999999967</v>
      </c>
      <c r="DW247" s="7">
        <f>IF(126&gt;=69,('Testes estatísticos'!$D$74+'Testes estatísticos'!$D$131)/2,"")</f>
        <v>-0.13686750000000103</v>
      </c>
      <c r="DX247" s="7">
        <f>IF(127&gt;=69,('Testes estatísticos'!$D$74+'Testes estatísticos'!$D$132)/2,"")</f>
        <v>-2.1930590000000016</v>
      </c>
      <c r="DY247" s="7">
        <f>IF(128&gt;=69,('Testes estatísticos'!$D$74+'Testes estatísticos'!$D$133)/2,"")</f>
        <v>-2.5341485000000006</v>
      </c>
      <c r="DZ247" s="7">
        <f>IF(129&gt;=69,('Testes estatísticos'!$D$74+'Testes estatísticos'!$D$134)/2,"")</f>
        <v>-5.9579385000000009</v>
      </c>
      <c r="EA247" s="7">
        <f>IF(130&gt;=69,('Testes estatísticos'!$D$74+'Testes estatísticos'!$D$135)/2,"")</f>
        <v>-0.19616849999999886</v>
      </c>
      <c r="EB247" s="7">
        <f>IF(131&gt;=69,('Testes estatísticos'!$D$74+'Testes estatísticos'!$D$136)/2,"")</f>
        <v>-0.1082955000000041</v>
      </c>
      <c r="EC247" s="7">
        <f>IF(132&gt;=69,('Testes estatísticos'!$D$74+'Testes estatísticos'!$D$137)/2,"")</f>
        <v>-1.5950320000000033</v>
      </c>
      <c r="ED247" s="7">
        <f>IF(133&gt;=69,('Testes estatísticos'!$D$74+'Testes estatísticos'!$D$138)/2,"")</f>
        <v>0.5939054999999982</v>
      </c>
      <c r="EE247" s="7">
        <f>IF(134&gt;=69,('Testes estatísticos'!$D$74+'Testes estatísticos'!$D$139)/2,"")</f>
        <v>-1.7032850000000046</v>
      </c>
      <c r="EF247" s="7">
        <f>IF(135&gt;=69,('Testes estatísticos'!$D$74+'Testes estatísticos'!$D$140)/2,"")</f>
        <v>1.5111474999999999</v>
      </c>
      <c r="EG247" s="7">
        <f>IF(136&gt;=69,('Testes estatísticos'!$D$74+'Testes estatísticos'!$D$141)/2,"")</f>
        <v>-0.18234250000000429</v>
      </c>
      <c r="EH247" s="7">
        <f>IF(137&gt;=69,('Testes estatísticos'!$D$74+'Testes estatísticos'!$D$142)/2,"")</f>
        <v>1.5223974999999967</v>
      </c>
      <c r="EI247" s="7">
        <f>IF(138&gt;=69,('Testes estatísticos'!$D$74+'Testes estatísticos'!$D$143)/2,"")</f>
        <v>-0.1426179999999988</v>
      </c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</row>
    <row r="248" spans="2:151" x14ac:dyDescent="0.3">
      <c r="B248" s="7" t="str">
        <f>IF(1&gt;=70,('Testes estatísticos'!$D$75+'Testes estatísticos'!$D$6)/2,"")</f>
        <v/>
      </c>
      <c r="C248" s="7" t="str">
        <f>IF(2&gt;=70,('Testes estatísticos'!$D$75+'Testes estatísticos'!$D$7)/2,"")</f>
        <v/>
      </c>
      <c r="D248" s="7" t="str">
        <f>IF(3&gt;=70,('Testes estatísticos'!$D$75+'Testes estatísticos'!$D$8)/2,"")</f>
        <v/>
      </c>
      <c r="E248" s="7" t="str">
        <f>IF(4&gt;=70,('Testes estatísticos'!$D$75+'Testes estatísticos'!$D$9)/2,"")</f>
        <v/>
      </c>
      <c r="F248" s="7" t="str">
        <f>IF(5&gt;=70,('Testes estatísticos'!$D$75+'Testes estatísticos'!$D$10)/2,"")</f>
        <v/>
      </c>
      <c r="G248" s="7" t="str">
        <f>IF(6&gt;=70,('Testes estatísticos'!$D$75+'Testes estatísticos'!$D$11)/2,"")</f>
        <v/>
      </c>
      <c r="H248" s="7" t="str">
        <f>IF(7&gt;=70,('Testes estatísticos'!$D$75+'Testes estatísticos'!$D$12)/2,"")</f>
        <v/>
      </c>
      <c r="I248" s="7" t="str">
        <f>IF(8&gt;=70,('Testes estatísticos'!$D$75+'Testes estatísticos'!$D$13)/2,"")</f>
        <v/>
      </c>
      <c r="J248" s="7" t="str">
        <f>IF(9&gt;=70,('Testes estatísticos'!$D$75+'Testes estatísticos'!$D$14)/2,"")</f>
        <v/>
      </c>
      <c r="K248" s="7" t="str">
        <f>IF(10&gt;=70,('Testes estatísticos'!$D$75+'Testes estatísticos'!$D$15)/2,"")</f>
        <v/>
      </c>
      <c r="L248" s="7" t="str">
        <f>IF(11&gt;=70,('Testes estatísticos'!$D$75+'Testes estatísticos'!$D$16)/2,"")</f>
        <v/>
      </c>
      <c r="M248" s="7" t="str">
        <f>IF(12&gt;=70,('Testes estatísticos'!$D$75+'Testes estatísticos'!$D$17)/2,"")</f>
        <v/>
      </c>
      <c r="N248" s="7" t="str">
        <f>IF(13&gt;=70,('Testes estatísticos'!$D$75+'Testes estatísticos'!$D$18)/2,"")</f>
        <v/>
      </c>
      <c r="O248" s="7" t="str">
        <f>IF(14&gt;=70,('Testes estatísticos'!$D$75+'Testes estatísticos'!$D$19)/2,"")</f>
        <v/>
      </c>
      <c r="P248" s="7" t="str">
        <f>IF(15&gt;=70,('Testes estatísticos'!$D$75+'Testes estatísticos'!$D$20)/2,"")</f>
        <v/>
      </c>
      <c r="Q248" s="7" t="str">
        <f>IF(16&gt;=70,('Testes estatísticos'!$D$75+'Testes estatísticos'!$D$21)/2,"")</f>
        <v/>
      </c>
      <c r="R248" s="7" t="str">
        <f>IF(17&gt;=70,('Testes estatísticos'!$D$75+'Testes estatísticos'!$D$22)/2,"")</f>
        <v/>
      </c>
      <c r="S248" s="7" t="str">
        <f>IF(18&gt;=70,('Testes estatísticos'!$D$75+'Testes estatísticos'!$D$23)/2,"")</f>
        <v/>
      </c>
      <c r="T248" s="7" t="str">
        <f>IF(19&gt;=70,('Testes estatísticos'!$D$75+'Testes estatísticos'!$D$24)/2,"")</f>
        <v/>
      </c>
      <c r="U248" s="7" t="str">
        <f>IF(20&gt;=70,('Testes estatísticos'!$D$75+'Testes estatísticos'!$D$25)/2,"")</f>
        <v/>
      </c>
      <c r="V248" s="7" t="str">
        <f>IF(21&gt;=70,('Testes estatísticos'!$D$75+'Testes estatísticos'!$D$26)/2,"")</f>
        <v/>
      </c>
      <c r="W248" s="7" t="str">
        <f>IF(22&gt;=70,('Testes estatísticos'!$D$75+'Testes estatísticos'!$D$27)/2,"")</f>
        <v/>
      </c>
      <c r="X248" s="7" t="str">
        <f>IF(23&gt;=70,('Testes estatísticos'!$D$75+'Testes estatísticos'!$D$28)/2,"")</f>
        <v/>
      </c>
      <c r="Y248" s="7" t="str">
        <f>IF(24&gt;=70,('Testes estatísticos'!$D$75+'Testes estatísticos'!$D$29)/2,"")</f>
        <v/>
      </c>
      <c r="Z248" s="7" t="str">
        <f>IF(25&gt;=70,('Testes estatísticos'!$D$75+'Testes estatísticos'!$D$30)/2,"")</f>
        <v/>
      </c>
      <c r="AA248" s="7" t="str">
        <f>IF(26&gt;=70,('Testes estatísticos'!$D$75+'Testes estatísticos'!$D$31)/2,"")</f>
        <v/>
      </c>
      <c r="AB248" s="7" t="str">
        <f>IF(27&gt;=70,('Testes estatísticos'!$D$75+'Testes estatísticos'!$D$32)/2,"")</f>
        <v/>
      </c>
      <c r="AC248" s="7" t="str">
        <f>IF(28&gt;=70,('Testes estatísticos'!$D$75+'Testes estatísticos'!$D$33)/2,"")</f>
        <v/>
      </c>
      <c r="AD248" s="7" t="str">
        <f>IF(29&gt;=70,('Testes estatísticos'!$D$75+'Testes estatísticos'!$D$34)/2,"")</f>
        <v/>
      </c>
      <c r="AE248" s="7" t="str">
        <f>IF(30&gt;=70,('Testes estatísticos'!$D$75+'Testes estatísticos'!$D$35)/2,"")</f>
        <v/>
      </c>
      <c r="AF248" s="7" t="str">
        <f>IF(31&gt;=70,('Testes estatísticos'!$D$75+'Testes estatísticos'!$D$36)/2,"")</f>
        <v/>
      </c>
      <c r="AG248" s="7" t="str">
        <f>IF(32&gt;=70,('Testes estatísticos'!$D$75+'Testes estatísticos'!$D$37)/2,"")</f>
        <v/>
      </c>
      <c r="AH248" s="7" t="str">
        <f>IF(33&gt;=70,('Testes estatísticos'!$D$75+'Testes estatísticos'!$D$38)/2,"")</f>
        <v/>
      </c>
      <c r="AI248" s="7" t="str">
        <f>IF(34&gt;=70,('Testes estatísticos'!$D$75+'Testes estatísticos'!$D$39)/2,"")</f>
        <v/>
      </c>
      <c r="AJ248" s="7" t="str">
        <f>IF(35&gt;=70,('Testes estatísticos'!$D$75+'Testes estatísticos'!$D$40)/2,"")</f>
        <v/>
      </c>
      <c r="AK248" s="7" t="str">
        <f>IF(36&gt;=70,('Testes estatísticos'!$D$75+'Testes estatísticos'!$D$41)/2,"")</f>
        <v/>
      </c>
      <c r="AL248" s="7" t="str">
        <f>IF(37&gt;=70,('Testes estatísticos'!$D$75+'Testes estatísticos'!$D$42)/2,"")</f>
        <v/>
      </c>
      <c r="AM248" s="7" t="str">
        <f>IF(38&gt;=70,('Testes estatísticos'!$D$75+'Testes estatísticos'!$D$43)/2,"")</f>
        <v/>
      </c>
      <c r="AN248" s="7" t="str">
        <f>IF(39&gt;=70,('Testes estatísticos'!$D$75+'Testes estatísticos'!$D$44)/2,"")</f>
        <v/>
      </c>
      <c r="AO248" s="7" t="str">
        <f>IF(40&gt;=70,('Testes estatísticos'!$D$75+'Testes estatísticos'!$D$45)/2,"")</f>
        <v/>
      </c>
      <c r="AP248" s="7" t="str">
        <f>IF(41&gt;=70,('Testes estatísticos'!$D$75+'Testes estatísticos'!$D$46)/2,"")</f>
        <v/>
      </c>
      <c r="AQ248" s="7" t="str">
        <f>IF(42&gt;=70,('Testes estatísticos'!$D$75+'Testes estatísticos'!$D$47)/2,"")</f>
        <v/>
      </c>
      <c r="AR248" s="7" t="str">
        <f>IF(43&gt;=70,('Testes estatísticos'!$D$75+'Testes estatísticos'!$D$48)/2,"")</f>
        <v/>
      </c>
      <c r="AS248" s="7" t="str">
        <f>IF(44&gt;=70,('Testes estatísticos'!$D$75+'Testes estatísticos'!$D$49)/2,"")</f>
        <v/>
      </c>
      <c r="AT248" s="7" t="str">
        <f>IF(45&gt;=70,('Testes estatísticos'!$D$75+'Testes estatísticos'!$D$50)/2,"")</f>
        <v/>
      </c>
      <c r="AU248" s="7" t="str">
        <f>IF(46&gt;=70,('Testes estatísticos'!$D$75+'Testes estatísticos'!$D$51)/2,"")</f>
        <v/>
      </c>
      <c r="AV248" s="7" t="str">
        <f>IF(47&gt;=70,('Testes estatísticos'!$D$75+'Testes estatísticos'!$D$52)/2,"")</f>
        <v/>
      </c>
      <c r="AW248" s="7" t="str">
        <f>IF(48&gt;=70,('Testes estatísticos'!$D$75+'Testes estatísticos'!$D$53)/2,"")</f>
        <v/>
      </c>
      <c r="AX248" s="7" t="str">
        <f>IF(49&gt;=70,('Testes estatísticos'!$D$75+'Testes estatísticos'!$D$54)/2,"")</f>
        <v/>
      </c>
      <c r="AY248" s="7" t="str">
        <f>IF(50&gt;=70,('Testes estatísticos'!$D$75+'Testes estatísticos'!$D$55)/2,"")</f>
        <v/>
      </c>
      <c r="AZ248" s="7" t="str">
        <f>IF(51&gt;=70,('Testes estatísticos'!$D$75+'Testes estatísticos'!$D$56)/2,"")</f>
        <v/>
      </c>
      <c r="BA248" s="7" t="str">
        <f>IF(52&gt;=70,('Testes estatísticos'!$D$75+'Testes estatísticos'!$D$57)/2,"")</f>
        <v/>
      </c>
      <c r="BB248" s="7" t="str">
        <f>IF(53&gt;=70,('Testes estatísticos'!$D$75+'Testes estatísticos'!$D$58)/2,"")</f>
        <v/>
      </c>
      <c r="BC248" s="7" t="str">
        <f>IF(54&gt;=70,('Testes estatísticos'!$D$75+'Testes estatísticos'!$D$59)/2,"")</f>
        <v/>
      </c>
      <c r="BD248" s="7" t="str">
        <f>IF(55&gt;=70,('Testes estatísticos'!$D$75+'Testes estatísticos'!$D$60)/2,"")</f>
        <v/>
      </c>
      <c r="BE248" s="7" t="str">
        <f>IF(56&gt;=70,('Testes estatísticos'!$D$75+'Testes estatísticos'!$D$61)/2,"")</f>
        <v/>
      </c>
      <c r="BF248" s="7" t="str">
        <f>IF(57&gt;=70,('Testes estatísticos'!$D$75+'Testes estatísticos'!$D$62)/2,"")</f>
        <v/>
      </c>
      <c r="BG248" s="7" t="str">
        <f>IF(58&gt;=70,('Testes estatísticos'!$D$75+'Testes estatísticos'!$D$63)/2,"")</f>
        <v/>
      </c>
      <c r="BH248" s="7" t="str">
        <f>IF(59&gt;=70,('Testes estatísticos'!$D$75+'Testes estatísticos'!$D$64)/2,"")</f>
        <v/>
      </c>
      <c r="BI248" s="7" t="str">
        <f>IF(60&gt;=70,('Testes estatísticos'!$D$75+'Testes estatísticos'!$D$65)/2,"")</f>
        <v/>
      </c>
      <c r="BJ248" s="7" t="str">
        <f>IF(61&gt;=70,('Testes estatísticos'!$D$75+'Testes estatísticos'!$D$66)/2,"")</f>
        <v/>
      </c>
      <c r="BK248" s="7" t="str">
        <f>IF(62&gt;=70,('Testes estatísticos'!$D$75+'Testes estatísticos'!$D$67)/2,"")</f>
        <v/>
      </c>
      <c r="BL248" s="7" t="str">
        <f>IF(63&gt;=70,('Testes estatísticos'!$D$75+'Testes estatísticos'!$D$68)/2,"")</f>
        <v/>
      </c>
      <c r="BM248" s="7" t="str">
        <f>IF(64&gt;=70,('Testes estatísticos'!$D$75+'Testes estatísticos'!$D$69)/2,"")</f>
        <v/>
      </c>
      <c r="BN248" s="7" t="str">
        <f>IF(65&gt;=70,('Testes estatísticos'!$D$75+'Testes estatísticos'!$D$70)/2,"")</f>
        <v/>
      </c>
      <c r="BO248" s="7" t="str">
        <f>IF(66&gt;=70,('Testes estatísticos'!$D$75+'Testes estatísticos'!$D$71)/2,"")</f>
        <v/>
      </c>
      <c r="BP248" s="7" t="str">
        <f>IF(67&gt;=70,('Testes estatísticos'!$D$75+'Testes estatísticos'!$D$72)/2,"")</f>
        <v/>
      </c>
      <c r="BQ248" s="7" t="str">
        <f>IF(68&gt;=70,('Testes estatísticos'!$D$75+'Testes estatísticos'!$D$73)/2,"")</f>
        <v/>
      </c>
      <c r="BR248" s="7" t="str">
        <f>IF(69&gt;=70,('Testes estatísticos'!$D$75+'Testes estatísticos'!$D$74)/2,"")</f>
        <v/>
      </c>
      <c r="BS248" s="7">
        <f>IF(70&gt;=70,('Testes estatísticos'!$D$75+'Testes estatísticos'!$D$75)/2,"")</f>
        <v>1.4921499999999952</v>
      </c>
      <c r="BT248" s="7">
        <f>IF(71&gt;=70,('Testes estatísticos'!$D$75+'Testes estatísticos'!$D$76)/2,"")</f>
        <v>3.0665149999999954</v>
      </c>
      <c r="BU248" s="7">
        <f>IF(72&gt;=70,('Testes estatísticos'!$D$75+'Testes estatísticos'!$D$77)/2,"")</f>
        <v>-2.5331820000000036</v>
      </c>
      <c r="BV248" s="7">
        <f>IF(73&gt;=70,('Testes estatísticos'!$D$75+'Testes estatísticos'!$D$78)/2,"")</f>
        <v>-0.45970750000000393</v>
      </c>
      <c r="BW248" s="7">
        <f>IF(74&gt;=70,('Testes estatísticos'!$D$75+'Testes estatísticos'!$D$79)/2,"")</f>
        <v>-1.1430260000000025</v>
      </c>
      <c r="BX248" s="7">
        <f>IF(75&gt;=70,('Testes estatísticos'!$D$75+'Testes estatísticos'!$D$80)/2,"")</f>
        <v>-1.1648040000000037</v>
      </c>
      <c r="BY248" s="7">
        <f>IF(76&gt;=70,('Testes estatísticos'!$D$75+'Testes estatísticos'!$D$81)/2,"")</f>
        <v>2.9666539999999983</v>
      </c>
      <c r="BZ248" s="7">
        <f>IF(77&gt;=70,('Testes estatísticos'!$D$75+'Testes estatísticos'!$D$82)/2,"")</f>
        <v>-2.2949355000000011</v>
      </c>
      <c r="CA248" s="7">
        <f>IF(78&gt;=70,('Testes estatísticos'!$D$75+'Testes estatísticos'!$D$83)/2,"")</f>
        <v>-0.53467649999999978</v>
      </c>
      <c r="CB248" s="7">
        <f>IF(79&gt;=70,('Testes estatísticos'!$D$75+'Testes estatísticos'!$D$84)/2,"")</f>
        <v>-0.48295400000000299</v>
      </c>
      <c r="CC248" s="7">
        <f>IF(80&gt;=70,('Testes estatísticos'!$D$75+'Testes estatísticos'!$D$85)/2,"")</f>
        <v>-2.2899705000000026</v>
      </c>
      <c r="CD248" s="7">
        <f>IF(81&gt;=70,('Testes estatísticos'!$D$75+'Testes estatísticos'!$D$86)/2,"")</f>
        <v>-2.3401155000000031</v>
      </c>
      <c r="CE248" s="7">
        <f>IF(82&gt;=70,('Testes estatísticos'!$D$75+'Testes estatísticos'!$D$87)/2,"")</f>
        <v>-0.26232500000000414</v>
      </c>
      <c r="CF248" s="7">
        <f>IF(83&gt;=70,('Testes estatísticos'!$D$75+'Testes estatísticos'!$D$88)/2,"")</f>
        <v>-0.79113200000000461</v>
      </c>
      <c r="CG248" s="7">
        <f>IF(84&gt;=70,('Testes estatísticos'!$D$75+'Testes estatísticos'!$D$89)/2,"")</f>
        <v>-1.1230390000000021</v>
      </c>
      <c r="CH248" s="7">
        <f>IF(85&gt;=70,('Testes estatísticos'!$D$75+'Testes estatísticos'!$D$90)/2,"")</f>
        <v>0.69250799999999657</v>
      </c>
      <c r="CI248" s="7">
        <f>IF(86&gt;=70,('Testes estatísticos'!$D$75+'Testes estatísticos'!$D$91)/2,"")</f>
        <v>-1.9976514999999999</v>
      </c>
      <c r="CJ248" s="7">
        <f>IF(87&gt;=70,('Testes estatísticos'!$D$75+'Testes estatísticos'!$D$92)/2,"")</f>
        <v>-0.7554450000000017</v>
      </c>
      <c r="CK248" s="7">
        <f>IF(88&gt;=70,('Testes estatísticos'!$D$75+'Testes estatísticos'!$D$93)/2,"")</f>
        <v>-0.51136150000000313</v>
      </c>
      <c r="CL248" s="7">
        <f>IF(89&gt;=70,('Testes estatísticos'!$D$75+'Testes estatísticos'!$D$94)/2,"")</f>
        <v>-1.1229535000000048</v>
      </c>
      <c r="CM248" s="7">
        <f>IF(90&gt;=70,('Testes estatísticos'!$D$75+'Testes estatísticos'!$D$95)/2,"")</f>
        <v>-3.4570855000000016</v>
      </c>
      <c r="CN248" s="7">
        <f>IF(91&gt;=70,('Testes estatísticos'!$D$75+'Testes estatísticos'!$D$96)/2,"")</f>
        <v>-0.91856250000000017</v>
      </c>
      <c r="CO248" s="7">
        <f>IF(92&gt;=70,('Testes estatísticos'!$D$75+'Testes estatísticos'!$D$97)/2,"")</f>
        <v>-1.2650660000000009</v>
      </c>
      <c r="CP248" s="7">
        <f>IF(93&gt;=70,('Testes estatísticos'!$D$75+'Testes estatísticos'!$D$98)/2,"")</f>
        <v>-1.4698180000000001</v>
      </c>
      <c r="CQ248" s="7">
        <f>IF(94&gt;=70,('Testes estatísticos'!$D$75+'Testes estatísticos'!$D$99)/2,"")</f>
        <v>0.71133999999999631</v>
      </c>
      <c r="CR248" s="7">
        <f>IF(95&gt;=70,('Testes estatísticos'!$D$75+'Testes estatísticos'!$D$100)/2,"")</f>
        <v>-1.1944530000000029</v>
      </c>
      <c r="CS248" s="7">
        <f>IF(96&gt;=70,('Testes estatísticos'!$D$75+'Testes estatísticos'!$D$101)/2,"")</f>
        <v>-1.1504660000000051</v>
      </c>
      <c r="CT248" s="7">
        <f>IF(97&gt;=70,('Testes estatísticos'!$D$75+'Testes estatísticos'!$D$102)/2,"")</f>
        <v>-0.91741550000000416</v>
      </c>
      <c r="CU248" s="7">
        <f>IF(98&gt;=70,('Testes estatísticos'!$D$75+'Testes estatísticos'!$D$103)/2,"")</f>
        <v>-0.86008950000000084</v>
      </c>
      <c r="CV248" s="7">
        <f>IF(99&gt;=70,('Testes estatísticos'!$D$75+'Testes estatísticos'!$D$104)/2,"")</f>
        <v>-1.2949155000000019</v>
      </c>
      <c r="CW248" s="7">
        <f>IF(100&gt;=70,('Testes estatísticos'!$D$75+'Testes estatísticos'!$D$105)/2,"")</f>
        <v>-1.3943815000000015</v>
      </c>
      <c r="CX248" s="7">
        <f>IF(101&gt;=70,('Testes estatísticos'!$D$75+'Testes estatísticos'!$D$106)/2,"")</f>
        <v>-0.87145500000000098</v>
      </c>
      <c r="CY248" s="7">
        <f>IF(102&gt;=70,('Testes estatísticos'!$D$75+'Testes estatísticos'!$D$107)/2,"")</f>
        <v>-0.92712000000000216</v>
      </c>
      <c r="CZ248" s="7">
        <f>IF(103&gt;=70,('Testes estatísticos'!$D$75+'Testes estatísticos'!$D$108)/2,"")</f>
        <v>-1.4512865000000019</v>
      </c>
      <c r="DA248" s="7">
        <f>IF(104&gt;=70,('Testes estatísticos'!$D$75+'Testes estatísticos'!$D$109)/2,"")</f>
        <v>-1.1886524999999999</v>
      </c>
      <c r="DB248" s="7">
        <f>IF(105&gt;=70,('Testes estatísticos'!$D$75+'Testes estatísticos'!$D$110)/2,"")</f>
        <v>-1.1543215000000018</v>
      </c>
      <c r="DC248" s="7">
        <f>IF(106&gt;=70,('Testes estatísticos'!$D$75+'Testes estatísticos'!$D$111)/2,"")</f>
        <v>-0.41140050000000272</v>
      </c>
      <c r="DD248" s="7">
        <f>IF(107&gt;=70,('Testes estatísticos'!$D$75+'Testes estatísticos'!$D$112)/2,"")</f>
        <v>3.0817704999999975</v>
      </c>
      <c r="DE248" s="7">
        <f>IF(108&gt;=70,('Testes estatísticos'!$D$75+'Testes estatísticos'!$D$113)/2,"")</f>
        <v>-0.34086500000000086</v>
      </c>
      <c r="DF248" s="7">
        <f>IF(109&gt;=70,('Testes estatísticos'!$D$75+'Testes estatísticos'!$D$114)/2,"")</f>
        <v>-0.37712199999999996</v>
      </c>
      <c r="DG248" s="7">
        <f>IF(110&gt;=70,('Testes estatísticos'!$D$75+'Testes estatísticos'!$D$115)/2,"")</f>
        <v>-5.9242615000000036</v>
      </c>
      <c r="DH248" s="7">
        <f>IF(111&gt;=70,('Testes estatísticos'!$D$75+'Testes estatísticos'!$D$116)/2,"")</f>
        <v>-0.24343100000000106</v>
      </c>
      <c r="DI248" s="7">
        <f>IF(112&gt;=70,('Testes estatísticos'!$D$75+'Testes estatísticos'!$D$117)/2,"")</f>
        <v>5.1850089999999973</v>
      </c>
      <c r="DJ248" s="7">
        <f>IF(113&gt;=70,('Testes estatísticos'!$D$75+'Testes estatísticos'!$D$118)/2,"")</f>
        <v>-0.27154800000000279</v>
      </c>
      <c r="DK248" s="7">
        <f>IF(114&gt;=70,('Testes estatísticos'!$D$75+'Testes estatísticos'!$D$119)/2,"")</f>
        <v>-0.37329800000000191</v>
      </c>
      <c r="DL248" s="7">
        <f>IF(115&gt;=70,('Testes estatísticos'!$D$75+'Testes estatísticos'!$D$120)/2,"")</f>
        <v>-0.32682050000000018</v>
      </c>
      <c r="DM248" s="7">
        <f>IF(116&gt;=70,('Testes estatísticos'!$D$75+'Testes estatísticos'!$D$121)/2,"")</f>
        <v>-0.31821800000000167</v>
      </c>
      <c r="DN248" s="7">
        <f>IF(117&gt;=70,('Testes estatísticos'!$D$75+'Testes estatísticos'!$D$122)/2,"")</f>
        <v>-0.29515000000000313</v>
      </c>
      <c r="DO248" s="7">
        <f>IF(118&gt;=70,('Testes estatísticos'!$D$75+'Testes estatísticos'!$D$123)/2,"")</f>
        <v>-0.24523950000000383</v>
      </c>
      <c r="DP248" s="7">
        <f>IF(119&gt;=70,('Testes estatísticos'!$D$75+'Testes estatísticos'!$D$124)/2,"")</f>
        <v>-0.26645100000000355</v>
      </c>
      <c r="DQ248" s="7">
        <f>IF(120&gt;=70,('Testes estatísticos'!$D$75+'Testes estatísticos'!$D$125)/2,"")</f>
        <v>2.7851634999999995</v>
      </c>
      <c r="DR248" s="7">
        <f>IF(121&gt;=70,('Testes estatísticos'!$D$75+'Testes estatísticos'!$D$126)/2,"")</f>
        <v>-3.8530000000029929E-3</v>
      </c>
      <c r="DS248" s="7">
        <f>IF(122&gt;=70,('Testes estatísticos'!$D$75+'Testes estatísticos'!$D$127)/2,"")</f>
        <v>-1.0692614999999996</v>
      </c>
      <c r="DT248" s="7">
        <f>IF(123&gt;=70,('Testes estatísticos'!$D$75+'Testes estatísticos'!$D$128)/2,"")</f>
        <v>4.9996079999999949</v>
      </c>
      <c r="DU248" s="7">
        <f>IF(124&gt;=70,('Testes estatísticos'!$D$75+'Testes estatísticos'!$D$129)/2,"")</f>
        <v>0.10383649999999633</v>
      </c>
      <c r="DV248" s="7">
        <f>IF(125&gt;=70,('Testes estatísticos'!$D$75+'Testes estatísticos'!$D$130)/2,"")</f>
        <v>1.2621439999999957</v>
      </c>
      <c r="DW248" s="7">
        <f>IF(126&gt;=70,('Testes estatísticos'!$D$75+'Testes estatísticos'!$D$131)/2,"")</f>
        <v>-1.141332000000002</v>
      </c>
      <c r="DX248" s="7">
        <f>IF(127&gt;=70,('Testes estatísticos'!$D$75+'Testes estatísticos'!$D$132)/2,"")</f>
        <v>-3.1975235000000026</v>
      </c>
      <c r="DY248" s="7">
        <f>IF(128&gt;=70,('Testes estatísticos'!$D$75+'Testes estatísticos'!$D$133)/2,"")</f>
        <v>-3.5386130000000016</v>
      </c>
      <c r="DZ248" s="7">
        <f>IF(129&gt;=70,('Testes estatísticos'!$D$75+'Testes estatísticos'!$D$134)/2,"")</f>
        <v>-6.9624030000000019</v>
      </c>
      <c r="EA248" s="7">
        <f>IF(130&gt;=70,('Testes estatísticos'!$D$75+'Testes estatísticos'!$D$135)/2,"")</f>
        <v>-1.2006329999999998</v>
      </c>
      <c r="EB248" s="7">
        <f>IF(131&gt;=70,('Testes estatísticos'!$D$75+'Testes estatísticos'!$D$136)/2,"")</f>
        <v>-1.1127600000000051</v>
      </c>
      <c r="EC248" s="7">
        <f>IF(132&gt;=70,('Testes estatísticos'!$D$75+'Testes estatísticos'!$D$137)/2,"")</f>
        <v>-2.5994965000000043</v>
      </c>
      <c r="ED248" s="7">
        <f>IF(133&gt;=70,('Testes estatísticos'!$D$75+'Testes estatísticos'!$D$138)/2,"")</f>
        <v>-0.41055900000000278</v>
      </c>
      <c r="EE248" s="7">
        <f>IF(134&gt;=70,('Testes estatísticos'!$D$75+'Testes estatísticos'!$D$139)/2,"")</f>
        <v>-2.7077495000000056</v>
      </c>
      <c r="EF248" s="7">
        <f>IF(135&gt;=70,('Testes estatísticos'!$D$75+'Testes estatísticos'!$D$140)/2,"")</f>
        <v>0.50668299999999888</v>
      </c>
      <c r="EG248" s="7">
        <f>IF(136&gt;=70,('Testes estatísticos'!$D$75+'Testes estatísticos'!$D$141)/2,"")</f>
        <v>-1.1868070000000053</v>
      </c>
      <c r="EH248" s="7">
        <f>IF(137&gt;=70,('Testes estatísticos'!$D$75+'Testes estatísticos'!$D$142)/2,"")</f>
        <v>0.51793299999999576</v>
      </c>
      <c r="EI248" s="7">
        <f>IF(138&gt;=70,('Testes estatísticos'!$D$75+'Testes estatísticos'!$D$143)/2,"")</f>
        <v>-1.1470824999999998</v>
      </c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</row>
    <row r="249" spans="2:151" x14ac:dyDescent="0.3">
      <c r="B249" s="7" t="str">
        <f>IF(1&gt;=71,('Testes estatísticos'!$D$76+'Testes estatísticos'!$D$6)/2,"")</f>
        <v/>
      </c>
      <c r="C249" s="7" t="str">
        <f>IF(2&gt;=71,('Testes estatísticos'!$D$76+'Testes estatísticos'!$D$7)/2,"")</f>
        <v/>
      </c>
      <c r="D249" s="7" t="str">
        <f>IF(3&gt;=71,('Testes estatísticos'!$D$76+'Testes estatísticos'!$D$8)/2,"")</f>
        <v/>
      </c>
      <c r="E249" s="7" t="str">
        <f>IF(4&gt;=71,('Testes estatísticos'!$D$76+'Testes estatísticos'!$D$9)/2,"")</f>
        <v/>
      </c>
      <c r="F249" s="7" t="str">
        <f>IF(5&gt;=71,('Testes estatísticos'!$D$76+'Testes estatísticos'!$D$10)/2,"")</f>
        <v/>
      </c>
      <c r="G249" s="7" t="str">
        <f>IF(6&gt;=71,('Testes estatísticos'!$D$76+'Testes estatísticos'!$D$11)/2,"")</f>
        <v/>
      </c>
      <c r="H249" s="7" t="str">
        <f>IF(7&gt;=71,('Testes estatísticos'!$D$76+'Testes estatísticos'!$D$12)/2,"")</f>
        <v/>
      </c>
      <c r="I249" s="7" t="str">
        <f>IF(8&gt;=71,('Testes estatísticos'!$D$76+'Testes estatísticos'!$D$13)/2,"")</f>
        <v/>
      </c>
      <c r="J249" s="7" t="str">
        <f>IF(9&gt;=71,('Testes estatísticos'!$D$76+'Testes estatísticos'!$D$14)/2,"")</f>
        <v/>
      </c>
      <c r="K249" s="7" t="str">
        <f>IF(10&gt;=71,('Testes estatísticos'!$D$76+'Testes estatísticos'!$D$15)/2,"")</f>
        <v/>
      </c>
      <c r="L249" s="7" t="str">
        <f>IF(11&gt;=71,('Testes estatísticos'!$D$76+'Testes estatísticos'!$D$16)/2,"")</f>
        <v/>
      </c>
      <c r="M249" s="7" t="str">
        <f>IF(12&gt;=71,('Testes estatísticos'!$D$76+'Testes estatísticos'!$D$17)/2,"")</f>
        <v/>
      </c>
      <c r="N249" s="7" t="str">
        <f>IF(13&gt;=71,('Testes estatísticos'!$D$76+'Testes estatísticos'!$D$18)/2,"")</f>
        <v/>
      </c>
      <c r="O249" s="7" t="str">
        <f>IF(14&gt;=71,('Testes estatísticos'!$D$76+'Testes estatísticos'!$D$19)/2,"")</f>
        <v/>
      </c>
      <c r="P249" s="7" t="str">
        <f>IF(15&gt;=71,('Testes estatísticos'!$D$76+'Testes estatísticos'!$D$20)/2,"")</f>
        <v/>
      </c>
      <c r="Q249" s="7" t="str">
        <f>IF(16&gt;=71,('Testes estatísticos'!$D$76+'Testes estatísticos'!$D$21)/2,"")</f>
        <v/>
      </c>
      <c r="R249" s="7" t="str">
        <f>IF(17&gt;=71,('Testes estatísticos'!$D$76+'Testes estatísticos'!$D$22)/2,"")</f>
        <v/>
      </c>
      <c r="S249" s="7" t="str">
        <f>IF(18&gt;=71,('Testes estatísticos'!$D$76+'Testes estatísticos'!$D$23)/2,"")</f>
        <v/>
      </c>
      <c r="T249" s="7" t="str">
        <f>IF(19&gt;=71,('Testes estatísticos'!$D$76+'Testes estatísticos'!$D$24)/2,"")</f>
        <v/>
      </c>
      <c r="U249" s="7" t="str">
        <f>IF(20&gt;=71,('Testes estatísticos'!$D$76+'Testes estatísticos'!$D$25)/2,"")</f>
        <v/>
      </c>
      <c r="V249" s="7" t="str">
        <f>IF(21&gt;=71,('Testes estatísticos'!$D$76+'Testes estatísticos'!$D$26)/2,"")</f>
        <v/>
      </c>
      <c r="W249" s="7" t="str">
        <f>IF(22&gt;=71,('Testes estatísticos'!$D$76+'Testes estatísticos'!$D$27)/2,"")</f>
        <v/>
      </c>
      <c r="X249" s="7" t="str">
        <f>IF(23&gt;=71,('Testes estatísticos'!$D$76+'Testes estatísticos'!$D$28)/2,"")</f>
        <v/>
      </c>
      <c r="Y249" s="7" t="str">
        <f>IF(24&gt;=71,('Testes estatísticos'!$D$76+'Testes estatísticos'!$D$29)/2,"")</f>
        <v/>
      </c>
      <c r="Z249" s="7" t="str">
        <f>IF(25&gt;=71,('Testes estatísticos'!$D$76+'Testes estatísticos'!$D$30)/2,"")</f>
        <v/>
      </c>
      <c r="AA249" s="7" t="str">
        <f>IF(26&gt;=71,('Testes estatísticos'!$D$76+'Testes estatísticos'!$D$31)/2,"")</f>
        <v/>
      </c>
      <c r="AB249" s="7" t="str">
        <f>IF(27&gt;=71,('Testes estatísticos'!$D$76+'Testes estatísticos'!$D$32)/2,"")</f>
        <v/>
      </c>
      <c r="AC249" s="7" t="str">
        <f>IF(28&gt;=71,('Testes estatísticos'!$D$76+'Testes estatísticos'!$D$33)/2,"")</f>
        <v/>
      </c>
      <c r="AD249" s="7" t="str">
        <f>IF(29&gt;=71,('Testes estatísticos'!$D$76+'Testes estatísticos'!$D$34)/2,"")</f>
        <v/>
      </c>
      <c r="AE249" s="7" t="str">
        <f>IF(30&gt;=71,('Testes estatísticos'!$D$76+'Testes estatísticos'!$D$35)/2,"")</f>
        <v/>
      </c>
      <c r="AF249" s="7" t="str">
        <f>IF(31&gt;=71,('Testes estatísticos'!$D$76+'Testes estatísticos'!$D$36)/2,"")</f>
        <v/>
      </c>
      <c r="AG249" s="7" t="str">
        <f>IF(32&gt;=71,('Testes estatísticos'!$D$76+'Testes estatísticos'!$D$37)/2,"")</f>
        <v/>
      </c>
      <c r="AH249" s="7" t="str">
        <f>IF(33&gt;=71,('Testes estatísticos'!$D$76+'Testes estatísticos'!$D$38)/2,"")</f>
        <v/>
      </c>
      <c r="AI249" s="7" t="str">
        <f>IF(34&gt;=71,('Testes estatísticos'!$D$76+'Testes estatísticos'!$D$39)/2,"")</f>
        <v/>
      </c>
      <c r="AJ249" s="7" t="str">
        <f>IF(35&gt;=71,('Testes estatísticos'!$D$76+'Testes estatísticos'!$D$40)/2,"")</f>
        <v/>
      </c>
      <c r="AK249" s="7" t="str">
        <f>IF(36&gt;=71,('Testes estatísticos'!$D$76+'Testes estatísticos'!$D$41)/2,"")</f>
        <v/>
      </c>
      <c r="AL249" s="7" t="str">
        <f>IF(37&gt;=71,('Testes estatísticos'!$D$76+'Testes estatísticos'!$D$42)/2,"")</f>
        <v/>
      </c>
      <c r="AM249" s="7" t="str">
        <f>IF(38&gt;=71,('Testes estatísticos'!$D$76+'Testes estatísticos'!$D$43)/2,"")</f>
        <v/>
      </c>
      <c r="AN249" s="7" t="str">
        <f>IF(39&gt;=71,('Testes estatísticos'!$D$76+'Testes estatísticos'!$D$44)/2,"")</f>
        <v/>
      </c>
      <c r="AO249" s="7" t="str">
        <f>IF(40&gt;=71,('Testes estatísticos'!$D$76+'Testes estatísticos'!$D$45)/2,"")</f>
        <v/>
      </c>
      <c r="AP249" s="7" t="str">
        <f>IF(41&gt;=71,('Testes estatísticos'!$D$76+'Testes estatísticos'!$D$46)/2,"")</f>
        <v/>
      </c>
      <c r="AQ249" s="7" t="str">
        <f>IF(42&gt;=71,('Testes estatísticos'!$D$76+'Testes estatísticos'!$D$47)/2,"")</f>
        <v/>
      </c>
      <c r="AR249" s="7" t="str">
        <f>IF(43&gt;=71,('Testes estatísticos'!$D$76+'Testes estatísticos'!$D$48)/2,"")</f>
        <v/>
      </c>
      <c r="AS249" s="7" t="str">
        <f>IF(44&gt;=71,('Testes estatísticos'!$D$76+'Testes estatísticos'!$D$49)/2,"")</f>
        <v/>
      </c>
      <c r="AT249" s="7" t="str">
        <f>IF(45&gt;=71,('Testes estatísticos'!$D$76+'Testes estatísticos'!$D$50)/2,"")</f>
        <v/>
      </c>
      <c r="AU249" s="7" t="str">
        <f>IF(46&gt;=71,('Testes estatísticos'!$D$76+'Testes estatísticos'!$D$51)/2,"")</f>
        <v/>
      </c>
      <c r="AV249" s="7" t="str">
        <f>IF(47&gt;=71,('Testes estatísticos'!$D$76+'Testes estatísticos'!$D$52)/2,"")</f>
        <v/>
      </c>
      <c r="AW249" s="7" t="str">
        <f>IF(48&gt;=71,('Testes estatísticos'!$D$76+'Testes estatísticos'!$D$53)/2,"")</f>
        <v/>
      </c>
      <c r="AX249" s="7" t="str">
        <f>IF(49&gt;=71,('Testes estatísticos'!$D$76+'Testes estatísticos'!$D$54)/2,"")</f>
        <v/>
      </c>
      <c r="AY249" s="7" t="str">
        <f>IF(50&gt;=71,('Testes estatísticos'!$D$76+'Testes estatísticos'!$D$55)/2,"")</f>
        <v/>
      </c>
      <c r="AZ249" s="7" t="str">
        <f>IF(51&gt;=71,('Testes estatísticos'!$D$76+'Testes estatísticos'!$D$56)/2,"")</f>
        <v/>
      </c>
      <c r="BA249" s="7" t="str">
        <f>IF(52&gt;=71,('Testes estatísticos'!$D$76+'Testes estatísticos'!$D$57)/2,"")</f>
        <v/>
      </c>
      <c r="BB249" s="7" t="str">
        <f>IF(53&gt;=71,('Testes estatísticos'!$D$76+'Testes estatísticos'!$D$58)/2,"")</f>
        <v/>
      </c>
      <c r="BC249" s="7" t="str">
        <f>IF(54&gt;=71,('Testes estatísticos'!$D$76+'Testes estatísticos'!$D$59)/2,"")</f>
        <v/>
      </c>
      <c r="BD249" s="7" t="str">
        <f>IF(55&gt;=71,('Testes estatísticos'!$D$76+'Testes estatísticos'!$D$60)/2,"")</f>
        <v/>
      </c>
      <c r="BE249" s="7" t="str">
        <f>IF(56&gt;=71,('Testes estatísticos'!$D$76+'Testes estatísticos'!$D$61)/2,"")</f>
        <v/>
      </c>
      <c r="BF249" s="7" t="str">
        <f>IF(57&gt;=71,('Testes estatísticos'!$D$76+'Testes estatísticos'!$D$62)/2,"")</f>
        <v/>
      </c>
      <c r="BG249" s="7" t="str">
        <f>IF(58&gt;=71,('Testes estatísticos'!$D$76+'Testes estatísticos'!$D$63)/2,"")</f>
        <v/>
      </c>
      <c r="BH249" s="7" t="str">
        <f>IF(59&gt;=71,('Testes estatísticos'!$D$76+'Testes estatísticos'!$D$64)/2,"")</f>
        <v/>
      </c>
      <c r="BI249" s="7" t="str">
        <f>IF(60&gt;=71,('Testes estatísticos'!$D$76+'Testes estatísticos'!$D$65)/2,"")</f>
        <v/>
      </c>
      <c r="BJ249" s="7" t="str">
        <f>IF(61&gt;=71,('Testes estatísticos'!$D$76+'Testes estatísticos'!$D$66)/2,"")</f>
        <v/>
      </c>
      <c r="BK249" s="7" t="str">
        <f>IF(62&gt;=71,('Testes estatísticos'!$D$76+'Testes estatísticos'!$D$67)/2,"")</f>
        <v/>
      </c>
      <c r="BL249" s="7" t="str">
        <f>IF(63&gt;=71,('Testes estatísticos'!$D$76+'Testes estatísticos'!$D$68)/2,"")</f>
        <v/>
      </c>
      <c r="BM249" s="7" t="str">
        <f>IF(64&gt;=71,('Testes estatísticos'!$D$76+'Testes estatísticos'!$D$69)/2,"")</f>
        <v/>
      </c>
      <c r="BN249" s="7" t="str">
        <f>IF(65&gt;=71,('Testes estatísticos'!$D$76+'Testes estatísticos'!$D$70)/2,"")</f>
        <v/>
      </c>
      <c r="BO249" s="7" t="str">
        <f>IF(66&gt;=71,('Testes estatísticos'!$D$76+'Testes estatísticos'!$D$71)/2,"")</f>
        <v/>
      </c>
      <c r="BP249" s="7" t="str">
        <f>IF(67&gt;=71,('Testes estatísticos'!$D$76+'Testes estatísticos'!$D$72)/2,"")</f>
        <v/>
      </c>
      <c r="BQ249" s="7" t="str">
        <f>IF(68&gt;=71,('Testes estatísticos'!$D$76+'Testes estatísticos'!$D$73)/2,"")</f>
        <v/>
      </c>
      <c r="BR249" s="7" t="str">
        <f>IF(69&gt;=71,('Testes estatísticos'!$D$76+'Testes estatísticos'!$D$74)/2,"")</f>
        <v/>
      </c>
      <c r="BS249" s="7" t="str">
        <f>IF(70&gt;=71,('Testes estatísticos'!$D$76+'Testes estatísticos'!$D$75)/2,"")</f>
        <v/>
      </c>
      <c r="BT249" s="7">
        <f>IF(71&gt;=71,('Testes estatísticos'!$D$76+'Testes estatísticos'!$D$76)/2,"")</f>
        <v>4.6408799999999957</v>
      </c>
      <c r="BU249" s="7">
        <f>IF(72&gt;=71,('Testes estatísticos'!$D$76+'Testes estatísticos'!$D$77)/2,"")</f>
        <v>-0.95881700000000336</v>
      </c>
      <c r="BV249" s="7">
        <f>IF(73&gt;=71,('Testes estatísticos'!$D$76+'Testes estatísticos'!$D$78)/2,"")</f>
        <v>1.1146574999999963</v>
      </c>
      <c r="BW249" s="7">
        <f>IF(74&gt;=71,('Testes estatísticos'!$D$76+'Testes estatísticos'!$D$79)/2,"")</f>
        <v>0.4313389999999977</v>
      </c>
      <c r="BX249" s="7">
        <f>IF(75&gt;=71,('Testes estatísticos'!$D$76+'Testes estatísticos'!$D$80)/2,"")</f>
        <v>0.40956099999999651</v>
      </c>
      <c r="BY249" s="7">
        <f>IF(76&gt;=71,('Testes estatísticos'!$D$76+'Testes estatísticos'!$D$81)/2,"")</f>
        <v>4.5410189999999986</v>
      </c>
      <c r="BZ249" s="7">
        <f>IF(77&gt;=71,('Testes estatísticos'!$D$76+'Testes estatísticos'!$D$82)/2,"")</f>
        <v>-0.72057050000000089</v>
      </c>
      <c r="CA249" s="7">
        <f>IF(78&gt;=71,('Testes estatísticos'!$D$76+'Testes estatísticos'!$D$83)/2,"")</f>
        <v>1.0396885000000005</v>
      </c>
      <c r="CB249" s="7">
        <f>IF(79&gt;=71,('Testes estatísticos'!$D$76+'Testes estatísticos'!$D$84)/2,"")</f>
        <v>1.0914109999999972</v>
      </c>
      <c r="CC249" s="7">
        <f>IF(80&gt;=71,('Testes estatísticos'!$D$76+'Testes estatísticos'!$D$85)/2,"")</f>
        <v>-0.71560550000000234</v>
      </c>
      <c r="CD249" s="7">
        <f>IF(81&gt;=71,('Testes estatísticos'!$D$76+'Testes estatísticos'!$D$86)/2,"")</f>
        <v>-0.76575050000000289</v>
      </c>
      <c r="CE249" s="7">
        <f>IF(82&gt;=71,('Testes estatísticos'!$D$76+'Testes estatísticos'!$D$87)/2,"")</f>
        <v>1.3120399999999961</v>
      </c>
      <c r="CF249" s="7">
        <f>IF(83&gt;=71,('Testes estatísticos'!$D$76+'Testes estatísticos'!$D$88)/2,"")</f>
        <v>0.78323299999999563</v>
      </c>
      <c r="CG249" s="7">
        <f>IF(84&gt;=71,('Testes estatísticos'!$D$76+'Testes estatísticos'!$D$89)/2,"")</f>
        <v>0.45132599999999812</v>
      </c>
      <c r="CH249" s="7">
        <f>IF(85&gt;=71,('Testes estatísticos'!$D$76+'Testes estatísticos'!$D$90)/2,"")</f>
        <v>2.2668729999999968</v>
      </c>
      <c r="CI249" s="7">
        <f>IF(86&gt;=71,('Testes estatísticos'!$D$76+'Testes estatísticos'!$D$91)/2,"")</f>
        <v>-0.42328649999999968</v>
      </c>
      <c r="CJ249" s="7">
        <f>IF(87&gt;=71,('Testes estatísticos'!$D$76+'Testes estatísticos'!$D$92)/2,"")</f>
        <v>0.81891999999999854</v>
      </c>
      <c r="CK249" s="7">
        <f>IF(88&gt;=71,('Testes estatísticos'!$D$76+'Testes estatísticos'!$D$93)/2,"")</f>
        <v>1.0630034999999971</v>
      </c>
      <c r="CL249" s="7">
        <f>IF(89&gt;=71,('Testes estatísticos'!$D$76+'Testes estatísticos'!$D$94)/2,"")</f>
        <v>0.45141149999999541</v>
      </c>
      <c r="CM249" s="7">
        <f>IF(90&gt;=71,('Testes estatísticos'!$D$76+'Testes estatísticos'!$D$95)/2,"")</f>
        <v>-1.8827205000000014</v>
      </c>
      <c r="CN249" s="7">
        <f>IF(91&gt;=71,('Testes estatísticos'!$D$76+'Testes estatísticos'!$D$96)/2,"")</f>
        <v>0.65580250000000007</v>
      </c>
      <c r="CO249" s="7">
        <f>IF(92&gt;=71,('Testes estatísticos'!$D$76+'Testes estatísticos'!$D$97)/2,"")</f>
        <v>0.30929899999999932</v>
      </c>
      <c r="CP249" s="7">
        <f>IF(93&gt;=71,('Testes estatísticos'!$D$76+'Testes estatísticos'!$D$98)/2,"")</f>
        <v>0.10454700000000017</v>
      </c>
      <c r="CQ249" s="7">
        <f>IF(94&gt;=71,('Testes estatísticos'!$D$76+'Testes estatísticos'!$D$99)/2,"")</f>
        <v>2.2857049999999965</v>
      </c>
      <c r="CR249" s="7">
        <f>IF(95&gt;=71,('Testes estatísticos'!$D$76+'Testes estatísticos'!$D$100)/2,"")</f>
        <v>0.37991199999999736</v>
      </c>
      <c r="CS249" s="7">
        <f>IF(96&gt;=71,('Testes estatísticos'!$D$76+'Testes estatísticos'!$D$101)/2,"")</f>
        <v>0.42389899999999514</v>
      </c>
      <c r="CT249" s="7">
        <f>IF(97&gt;=71,('Testes estatísticos'!$D$76+'Testes estatísticos'!$D$102)/2,"")</f>
        <v>0.65694949999999608</v>
      </c>
      <c r="CU249" s="7">
        <f>IF(98&gt;=71,('Testes estatísticos'!$D$76+'Testes estatísticos'!$D$103)/2,"")</f>
        <v>0.7142754999999994</v>
      </c>
      <c r="CV249" s="7">
        <f>IF(99&gt;=71,('Testes estatísticos'!$D$76+'Testes estatísticos'!$D$104)/2,"")</f>
        <v>0.27944949999999835</v>
      </c>
      <c r="CW249" s="7">
        <f>IF(100&gt;=71,('Testes estatísticos'!$D$76+'Testes estatísticos'!$D$105)/2,"")</f>
        <v>0.17998349999999874</v>
      </c>
      <c r="CX249" s="7">
        <f>IF(101&gt;=71,('Testes estatísticos'!$D$76+'Testes estatísticos'!$D$106)/2,"")</f>
        <v>0.70290999999999926</v>
      </c>
      <c r="CY249" s="7">
        <f>IF(102&gt;=71,('Testes estatísticos'!$D$76+'Testes estatísticos'!$D$107)/2,"")</f>
        <v>0.64724499999999807</v>
      </c>
      <c r="CZ249" s="7">
        <f>IF(103&gt;=71,('Testes estatísticos'!$D$76+'Testes estatísticos'!$D$108)/2,"")</f>
        <v>0.12307849999999831</v>
      </c>
      <c r="DA249" s="7">
        <f>IF(104&gt;=71,('Testes estatísticos'!$D$76+'Testes estatísticos'!$D$109)/2,"")</f>
        <v>0.38571250000000035</v>
      </c>
      <c r="DB249" s="7">
        <f>IF(105&gt;=71,('Testes estatísticos'!$D$76+'Testes estatísticos'!$D$110)/2,"")</f>
        <v>0.42004349999999846</v>
      </c>
      <c r="DC249" s="7">
        <f>IF(106&gt;=71,('Testes estatísticos'!$D$76+'Testes estatísticos'!$D$111)/2,"")</f>
        <v>1.1629644999999975</v>
      </c>
      <c r="DD249" s="7">
        <f>IF(107&gt;=71,('Testes estatísticos'!$D$76+'Testes estatísticos'!$D$112)/2,"")</f>
        <v>4.6561354999999978</v>
      </c>
      <c r="DE249" s="7">
        <f>IF(108&gt;=71,('Testes estatísticos'!$D$76+'Testes estatísticos'!$D$113)/2,"")</f>
        <v>1.2334999999999994</v>
      </c>
      <c r="DF249" s="7">
        <f>IF(109&gt;=71,('Testes estatísticos'!$D$76+'Testes estatísticos'!$D$114)/2,"")</f>
        <v>1.1972430000000003</v>
      </c>
      <c r="DG249" s="7">
        <f>IF(110&gt;=71,('Testes estatísticos'!$D$76+'Testes estatísticos'!$D$115)/2,"")</f>
        <v>-4.3498965000000034</v>
      </c>
      <c r="DH249" s="7">
        <f>IF(111&gt;=71,('Testes estatísticos'!$D$76+'Testes estatísticos'!$D$116)/2,"")</f>
        <v>1.3309339999999992</v>
      </c>
      <c r="DI249" s="7">
        <f>IF(112&gt;=71,('Testes estatísticos'!$D$76+'Testes estatísticos'!$D$117)/2,"")</f>
        <v>6.7593739999999976</v>
      </c>
      <c r="DJ249" s="7">
        <f>IF(113&gt;=71,('Testes estatísticos'!$D$76+'Testes estatísticos'!$D$118)/2,"")</f>
        <v>1.3028169999999974</v>
      </c>
      <c r="DK249" s="7">
        <f>IF(114&gt;=71,('Testes estatísticos'!$D$76+'Testes estatísticos'!$D$119)/2,"")</f>
        <v>1.2010669999999983</v>
      </c>
      <c r="DL249" s="7">
        <f>IF(115&gt;=71,('Testes estatísticos'!$D$76+'Testes estatísticos'!$D$120)/2,"")</f>
        <v>1.2475445000000001</v>
      </c>
      <c r="DM249" s="7">
        <f>IF(116&gt;=71,('Testes estatísticos'!$D$76+'Testes estatísticos'!$D$121)/2,"")</f>
        <v>1.2561469999999986</v>
      </c>
      <c r="DN249" s="7">
        <f>IF(117&gt;=71,('Testes estatísticos'!$D$76+'Testes estatísticos'!$D$122)/2,"")</f>
        <v>1.2792149999999971</v>
      </c>
      <c r="DO249" s="7">
        <f>IF(118&gt;=71,('Testes estatísticos'!$D$76+'Testes estatísticos'!$D$123)/2,"")</f>
        <v>1.3291254999999964</v>
      </c>
      <c r="DP249" s="7">
        <f>IF(119&gt;=71,('Testes estatísticos'!$D$76+'Testes estatísticos'!$D$124)/2,"")</f>
        <v>1.3079139999999967</v>
      </c>
      <c r="DQ249" s="7">
        <f>IF(120&gt;=71,('Testes estatísticos'!$D$76+'Testes estatísticos'!$D$125)/2,"")</f>
        <v>4.3595284999999997</v>
      </c>
      <c r="DR249" s="7">
        <f>IF(121&gt;=71,('Testes estatísticos'!$D$76+'Testes estatísticos'!$D$126)/2,"")</f>
        <v>1.5705119999999972</v>
      </c>
      <c r="DS249" s="7">
        <f>IF(122&gt;=71,('Testes estatísticos'!$D$76+'Testes estatísticos'!$D$127)/2,"")</f>
        <v>0.50510350000000059</v>
      </c>
      <c r="DT249" s="7">
        <f>IF(123&gt;=71,('Testes estatísticos'!$D$76+'Testes estatísticos'!$D$128)/2,"")</f>
        <v>6.5739729999999952</v>
      </c>
      <c r="DU249" s="7">
        <f>IF(124&gt;=71,('Testes estatísticos'!$D$76+'Testes estatísticos'!$D$129)/2,"")</f>
        <v>1.6782014999999966</v>
      </c>
      <c r="DV249" s="7">
        <f>IF(125&gt;=71,('Testes estatísticos'!$D$76+'Testes estatísticos'!$D$130)/2,"")</f>
        <v>2.836508999999996</v>
      </c>
      <c r="DW249" s="7">
        <f>IF(126&gt;=71,('Testes estatísticos'!$D$76+'Testes estatísticos'!$D$131)/2,"")</f>
        <v>0.43303299999999822</v>
      </c>
      <c r="DX249" s="7">
        <f>IF(127&gt;=71,('Testes estatísticos'!$D$76+'Testes estatísticos'!$D$132)/2,"")</f>
        <v>-1.6231585000000024</v>
      </c>
      <c r="DY249" s="7">
        <f>IF(128&gt;=71,('Testes estatísticos'!$D$76+'Testes estatísticos'!$D$133)/2,"")</f>
        <v>-1.9642480000000013</v>
      </c>
      <c r="DZ249" s="7">
        <f>IF(129&gt;=71,('Testes estatísticos'!$D$76+'Testes estatísticos'!$D$134)/2,"")</f>
        <v>-5.3880380000000017</v>
      </c>
      <c r="EA249" s="7">
        <f>IF(130&gt;=71,('Testes estatísticos'!$D$76+'Testes estatísticos'!$D$135)/2,"")</f>
        <v>0.3737320000000004</v>
      </c>
      <c r="EB249" s="7">
        <f>IF(131&gt;=71,('Testes estatísticos'!$D$76+'Testes estatísticos'!$D$136)/2,"")</f>
        <v>0.46160499999999516</v>
      </c>
      <c r="EC249" s="7">
        <f>IF(132&gt;=71,('Testes estatísticos'!$D$76+'Testes estatísticos'!$D$137)/2,"")</f>
        <v>-1.0251315000000041</v>
      </c>
      <c r="ED249" s="7">
        <f>IF(133&gt;=71,('Testes estatísticos'!$D$76+'Testes estatísticos'!$D$138)/2,"")</f>
        <v>1.1638059999999975</v>
      </c>
      <c r="EE249" s="7">
        <f>IF(134&gt;=71,('Testes estatísticos'!$D$76+'Testes estatísticos'!$D$139)/2,"")</f>
        <v>-1.1333845000000053</v>
      </c>
      <c r="EF249" s="7">
        <f>IF(135&gt;=71,('Testes estatísticos'!$D$76+'Testes estatísticos'!$D$140)/2,"")</f>
        <v>2.0810479999999991</v>
      </c>
      <c r="EG249" s="7">
        <f>IF(136&gt;=71,('Testes estatísticos'!$D$76+'Testes estatísticos'!$D$141)/2,"")</f>
        <v>0.38755799999999496</v>
      </c>
      <c r="EH249" s="7">
        <f>IF(137&gt;=71,('Testes estatísticos'!$D$76+'Testes estatísticos'!$D$142)/2,"")</f>
        <v>2.092297999999996</v>
      </c>
      <c r="EI249" s="7">
        <f>IF(138&gt;=71,('Testes estatísticos'!$D$76+'Testes estatísticos'!$D$143)/2,"")</f>
        <v>0.42728250000000045</v>
      </c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</row>
    <row r="250" spans="2:151" x14ac:dyDescent="0.3">
      <c r="B250" s="7" t="str">
        <f>IF(1&gt;=72,('Testes estatísticos'!$D$77+'Testes estatísticos'!$D$6)/2,"")</f>
        <v/>
      </c>
      <c r="C250" s="7" t="str">
        <f>IF(2&gt;=72,('Testes estatísticos'!$D$77+'Testes estatísticos'!$D$7)/2,"")</f>
        <v/>
      </c>
      <c r="D250" s="7" t="str">
        <f>IF(3&gt;=72,('Testes estatísticos'!$D$77+'Testes estatísticos'!$D$8)/2,"")</f>
        <v/>
      </c>
      <c r="E250" s="7" t="str">
        <f>IF(4&gt;=72,('Testes estatísticos'!$D$77+'Testes estatísticos'!$D$9)/2,"")</f>
        <v/>
      </c>
      <c r="F250" s="7" t="str">
        <f>IF(5&gt;=72,('Testes estatísticos'!$D$77+'Testes estatísticos'!$D$10)/2,"")</f>
        <v/>
      </c>
      <c r="G250" s="7" t="str">
        <f>IF(6&gt;=72,('Testes estatísticos'!$D$77+'Testes estatísticos'!$D$11)/2,"")</f>
        <v/>
      </c>
      <c r="H250" s="7" t="str">
        <f>IF(7&gt;=72,('Testes estatísticos'!$D$77+'Testes estatísticos'!$D$12)/2,"")</f>
        <v/>
      </c>
      <c r="I250" s="7" t="str">
        <f>IF(8&gt;=72,('Testes estatísticos'!$D$77+'Testes estatísticos'!$D$13)/2,"")</f>
        <v/>
      </c>
      <c r="J250" s="7" t="str">
        <f>IF(9&gt;=72,('Testes estatísticos'!$D$77+'Testes estatísticos'!$D$14)/2,"")</f>
        <v/>
      </c>
      <c r="K250" s="7" t="str">
        <f>IF(10&gt;=72,('Testes estatísticos'!$D$77+'Testes estatísticos'!$D$15)/2,"")</f>
        <v/>
      </c>
      <c r="L250" s="7" t="str">
        <f>IF(11&gt;=72,('Testes estatísticos'!$D$77+'Testes estatísticos'!$D$16)/2,"")</f>
        <v/>
      </c>
      <c r="M250" s="7" t="str">
        <f>IF(12&gt;=72,('Testes estatísticos'!$D$77+'Testes estatísticos'!$D$17)/2,"")</f>
        <v/>
      </c>
      <c r="N250" s="7" t="str">
        <f>IF(13&gt;=72,('Testes estatísticos'!$D$77+'Testes estatísticos'!$D$18)/2,"")</f>
        <v/>
      </c>
      <c r="O250" s="7" t="str">
        <f>IF(14&gt;=72,('Testes estatísticos'!$D$77+'Testes estatísticos'!$D$19)/2,"")</f>
        <v/>
      </c>
      <c r="P250" s="7" t="str">
        <f>IF(15&gt;=72,('Testes estatísticos'!$D$77+'Testes estatísticos'!$D$20)/2,"")</f>
        <v/>
      </c>
      <c r="Q250" s="7" t="str">
        <f>IF(16&gt;=72,('Testes estatísticos'!$D$77+'Testes estatísticos'!$D$21)/2,"")</f>
        <v/>
      </c>
      <c r="R250" s="7" t="str">
        <f>IF(17&gt;=72,('Testes estatísticos'!$D$77+'Testes estatísticos'!$D$22)/2,"")</f>
        <v/>
      </c>
      <c r="S250" s="7" t="str">
        <f>IF(18&gt;=72,('Testes estatísticos'!$D$77+'Testes estatísticos'!$D$23)/2,"")</f>
        <v/>
      </c>
      <c r="T250" s="7" t="str">
        <f>IF(19&gt;=72,('Testes estatísticos'!$D$77+'Testes estatísticos'!$D$24)/2,"")</f>
        <v/>
      </c>
      <c r="U250" s="7" t="str">
        <f>IF(20&gt;=72,('Testes estatísticos'!$D$77+'Testes estatísticos'!$D$25)/2,"")</f>
        <v/>
      </c>
      <c r="V250" s="7" t="str">
        <f>IF(21&gt;=72,('Testes estatísticos'!$D$77+'Testes estatísticos'!$D$26)/2,"")</f>
        <v/>
      </c>
      <c r="W250" s="7" t="str">
        <f>IF(22&gt;=72,('Testes estatísticos'!$D$77+'Testes estatísticos'!$D$27)/2,"")</f>
        <v/>
      </c>
      <c r="X250" s="7" t="str">
        <f>IF(23&gt;=72,('Testes estatísticos'!$D$77+'Testes estatísticos'!$D$28)/2,"")</f>
        <v/>
      </c>
      <c r="Y250" s="7" t="str">
        <f>IF(24&gt;=72,('Testes estatísticos'!$D$77+'Testes estatísticos'!$D$29)/2,"")</f>
        <v/>
      </c>
      <c r="Z250" s="7" t="str">
        <f>IF(25&gt;=72,('Testes estatísticos'!$D$77+'Testes estatísticos'!$D$30)/2,"")</f>
        <v/>
      </c>
      <c r="AA250" s="7" t="str">
        <f>IF(26&gt;=72,('Testes estatísticos'!$D$77+'Testes estatísticos'!$D$31)/2,"")</f>
        <v/>
      </c>
      <c r="AB250" s="7" t="str">
        <f>IF(27&gt;=72,('Testes estatísticos'!$D$77+'Testes estatísticos'!$D$32)/2,"")</f>
        <v/>
      </c>
      <c r="AC250" s="7" t="str">
        <f>IF(28&gt;=72,('Testes estatísticos'!$D$77+'Testes estatísticos'!$D$33)/2,"")</f>
        <v/>
      </c>
      <c r="AD250" s="7" t="str">
        <f>IF(29&gt;=72,('Testes estatísticos'!$D$77+'Testes estatísticos'!$D$34)/2,"")</f>
        <v/>
      </c>
      <c r="AE250" s="7" t="str">
        <f>IF(30&gt;=72,('Testes estatísticos'!$D$77+'Testes estatísticos'!$D$35)/2,"")</f>
        <v/>
      </c>
      <c r="AF250" s="7" t="str">
        <f>IF(31&gt;=72,('Testes estatísticos'!$D$77+'Testes estatísticos'!$D$36)/2,"")</f>
        <v/>
      </c>
      <c r="AG250" s="7" t="str">
        <f>IF(32&gt;=72,('Testes estatísticos'!$D$77+'Testes estatísticos'!$D$37)/2,"")</f>
        <v/>
      </c>
      <c r="AH250" s="7" t="str">
        <f>IF(33&gt;=72,('Testes estatísticos'!$D$77+'Testes estatísticos'!$D$38)/2,"")</f>
        <v/>
      </c>
      <c r="AI250" s="7" t="str">
        <f>IF(34&gt;=72,('Testes estatísticos'!$D$77+'Testes estatísticos'!$D$39)/2,"")</f>
        <v/>
      </c>
      <c r="AJ250" s="7" t="str">
        <f>IF(35&gt;=72,('Testes estatísticos'!$D$77+'Testes estatísticos'!$D$40)/2,"")</f>
        <v/>
      </c>
      <c r="AK250" s="7" t="str">
        <f>IF(36&gt;=72,('Testes estatísticos'!$D$77+'Testes estatísticos'!$D$41)/2,"")</f>
        <v/>
      </c>
      <c r="AL250" s="7" t="str">
        <f>IF(37&gt;=72,('Testes estatísticos'!$D$77+'Testes estatísticos'!$D$42)/2,"")</f>
        <v/>
      </c>
      <c r="AM250" s="7" t="str">
        <f>IF(38&gt;=72,('Testes estatísticos'!$D$77+'Testes estatísticos'!$D$43)/2,"")</f>
        <v/>
      </c>
      <c r="AN250" s="7" t="str">
        <f>IF(39&gt;=72,('Testes estatísticos'!$D$77+'Testes estatísticos'!$D$44)/2,"")</f>
        <v/>
      </c>
      <c r="AO250" s="7" t="str">
        <f>IF(40&gt;=72,('Testes estatísticos'!$D$77+'Testes estatísticos'!$D$45)/2,"")</f>
        <v/>
      </c>
      <c r="AP250" s="7" t="str">
        <f>IF(41&gt;=72,('Testes estatísticos'!$D$77+'Testes estatísticos'!$D$46)/2,"")</f>
        <v/>
      </c>
      <c r="AQ250" s="7" t="str">
        <f>IF(42&gt;=72,('Testes estatísticos'!$D$77+'Testes estatísticos'!$D$47)/2,"")</f>
        <v/>
      </c>
      <c r="AR250" s="7" t="str">
        <f>IF(43&gt;=72,('Testes estatísticos'!$D$77+'Testes estatísticos'!$D$48)/2,"")</f>
        <v/>
      </c>
      <c r="AS250" s="7" t="str">
        <f>IF(44&gt;=72,('Testes estatísticos'!$D$77+'Testes estatísticos'!$D$49)/2,"")</f>
        <v/>
      </c>
      <c r="AT250" s="7" t="str">
        <f>IF(45&gt;=72,('Testes estatísticos'!$D$77+'Testes estatísticos'!$D$50)/2,"")</f>
        <v/>
      </c>
      <c r="AU250" s="7" t="str">
        <f>IF(46&gt;=72,('Testes estatísticos'!$D$77+'Testes estatísticos'!$D$51)/2,"")</f>
        <v/>
      </c>
      <c r="AV250" s="7" t="str">
        <f>IF(47&gt;=72,('Testes estatísticos'!$D$77+'Testes estatísticos'!$D$52)/2,"")</f>
        <v/>
      </c>
      <c r="AW250" s="7" t="str">
        <f>IF(48&gt;=72,('Testes estatísticos'!$D$77+'Testes estatísticos'!$D$53)/2,"")</f>
        <v/>
      </c>
      <c r="AX250" s="7" t="str">
        <f>IF(49&gt;=72,('Testes estatísticos'!$D$77+'Testes estatísticos'!$D$54)/2,"")</f>
        <v/>
      </c>
      <c r="AY250" s="7" t="str">
        <f>IF(50&gt;=72,('Testes estatísticos'!$D$77+'Testes estatísticos'!$D$55)/2,"")</f>
        <v/>
      </c>
      <c r="AZ250" s="7" t="str">
        <f>IF(51&gt;=72,('Testes estatísticos'!$D$77+'Testes estatísticos'!$D$56)/2,"")</f>
        <v/>
      </c>
      <c r="BA250" s="7" t="str">
        <f>IF(52&gt;=72,('Testes estatísticos'!$D$77+'Testes estatísticos'!$D$57)/2,"")</f>
        <v/>
      </c>
      <c r="BB250" s="7" t="str">
        <f>IF(53&gt;=72,('Testes estatísticos'!$D$77+'Testes estatísticos'!$D$58)/2,"")</f>
        <v/>
      </c>
      <c r="BC250" s="7" t="str">
        <f>IF(54&gt;=72,('Testes estatísticos'!$D$77+'Testes estatísticos'!$D$59)/2,"")</f>
        <v/>
      </c>
      <c r="BD250" s="7" t="str">
        <f>IF(55&gt;=72,('Testes estatísticos'!$D$77+'Testes estatísticos'!$D$60)/2,"")</f>
        <v/>
      </c>
      <c r="BE250" s="7" t="str">
        <f>IF(56&gt;=72,('Testes estatísticos'!$D$77+'Testes estatísticos'!$D$61)/2,"")</f>
        <v/>
      </c>
      <c r="BF250" s="7" t="str">
        <f>IF(57&gt;=72,('Testes estatísticos'!$D$77+'Testes estatísticos'!$D$62)/2,"")</f>
        <v/>
      </c>
      <c r="BG250" s="7" t="str">
        <f>IF(58&gt;=72,('Testes estatísticos'!$D$77+'Testes estatísticos'!$D$63)/2,"")</f>
        <v/>
      </c>
      <c r="BH250" s="7" t="str">
        <f>IF(59&gt;=72,('Testes estatísticos'!$D$77+'Testes estatísticos'!$D$64)/2,"")</f>
        <v/>
      </c>
      <c r="BI250" s="7" t="str">
        <f>IF(60&gt;=72,('Testes estatísticos'!$D$77+'Testes estatísticos'!$D$65)/2,"")</f>
        <v/>
      </c>
      <c r="BJ250" s="7" t="str">
        <f>IF(61&gt;=72,('Testes estatísticos'!$D$77+'Testes estatísticos'!$D$66)/2,"")</f>
        <v/>
      </c>
      <c r="BK250" s="7" t="str">
        <f>IF(62&gt;=72,('Testes estatísticos'!$D$77+'Testes estatísticos'!$D$67)/2,"")</f>
        <v/>
      </c>
      <c r="BL250" s="7" t="str">
        <f>IF(63&gt;=72,('Testes estatísticos'!$D$77+'Testes estatísticos'!$D$68)/2,"")</f>
        <v/>
      </c>
      <c r="BM250" s="7" t="str">
        <f>IF(64&gt;=72,('Testes estatísticos'!$D$77+'Testes estatísticos'!$D$69)/2,"")</f>
        <v/>
      </c>
      <c r="BN250" s="7" t="str">
        <f>IF(65&gt;=72,('Testes estatísticos'!$D$77+'Testes estatísticos'!$D$70)/2,"")</f>
        <v/>
      </c>
      <c r="BO250" s="7" t="str">
        <f>IF(66&gt;=72,('Testes estatísticos'!$D$77+'Testes estatísticos'!$D$71)/2,"")</f>
        <v/>
      </c>
      <c r="BP250" s="7" t="str">
        <f>IF(67&gt;=72,('Testes estatísticos'!$D$77+'Testes estatísticos'!$D$72)/2,"")</f>
        <v/>
      </c>
      <c r="BQ250" s="7" t="str">
        <f>IF(68&gt;=72,('Testes estatísticos'!$D$77+'Testes estatísticos'!$D$73)/2,"")</f>
        <v/>
      </c>
      <c r="BR250" s="7" t="str">
        <f>IF(69&gt;=72,('Testes estatísticos'!$D$77+'Testes estatísticos'!$D$74)/2,"")</f>
        <v/>
      </c>
      <c r="BS250" s="7" t="str">
        <f>IF(70&gt;=72,('Testes estatísticos'!$D$77+'Testes estatísticos'!$D$75)/2,"")</f>
        <v/>
      </c>
      <c r="BT250" s="7" t="str">
        <f>IF(71&gt;=72,('Testes estatísticos'!$D$77+'Testes estatísticos'!$D$76)/2,"")</f>
        <v/>
      </c>
      <c r="BU250" s="7">
        <f>IF(72&gt;=72,('Testes estatísticos'!$D$77+'Testes estatísticos'!$D$77)/2,"")</f>
        <v>-6.5585140000000024</v>
      </c>
      <c r="BV250" s="7">
        <f>IF(73&gt;=72,('Testes estatísticos'!$D$77+'Testes estatísticos'!$D$78)/2,"")</f>
        <v>-4.4850395000000027</v>
      </c>
      <c r="BW250" s="7">
        <f>IF(74&gt;=72,('Testes estatísticos'!$D$77+'Testes estatísticos'!$D$79)/2,"")</f>
        <v>-5.1683580000000013</v>
      </c>
      <c r="BX250" s="7">
        <f>IF(75&gt;=72,('Testes estatísticos'!$D$77+'Testes estatísticos'!$D$80)/2,"")</f>
        <v>-5.1901360000000025</v>
      </c>
      <c r="BY250" s="7">
        <f>IF(76&gt;=72,('Testes estatísticos'!$D$77+'Testes estatísticos'!$D$81)/2,"")</f>
        <v>-1.0586780000000005</v>
      </c>
      <c r="BZ250" s="7">
        <f>IF(77&gt;=72,('Testes estatísticos'!$D$77+'Testes estatísticos'!$D$82)/2,"")</f>
        <v>-6.3202674999999999</v>
      </c>
      <c r="CA250" s="7">
        <f>IF(78&gt;=72,('Testes estatísticos'!$D$77+'Testes estatísticos'!$D$83)/2,"")</f>
        <v>-4.5600084999999986</v>
      </c>
      <c r="CB250" s="7">
        <f>IF(79&gt;=72,('Testes estatísticos'!$D$77+'Testes estatísticos'!$D$84)/2,"")</f>
        <v>-4.5082860000000018</v>
      </c>
      <c r="CC250" s="7">
        <f>IF(80&gt;=72,('Testes estatísticos'!$D$77+'Testes estatísticos'!$D$85)/2,"")</f>
        <v>-6.3153025000000014</v>
      </c>
      <c r="CD250" s="7">
        <f>IF(81&gt;=72,('Testes estatísticos'!$D$77+'Testes estatísticos'!$D$86)/2,"")</f>
        <v>-6.3654475000000019</v>
      </c>
      <c r="CE250" s="7">
        <f>IF(82&gt;=72,('Testes estatísticos'!$D$77+'Testes estatísticos'!$D$87)/2,"")</f>
        <v>-4.2876570000000029</v>
      </c>
      <c r="CF250" s="7">
        <f>IF(83&gt;=72,('Testes estatísticos'!$D$77+'Testes estatísticos'!$D$88)/2,"")</f>
        <v>-4.8164640000000034</v>
      </c>
      <c r="CG250" s="7">
        <f>IF(84&gt;=72,('Testes estatísticos'!$D$77+'Testes estatísticos'!$D$89)/2,"")</f>
        <v>-5.1483710000000009</v>
      </c>
      <c r="CH250" s="7">
        <f>IF(85&gt;=72,('Testes estatísticos'!$D$77+'Testes estatísticos'!$D$90)/2,"")</f>
        <v>-3.3328240000000022</v>
      </c>
      <c r="CI250" s="7">
        <f>IF(86&gt;=72,('Testes estatísticos'!$D$77+'Testes estatísticos'!$D$91)/2,"")</f>
        <v>-6.0229834999999987</v>
      </c>
      <c r="CJ250" s="7">
        <f>IF(87&gt;=72,('Testes estatísticos'!$D$77+'Testes estatísticos'!$D$92)/2,"")</f>
        <v>-4.7807770000000005</v>
      </c>
      <c r="CK250" s="7">
        <f>IF(88&gt;=72,('Testes estatísticos'!$D$77+'Testes estatísticos'!$D$93)/2,"")</f>
        <v>-4.5366935000000019</v>
      </c>
      <c r="CL250" s="7">
        <f>IF(89&gt;=72,('Testes estatísticos'!$D$77+'Testes estatísticos'!$D$94)/2,"")</f>
        <v>-5.1482855000000036</v>
      </c>
      <c r="CM250" s="7">
        <f>IF(90&gt;=72,('Testes estatísticos'!$D$77+'Testes estatísticos'!$D$95)/2,"")</f>
        <v>-7.4824175000000004</v>
      </c>
      <c r="CN250" s="7">
        <f>IF(91&gt;=72,('Testes estatísticos'!$D$77+'Testes estatísticos'!$D$96)/2,"")</f>
        <v>-4.943894499999999</v>
      </c>
      <c r="CO250" s="7">
        <f>IF(92&gt;=72,('Testes estatísticos'!$D$77+'Testes estatísticos'!$D$97)/2,"")</f>
        <v>-5.2903979999999997</v>
      </c>
      <c r="CP250" s="7">
        <f>IF(93&gt;=72,('Testes estatísticos'!$D$77+'Testes estatísticos'!$D$98)/2,"")</f>
        <v>-5.4951499999999989</v>
      </c>
      <c r="CQ250" s="7">
        <f>IF(94&gt;=72,('Testes estatísticos'!$D$77+'Testes estatísticos'!$D$99)/2,"")</f>
        <v>-3.3139920000000025</v>
      </c>
      <c r="CR250" s="7">
        <f>IF(95&gt;=72,('Testes estatísticos'!$D$77+'Testes estatísticos'!$D$100)/2,"")</f>
        <v>-5.2197850000000017</v>
      </c>
      <c r="CS250" s="7">
        <f>IF(96&gt;=72,('Testes estatísticos'!$D$77+'Testes estatísticos'!$D$101)/2,"")</f>
        <v>-5.1757980000000039</v>
      </c>
      <c r="CT250" s="7">
        <f>IF(97&gt;=72,('Testes estatísticos'!$D$77+'Testes estatísticos'!$D$102)/2,"")</f>
        <v>-4.942747500000003</v>
      </c>
      <c r="CU250" s="7">
        <f>IF(98&gt;=72,('Testes estatísticos'!$D$77+'Testes estatísticos'!$D$103)/2,"")</f>
        <v>-4.8854214999999996</v>
      </c>
      <c r="CV250" s="7">
        <f>IF(99&gt;=72,('Testes estatísticos'!$D$77+'Testes estatísticos'!$D$104)/2,"")</f>
        <v>-5.3202475000000007</v>
      </c>
      <c r="CW250" s="7">
        <f>IF(100&gt;=72,('Testes estatísticos'!$D$77+'Testes estatísticos'!$D$105)/2,"")</f>
        <v>-5.4197135000000003</v>
      </c>
      <c r="CX250" s="7">
        <f>IF(101&gt;=72,('Testes estatísticos'!$D$77+'Testes estatísticos'!$D$106)/2,"")</f>
        <v>-4.8967869999999998</v>
      </c>
      <c r="CY250" s="7">
        <f>IF(102&gt;=72,('Testes estatísticos'!$D$77+'Testes estatísticos'!$D$107)/2,"")</f>
        <v>-4.952452000000001</v>
      </c>
      <c r="CZ250" s="7">
        <f>IF(103&gt;=72,('Testes estatísticos'!$D$77+'Testes estatísticos'!$D$108)/2,"")</f>
        <v>-5.4766185000000007</v>
      </c>
      <c r="DA250" s="7">
        <f>IF(104&gt;=72,('Testes estatísticos'!$D$77+'Testes estatísticos'!$D$109)/2,"")</f>
        <v>-5.2139844999999987</v>
      </c>
      <c r="DB250" s="7">
        <f>IF(105&gt;=72,('Testes estatísticos'!$D$77+'Testes estatísticos'!$D$110)/2,"")</f>
        <v>-5.1796535000000006</v>
      </c>
      <c r="DC250" s="7">
        <f>IF(106&gt;=72,('Testes estatísticos'!$D$77+'Testes estatísticos'!$D$111)/2,"")</f>
        <v>-4.4367325000000015</v>
      </c>
      <c r="DD250" s="7">
        <f>IF(107&gt;=72,('Testes estatísticos'!$D$77+'Testes estatísticos'!$D$112)/2,"")</f>
        <v>-0.94356150000000127</v>
      </c>
      <c r="DE250" s="7">
        <f>IF(108&gt;=72,('Testes estatísticos'!$D$77+'Testes estatísticos'!$D$113)/2,"")</f>
        <v>-4.3661969999999997</v>
      </c>
      <c r="DF250" s="7">
        <f>IF(109&gt;=72,('Testes estatísticos'!$D$77+'Testes estatísticos'!$D$114)/2,"")</f>
        <v>-4.4024539999999988</v>
      </c>
      <c r="DG250" s="7">
        <f>IF(110&gt;=72,('Testes estatísticos'!$D$77+'Testes estatísticos'!$D$115)/2,"")</f>
        <v>-9.9495935000000024</v>
      </c>
      <c r="DH250" s="7">
        <f>IF(111&gt;=72,('Testes estatísticos'!$D$77+'Testes estatísticos'!$D$116)/2,"")</f>
        <v>-4.2687629999999999</v>
      </c>
      <c r="DI250" s="7">
        <f>IF(112&gt;=72,('Testes estatísticos'!$D$77+'Testes estatísticos'!$D$117)/2,"")</f>
        <v>1.1596769999999985</v>
      </c>
      <c r="DJ250" s="7">
        <f>IF(113&gt;=72,('Testes estatísticos'!$D$77+'Testes estatísticos'!$D$118)/2,"")</f>
        <v>-4.2968800000000016</v>
      </c>
      <c r="DK250" s="7">
        <f>IF(114&gt;=72,('Testes estatísticos'!$D$77+'Testes estatísticos'!$D$119)/2,"")</f>
        <v>-4.3986300000000007</v>
      </c>
      <c r="DL250" s="7">
        <f>IF(115&gt;=72,('Testes estatísticos'!$D$77+'Testes estatísticos'!$D$120)/2,"")</f>
        <v>-4.352152499999999</v>
      </c>
      <c r="DM250" s="7">
        <f>IF(116&gt;=72,('Testes estatísticos'!$D$77+'Testes estatísticos'!$D$121)/2,"")</f>
        <v>-4.3435500000000005</v>
      </c>
      <c r="DN250" s="7">
        <f>IF(117&gt;=72,('Testes estatísticos'!$D$77+'Testes estatísticos'!$D$122)/2,"")</f>
        <v>-4.3204820000000019</v>
      </c>
      <c r="DO250" s="7">
        <f>IF(118&gt;=72,('Testes estatísticos'!$D$77+'Testes estatísticos'!$D$123)/2,"")</f>
        <v>-4.2705715000000026</v>
      </c>
      <c r="DP250" s="7">
        <f>IF(119&gt;=72,('Testes estatísticos'!$D$77+'Testes estatísticos'!$D$124)/2,"")</f>
        <v>-4.2917830000000023</v>
      </c>
      <c r="DQ250" s="7">
        <f>IF(120&gt;=72,('Testes estatísticos'!$D$77+'Testes estatísticos'!$D$125)/2,"")</f>
        <v>-1.2401684999999993</v>
      </c>
      <c r="DR250" s="7">
        <f>IF(121&gt;=72,('Testes estatísticos'!$D$77+'Testes estatísticos'!$D$126)/2,"")</f>
        <v>-4.0291850000000018</v>
      </c>
      <c r="DS250" s="7">
        <f>IF(122&gt;=72,('Testes estatísticos'!$D$77+'Testes estatísticos'!$D$127)/2,"")</f>
        <v>-5.0945934999999984</v>
      </c>
      <c r="DT250" s="7">
        <f>IF(123&gt;=72,('Testes estatísticos'!$D$77+'Testes estatísticos'!$D$128)/2,"")</f>
        <v>0.97427599999999615</v>
      </c>
      <c r="DU250" s="7">
        <f>IF(124&gt;=72,('Testes estatísticos'!$D$77+'Testes estatísticos'!$D$129)/2,"")</f>
        <v>-3.9214955000000025</v>
      </c>
      <c r="DV250" s="7">
        <f>IF(125&gt;=72,('Testes estatísticos'!$D$77+'Testes estatísticos'!$D$130)/2,"")</f>
        <v>-2.7631880000000031</v>
      </c>
      <c r="DW250" s="7">
        <f>IF(126&gt;=72,('Testes estatísticos'!$D$77+'Testes estatísticos'!$D$131)/2,"")</f>
        <v>-5.1666640000000008</v>
      </c>
      <c r="DX250" s="7">
        <f>IF(127&gt;=72,('Testes estatísticos'!$D$77+'Testes estatísticos'!$D$132)/2,"")</f>
        <v>-7.2228555000000014</v>
      </c>
      <c r="DY250" s="7">
        <f>IF(128&gt;=72,('Testes estatísticos'!$D$77+'Testes estatísticos'!$D$133)/2,"")</f>
        <v>-7.5639450000000004</v>
      </c>
      <c r="DZ250" s="7">
        <f>IF(129&gt;=72,('Testes estatísticos'!$D$77+'Testes estatísticos'!$D$134)/2,"")</f>
        <v>-10.987735000000001</v>
      </c>
      <c r="EA250" s="7">
        <f>IF(130&gt;=72,('Testes estatísticos'!$D$77+'Testes estatísticos'!$D$135)/2,"")</f>
        <v>-5.2259649999999986</v>
      </c>
      <c r="EB250" s="7">
        <f>IF(131&gt;=72,('Testes estatísticos'!$D$77+'Testes estatísticos'!$D$136)/2,"")</f>
        <v>-5.1380920000000039</v>
      </c>
      <c r="EC250" s="7">
        <f>IF(132&gt;=72,('Testes estatísticos'!$D$77+'Testes estatísticos'!$D$137)/2,"")</f>
        <v>-6.6248285000000031</v>
      </c>
      <c r="ED250" s="7">
        <f>IF(133&gt;=72,('Testes estatísticos'!$D$77+'Testes estatísticos'!$D$138)/2,"")</f>
        <v>-4.4358910000000016</v>
      </c>
      <c r="EE250" s="7">
        <f>IF(134&gt;=72,('Testes estatísticos'!$D$77+'Testes estatísticos'!$D$139)/2,"")</f>
        <v>-6.7330815000000044</v>
      </c>
      <c r="EF250" s="7">
        <f>IF(135&gt;=72,('Testes estatísticos'!$D$77+'Testes estatísticos'!$D$140)/2,"")</f>
        <v>-3.5186489999999999</v>
      </c>
      <c r="EG250" s="7">
        <f>IF(136&gt;=72,('Testes estatísticos'!$D$77+'Testes estatísticos'!$D$141)/2,"")</f>
        <v>-5.2121390000000041</v>
      </c>
      <c r="EH250" s="7">
        <f>IF(137&gt;=72,('Testes estatísticos'!$D$77+'Testes estatísticos'!$D$142)/2,"")</f>
        <v>-3.507399000000003</v>
      </c>
      <c r="EI250" s="7">
        <f>IF(138&gt;=72,('Testes estatísticos'!$D$77+'Testes estatísticos'!$D$143)/2,"")</f>
        <v>-5.1724144999999986</v>
      </c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</row>
    <row r="251" spans="2:151" x14ac:dyDescent="0.3">
      <c r="B251" s="7" t="str">
        <f>IF(1&gt;=73,('Testes estatísticos'!$D$78+'Testes estatísticos'!$D$6)/2,"")</f>
        <v/>
      </c>
      <c r="C251" s="7" t="str">
        <f>IF(2&gt;=73,('Testes estatísticos'!$D$78+'Testes estatísticos'!$D$7)/2,"")</f>
        <v/>
      </c>
      <c r="D251" s="7" t="str">
        <f>IF(3&gt;=73,('Testes estatísticos'!$D$78+'Testes estatísticos'!$D$8)/2,"")</f>
        <v/>
      </c>
      <c r="E251" s="7" t="str">
        <f>IF(4&gt;=73,('Testes estatísticos'!$D$78+'Testes estatísticos'!$D$9)/2,"")</f>
        <v/>
      </c>
      <c r="F251" s="7" t="str">
        <f>IF(5&gt;=73,('Testes estatísticos'!$D$78+'Testes estatísticos'!$D$10)/2,"")</f>
        <v/>
      </c>
      <c r="G251" s="7" t="str">
        <f>IF(6&gt;=73,('Testes estatísticos'!$D$78+'Testes estatísticos'!$D$11)/2,"")</f>
        <v/>
      </c>
      <c r="H251" s="7" t="str">
        <f>IF(7&gt;=73,('Testes estatísticos'!$D$78+'Testes estatísticos'!$D$12)/2,"")</f>
        <v/>
      </c>
      <c r="I251" s="7" t="str">
        <f>IF(8&gt;=73,('Testes estatísticos'!$D$78+'Testes estatísticos'!$D$13)/2,"")</f>
        <v/>
      </c>
      <c r="J251" s="7" t="str">
        <f>IF(9&gt;=73,('Testes estatísticos'!$D$78+'Testes estatísticos'!$D$14)/2,"")</f>
        <v/>
      </c>
      <c r="K251" s="7" t="str">
        <f>IF(10&gt;=73,('Testes estatísticos'!$D$78+'Testes estatísticos'!$D$15)/2,"")</f>
        <v/>
      </c>
      <c r="L251" s="7" t="str">
        <f>IF(11&gt;=73,('Testes estatísticos'!$D$78+'Testes estatísticos'!$D$16)/2,"")</f>
        <v/>
      </c>
      <c r="M251" s="7" t="str">
        <f>IF(12&gt;=73,('Testes estatísticos'!$D$78+'Testes estatísticos'!$D$17)/2,"")</f>
        <v/>
      </c>
      <c r="N251" s="7" t="str">
        <f>IF(13&gt;=73,('Testes estatísticos'!$D$78+'Testes estatísticos'!$D$18)/2,"")</f>
        <v/>
      </c>
      <c r="O251" s="7" t="str">
        <f>IF(14&gt;=73,('Testes estatísticos'!$D$78+'Testes estatísticos'!$D$19)/2,"")</f>
        <v/>
      </c>
      <c r="P251" s="7" t="str">
        <f>IF(15&gt;=73,('Testes estatísticos'!$D$78+'Testes estatísticos'!$D$20)/2,"")</f>
        <v/>
      </c>
      <c r="Q251" s="7" t="str">
        <f>IF(16&gt;=73,('Testes estatísticos'!$D$78+'Testes estatísticos'!$D$21)/2,"")</f>
        <v/>
      </c>
      <c r="R251" s="7" t="str">
        <f>IF(17&gt;=73,('Testes estatísticos'!$D$78+'Testes estatísticos'!$D$22)/2,"")</f>
        <v/>
      </c>
      <c r="S251" s="7" t="str">
        <f>IF(18&gt;=73,('Testes estatísticos'!$D$78+'Testes estatísticos'!$D$23)/2,"")</f>
        <v/>
      </c>
      <c r="T251" s="7" t="str">
        <f>IF(19&gt;=73,('Testes estatísticos'!$D$78+'Testes estatísticos'!$D$24)/2,"")</f>
        <v/>
      </c>
      <c r="U251" s="7" t="str">
        <f>IF(20&gt;=73,('Testes estatísticos'!$D$78+'Testes estatísticos'!$D$25)/2,"")</f>
        <v/>
      </c>
      <c r="V251" s="7" t="str">
        <f>IF(21&gt;=73,('Testes estatísticos'!$D$78+'Testes estatísticos'!$D$26)/2,"")</f>
        <v/>
      </c>
      <c r="W251" s="7" t="str">
        <f>IF(22&gt;=73,('Testes estatísticos'!$D$78+'Testes estatísticos'!$D$27)/2,"")</f>
        <v/>
      </c>
      <c r="X251" s="7" t="str">
        <f>IF(23&gt;=73,('Testes estatísticos'!$D$78+'Testes estatísticos'!$D$28)/2,"")</f>
        <v/>
      </c>
      <c r="Y251" s="7" t="str">
        <f>IF(24&gt;=73,('Testes estatísticos'!$D$78+'Testes estatísticos'!$D$29)/2,"")</f>
        <v/>
      </c>
      <c r="Z251" s="7" t="str">
        <f>IF(25&gt;=73,('Testes estatísticos'!$D$78+'Testes estatísticos'!$D$30)/2,"")</f>
        <v/>
      </c>
      <c r="AA251" s="7" t="str">
        <f>IF(26&gt;=73,('Testes estatísticos'!$D$78+'Testes estatísticos'!$D$31)/2,"")</f>
        <v/>
      </c>
      <c r="AB251" s="7" t="str">
        <f>IF(27&gt;=73,('Testes estatísticos'!$D$78+'Testes estatísticos'!$D$32)/2,"")</f>
        <v/>
      </c>
      <c r="AC251" s="7" t="str">
        <f>IF(28&gt;=73,('Testes estatísticos'!$D$78+'Testes estatísticos'!$D$33)/2,"")</f>
        <v/>
      </c>
      <c r="AD251" s="7" t="str">
        <f>IF(29&gt;=73,('Testes estatísticos'!$D$78+'Testes estatísticos'!$D$34)/2,"")</f>
        <v/>
      </c>
      <c r="AE251" s="7" t="str">
        <f>IF(30&gt;=73,('Testes estatísticos'!$D$78+'Testes estatísticos'!$D$35)/2,"")</f>
        <v/>
      </c>
      <c r="AF251" s="7" t="str">
        <f>IF(31&gt;=73,('Testes estatísticos'!$D$78+'Testes estatísticos'!$D$36)/2,"")</f>
        <v/>
      </c>
      <c r="AG251" s="7" t="str">
        <f>IF(32&gt;=73,('Testes estatísticos'!$D$78+'Testes estatísticos'!$D$37)/2,"")</f>
        <v/>
      </c>
      <c r="AH251" s="7" t="str">
        <f>IF(33&gt;=73,('Testes estatísticos'!$D$78+'Testes estatísticos'!$D$38)/2,"")</f>
        <v/>
      </c>
      <c r="AI251" s="7" t="str">
        <f>IF(34&gt;=73,('Testes estatísticos'!$D$78+'Testes estatísticos'!$D$39)/2,"")</f>
        <v/>
      </c>
      <c r="AJ251" s="7" t="str">
        <f>IF(35&gt;=73,('Testes estatísticos'!$D$78+'Testes estatísticos'!$D$40)/2,"")</f>
        <v/>
      </c>
      <c r="AK251" s="7" t="str">
        <f>IF(36&gt;=73,('Testes estatísticos'!$D$78+'Testes estatísticos'!$D$41)/2,"")</f>
        <v/>
      </c>
      <c r="AL251" s="7" t="str">
        <f>IF(37&gt;=73,('Testes estatísticos'!$D$78+'Testes estatísticos'!$D$42)/2,"")</f>
        <v/>
      </c>
      <c r="AM251" s="7" t="str">
        <f>IF(38&gt;=73,('Testes estatísticos'!$D$78+'Testes estatísticos'!$D$43)/2,"")</f>
        <v/>
      </c>
      <c r="AN251" s="7" t="str">
        <f>IF(39&gt;=73,('Testes estatísticos'!$D$78+'Testes estatísticos'!$D$44)/2,"")</f>
        <v/>
      </c>
      <c r="AO251" s="7" t="str">
        <f>IF(40&gt;=73,('Testes estatísticos'!$D$78+'Testes estatísticos'!$D$45)/2,"")</f>
        <v/>
      </c>
      <c r="AP251" s="7" t="str">
        <f>IF(41&gt;=73,('Testes estatísticos'!$D$78+'Testes estatísticos'!$D$46)/2,"")</f>
        <v/>
      </c>
      <c r="AQ251" s="7" t="str">
        <f>IF(42&gt;=73,('Testes estatísticos'!$D$78+'Testes estatísticos'!$D$47)/2,"")</f>
        <v/>
      </c>
      <c r="AR251" s="7" t="str">
        <f>IF(43&gt;=73,('Testes estatísticos'!$D$78+'Testes estatísticos'!$D$48)/2,"")</f>
        <v/>
      </c>
      <c r="AS251" s="7" t="str">
        <f>IF(44&gt;=73,('Testes estatísticos'!$D$78+'Testes estatísticos'!$D$49)/2,"")</f>
        <v/>
      </c>
      <c r="AT251" s="7" t="str">
        <f>IF(45&gt;=73,('Testes estatísticos'!$D$78+'Testes estatísticos'!$D$50)/2,"")</f>
        <v/>
      </c>
      <c r="AU251" s="7" t="str">
        <f>IF(46&gt;=73,('Testes estatísticos'!$D$78+'Testes estatísticos'!$D$51)/2,"")</f>
        <v/>
      </c>
      <c r="AV251" s="7" t="str">
        <f>IF(47&gt;=73,('Testes estatísticos'!$D$78+'Testes estatísticos'!$D$52)/2,"")</f>
        <v/>
      </c>
      <c r="AW251" s="7" t="str">
        <f>IF(48&gt;=73,('Testes estatísticos'!$D$78+'Testes estatísticos'!$D$53)/2,"")</f>
        <v/>
      </c>
      <c r="AX251" s="7" t="str">
        <f>IF(49&gt;=73,('Testes estatísticos'!$D$78+'Testes estatísticos'!$D$54)/2,"")</f>
        <v/>
      </c>
      <c r="AY251" s="7" t="str">
        <f>IF(50&gt;=73,('Testes estatísticos'!$D$78+'Testes estatísticos'!$D$55)/2,"")</f>
        <v/>
      </c>
      <c r="AZ251" s="7" t="str">
        <f>IF(51&gt;=73,('Testes estatísticos'!$D$78+'Testes estatísticos'!$D$56)/2,"")</f>
        <v/>
      </c>
      <c r="BA251" s="7" t="str">
        <f>IF(52&gt;=73,('Testes estatísticos'!$D$78+'Testes estatísticos'!$D$57)/2,"")</f>
        <v/>
      </c>
      <c r="BB251" s="7" t="str">
        <f>IF(53&gt;=73,('Testes estatísticos'!$D$78+'Testes estatísticos'!$D$58)/2,"")</f>
        <v/>
      </c>
      <c r="BC251" s="7" t="str">
        <f>IF(54&gt;=73,('Testes estatísticos'!$D$78+'Testes estatísticos'!$D$59)/2,"")</f>
        <v/>
      </c>
      <c r="BD251" s="7" t="str">
        <f>IF(55&gt;=73,('Testes estatísticos'!$D$78+'Testes estatísticos'!$D$60)/2,"")</f>
        <v/>
      </c>
      <c r="BE251" s="7" t="str">
        <f>IF(56&gt;=73,('Testes estatísticos'!$D$78+'Testes estatísticos'!$D$61)/2,"")</f>
        <v/>
      </c>
      <c r="BF251" s="7" t="str">
        <f>IF(57&gt;=73,('Testes estatísticos'!$D$78+'Testes estatísticos'!$D$62)/2,"")</f>
        <v/>
      </c>
      <c r="BG251" s="7" t="str">
        <f>IF(58&gt;=73,('Testes estatísticos'!$D$78+'Testes estatísticos'!$D$63)/2,"")</f>
        <v/>
      </c>
      <c r="BH251" s="7" t="str">
        <f>IF(59&gt;=73,('Testes estatísticos'!$D$78+'Testes estatísticos'!$D$64)/2,"")</f>
        <v/>
      </c>
      <c r="BI251" s="7" t="str">
        <f>IF(60&gt;=73,('Testes estatísticos'!$D$78+'Testes estatísticos'!$D$65)/2,"")</f>
        <v/>
      </c>
      <c r="BJ251" s="7" t="str">
        <f>IF(61&gt;=73,('Testes estatísticos'!$D$78+'Testes estatísticos'!$D$66)/2,"")</f>
        <v/>
      </c>
      <c r="BK251" s="7" t="str">
        <f>IF(62&gt;=73,('Testes estatísticos'!$D$78+'Testes estatísticos'!$D$67)/2,"")</f>
        <v/>
      </c>
      <c r="BL251" s="7" t="str">
        <f>IF(63&gt;=73,('Testes estatísticos'!$D$78+'Testes estatísticos'!$D$68)/2,"")</f>
        <v/>
      </c>
      <c r="BM251" s="7" t="str">
        <f>IF(64&gt;=73,('Testes estatísticos'!$D$78+'Testes estatísticos'!$D$69)/2,"")</f>
        <v/>
      </c>
      <c r="BN251" s="7" t="str">
        <f>IF(65&gt;=73,('Testes estatísticos'!$D$78+'Testes estatísticos'!$D$70)/2,"")</f>
        <v/>
      </c>
      <c r="BO251" s="7" t="str">
        <f>IF(66&gt;=73,('Testes estatísticos'!$D$78+'Testes estatísticos'!$D$71)/2,"")</f>
        <v/>
      </c>
      <c r="BP251" s="7" t="str">
        <f>IF(67&gt;=73,('Testes estatísticos'!$D$78+'Testes estatísticos'!$D$72)/2,"")</f>
        <v/>
      </c>
      <c r="BQ251" s="7" t="str">
        <f>IF(68&gt;=73,('Testes estatísticos'!$D$78+'Testes estatísticos'!$D$73)/2,"")</f>
        <v/>
      </c>
      <c r="BR251" s="7" t="str">
        <f>IF(69&gt;=73,('Testes estatísticos'!$D$78+'Testes estatísticos'!$D$74)/2,"")</f>
        <v/>
      </c>
      <c r="BS251" s="7" t="str">
        <f>IF(70&gt;=73,('Testes estatísticos'!$D$78+'Testes estatísticos'!$D$75)/2,"")</f>
        <v/>
      </c>
      <c r="BT251" s="7" t="str">
        <f>IF(71&gt;=73,('Testes estatísticos'!$D$78+'Testes estatísticos'!$D$76)/2,"")</f>
        <v/>
      </c>
      <c r="BU251" s="7" t="str">
        <f>IF(72&gt;=73,('Testes estatísticos'!$D$78+'Testes estatísticos'!$D$77)/2,"")</f>
        <v/>
      </c>
      <c r="BV251" s="7">
        <f>IF(73&gt;=73,('Testes estatísticos'!$D$78+'Testes estatísticos'!$D$78)/2,"")</f>
        <v>-2.4115650000000031</v>
      </c>
      <c r="BW251" s="7">
        <f>IF(74&gt;=73,('Testes estatísticos'!$D$78+'Testes estatísticos'!$D$79)/2,"")</f>
        <v>-3.0948835000000017</v>
      </c>
      <c r="BX251" s="7">
        <f>IF(75&gt;=73,('Testes estatísticos'!$D$78+'Testes estatísticos'!$D$80)/2,"")</f>
        <v>-3.1166615000000029</v>
      </c>
      <c r="BY251" s="7">
        <f>IF(76&gt;=73,('Testes estatísticos'!$D$78+'Testes estatísticos'!$D$81)/2,"")</f>
        <v>1.0147964999999992</v>
      </c>
      <c r="BZ251" s="7">
        <f>IF(77&gt;=73,('Testes estatísticos'!$D$78+'Testes estatísticos'!$D$82)/2,"")</f>
        <v>-4.2467930000000003</v>
      </c>
      <c r="CA251" s="7">
        <f>IF(78&gt;=73,('Testes estatísticos'!$D$78+'Testes estatísticos'!$D$83)/2,"")</f>
        <v>-2.4865339999999989</v>
      </c>
      <c r="CB251" s="7">
        <f>IF(79&gt;=73,('Testes estatísticos'!$D$78+'Testes estatísticos'!$D$84)/2,"")</f>
        <v>-2.4348115000000021</v>
      </c>
      <c r="CC251" s="7">
        <f>IF(80&gt;=73,('Testes estatísticos'!$D$78+'Testes estatísticos'!$D$85)/2,"")</f>
        <v>-4.2418280000000017</v>
      </c>
      <c r="CD251" s="7">
        <f>IF(81&gt;=73,('Testes estatísticos'!$D$78+'Testes estatísticos'!$D$86)/2,"")</f>
        <v>-4.2919730000000023</v>
      </c>
      <c r="CE251" s="7">
        <f>IF(82&gt;=73,('Testes estatísticos'!$D$78+'Testes estatísticos'!$D$87)/2,"")</f>
        <v>-2.2141825000000033</v>
      </c>
      <c r="CF251" s="7">
        <f>IF(83&gt;=73,('Testes estatísticos'!$D$78+'Testes estatísticos'!$D$88)/2,"")</f>
        <v>-2.7429895000000037</v>
      </c>
      <c r="CG251" s="7">
        <f>IF(84&gt;=73,('Testes estatísticos'!$D$78+'Testes estatísticos'!$D$89)/2,"")</f>
        <v>-3.0748965000000013</v>
      </c>
      <c r="CH251" s="7">
        <f>IF(85&gt;=73,('Testes estatísticos'!$D$78+'Testes estatísticos'!$D$90)/2,"")</f>
        <v>-1.2593495000000026</v>
      </c>
      <c r="CI251" s="7">
        <f>IF(86&gt;=73,('Testes estatísticos'!$D$78+'Testes estatísticos'!$D$91)/2,"")</f>
        <v>-3.949508999999999</v>
      </c>
      <c r="CJ251" s="7">
        <f>IF(87&gt;=73,('Testes estatísticos'!$D$78+'Testes estatísticos'!$D$92)/2,"")</f>
        <v>-2.7073025000000008</v>
      </c>
      <c r="CK251" s="7">
        <f>IF(88&gt;=73,('Testes estatísticos'!$D$78+'Testes estatísticos'!$D$93)/2,"")</f>
        <v>-2.4632190000000023</v>
      </c>
      <c r="CL251" s="7">
        <f>IF(89&gt;=73,('Testes estatísticos'!$D$78+'Testes estatísticos'!$D$94)/2,"")</f>
        <v>-3.074811000000004</v>
      </c>
      <c r="CM251" s="7">
        <f>IF(90&gt;=73,('Testes estatísticos'!$D$78+'Testes estatísticos'!$D$95)/2,"")</f>
        <v>-5.4089430000000007</v>
      </c>
      <c r="CN251" s="7">
        <f>IF(91&gt;=73,('Testes estatísticos'!$D$78+'Testes estatísticos'!$D$96)/2,"")</f>
        <v>-2.8704199999999993</v>
      </c>
      <c r="CO251" s="7">
        <f>IF(92&gt;=73,('Testes estatísticos'!$D$78+'Testes estatísticos'!$D$97)/2,"")</f>
        <v>-3.2169235</v>
      </c>
      <c r="CP251" s="7">
        <f>IF(93&gt;=73,('Testes estatísticos'!$D$78+'Testes estatísticos'!$D$98)/2,"")</f>
        <v>-3.4216754999999992</v>
      </c>
      <c r="CQ251" s="7">
        <f>IF(94&gt;=73,('Testes estatísticos'!$D$78+'Testes estatísticos'!$D$99)/2,"")</f>
        <v>-1.2405175000000028</v>
      </c>
      <c r="CR251" s="7">
        <f>IF(95&gt;=73,('Testes estatísticos'!$D$78+'Testes estatísticos'!$D$100)/2,"")</f>
        <v>-3.146310500000002</v>
      </c>
      <c r="CS251" s="7">
        <f>IF(96&gt;=73,('Testes estatísticos'!$D$78+'Testes estatísticos'!$D$101)/2,"")</f>
        <v>-3.1023235000000042</v>
      </c>
      <c r="CT251" s="7">
        <f>IF(97&gt;=73,('Testes estatísticos'!$D$78+'Testes estatísticos'!$D$102)/2,"")</f>
        <v>-2.8692730000000033</v>
      </c>
      <c r="CU251" s="7">
        <f>IF(98&gt;=73,('Testes estatísticos'!$D$78+'Testes estatísticos'!$D$103)/2,"")</f>
        <v>-2.811947</v>
      </c>
      <c r="CV251" s="7">
        <f>IF(99&gt;=73,('Testes estatísticos'!$D$78+'Testes estatísticos'!$D$104)/2,"")</f>
        <v>-3.246773000000001</v>
      </c>
      <c r="CW251" s="7">
        <f>IF(100&gt;=73,('Testes estatísticos'!$D$78+'Testes estatísticos'!$D$105)/2,"")</f>
        <v>-3.3462390000000006</v>
      </c>
      <c r="CX251" s="7">
        <f>IF(101&gt;=73,('Testes estatísticos'!$D$78+'Testes estatísticos'!$D$106)/2,"")</f>
        <v>-2.8233125000000001</v>
      </c>
      <c r="CY251" s="7">
        <f>IF(102&gt;=73,('Testes estatísticos'!$D$78+'Testes estatísticos'!$D$107)/2,"")</f>
        <v>-2.8789775000000013</v>
      </c>
      <c r="CZ251" s="7">
        <f>IF(103&gt;=73,('Testes estatísticos'!$D$78+'Testes estatísticos'!$D$108)/2,"")</f>
        <v>-3.4031440000000011</v>
      </c>
      <c r="DA251" s="7">
        <f>IF(104&gt;=73,('Testes estatísticos'!$D$78+'Testes estatísticos'!$D$109)/2,"")</f>
        <v>-3.140509999999999</v>
      </c>
      <c r="DB251" s="7">
        <f>IF(105&gt;=73,('Testes estatísticos'!$D$78+'Testes estatísticos'!$D$110)/2,"")</f>
        <v>-3.1061790000000009</v>
      </c>
      <c r="DC251" s="7">
        <f>IF(106&gt;=73,('Testes estatísticos'!$D$78+'Testes estatísticos'!$D$111)/2,"")</f>
        <v>-2.3632580000000019</v>
      </c>
      <c r="DD251" s="7">
        <f>IF(107&gt;=73,('Testes estatísticos'!$D$78+'Testes estatísticos'!$D$112)/2,"")</f>
        <v>1.1299129999999984</v>
      </c>
      <c r="DE251" s="7">
        <f>IF(108&gt;=73,('Testes estatísticos'!$D$78+'Testes estatísticos'!$D$113)/2,"")</f>
        <v>-2.2927225</v>
      </c>
      <c r="DF251" s="7">
        <f>IF(109&gt;=73,('Testes estatísticos'!$D$78+'Testes estatísticos'!$D$114)/2,"")</f>
        <v>-2.3289794999999991</v>
      </c>
      <c r="DG251" s="7">
        <f>IF(110&gt;=73,('Testes estatísticos'!$D$78+'Testes estatísticos'!$D$115)/2,"")</f>
        <v>-7.8761190000000028</v>
      </c>
      <c r="DH251" s="7">
        <f>IF(111&gt;=73,('Testes estatísticos'!$D$78+'Testes estatísticos'!$D$116)/2,"")</f>
        <v>-2.1952885000000002</v>
      </c>
      <c r="DI251" s="7">
        <f>IF(112&gt;=73,('Testes estatísticos'!$D$78+'Testes estatísticos'!$D$117)/2,"")</f>
        <v>3.2331514999999982</v>
      </c>
      <c r="DJ251" s="7">
        <f>IF(113&gt;=73,('Testes estatísticos'!$D$78+'Testes estatísticos'!$D$118)/2,"")</f>
        <v>-2.2234055000000019</v>
      </c>
      <c r="DK251" s="7">
        <f>IF(114&gt;=73,('Testes estatísticos'!$D$78+'Testes estatísticos'!$D$119)/2,"")</f>
        <v>-2.325155500000001</v>
      </c>
      <c r="DL251" s="7">
        <f>IF(115&gt;=73,('Testes estatísticos'!$D$78+'Testes estatísticos'!$D$120)/2,"")</f>
        <v>-2.2786779999999993</v>
      </c>
      <c r="DM251" s="7">
        <f>IF(116&gt;=73,('Testes estatísticos'!$D$78+'Testes estatísticos'!$D$121)/2,"")</f>
        <v>-2.2700755000000008</v>
      </c>
      <c r="DN251" s="7">
        <f>IF(117&gt;=73,('Testes estatísticos'!$D$78+'Testes estatísticos'!$D$122)/2,"")</f>
        <v>-2.2470075000000023</v>
      </c>
      <c r="DO251" s="7">
        <f>IF(118&gt;=73,('Testes estatísticos'!$D$78+'Testes estatísticos'!$D$123)/2,"")</f>
        <v>-2.197097000000003</v>
      </c>
      <c r="DP251" s="7">
        <f>IF(119&gt;=73,('Testes estatísticos'!$D$78+'Testes estatísticos'!$D$124)/2,"")</f>
        <v>-2.2183085000000027</v>
      </c>
      <c r="DQ251" s="7">
        <f>IF(120&gt;=73,('Testes estatísticos'!$D$78+'Testes estatísticos'!$D$125)/2,"")</f>
        <v>0.83330600000000032</v>
      </c>
      <c r="DR251" s="7">
        <f>IF(121&gt;=73,('Testes estatísticos'!$D$78+'Testes estatísticos'!$D$126)/2,"")</f>
        <v>-1.9557105000000021</v>
      </c>
      <c r="DS251" s="7">
        <f>IF(122&gt;=73,('Testes estatísticos'!$D$78+'Testes estatísticos'!$D$127)/2,"")</f>
        <v>-3.0211189999999988</v>
      </c>
      <c r="DT251" s="7">
        <f>IF(123&gt;=73,('Testes estatísticos'!$D$78+'Testes estatísticos'!$D$128)/2,"")</f>
        <v>3.0477504999999958</v>
      </c>
      <c r="DU251" s="7">
        <f>IF(124&gt;=73,('Testes estatísticos'!$D$78+'Testes estatísticos'!$D$129)/2,"")</f>
        <v>-1.8480210000000028</v>
      </c>
      <c r="DV251" s="7">
        <f>IF(125&gt;=73,('Testes estatísticos'!$D$78+'Testes estatísticos'!$D$130)/2,"")</f>
        <v>-0.68971350000000342</v>
      </c>
      <c r="DW251" s="7">
        <f>IF(126&gt;=73,('Testes estatísticos'!$D$78+'Testes estatísticos'!$D$131)/2,"")</f>
        <v>-3.0931895000000011</v>
      </c>
      <c r="DX251" s="7">
        <f>IF(127&gt;=73,('Testes estatísticos'!$D$78+'Testes estatísticos'!$D$132)/2,"")</f>
        <v>-5.1493810000000018</v>
      </c>
      <c r="DY251" s="7">
        <f>IF(128&gt;=73,('Testes estatísticos'!$D$78+'Testes estatísticos'!$D$133)/2,"")</f>
        <v>-5.4904705000000007</v>
      </c>
      <c r="DZ251" s="7">
        <f>IF(129&gt;=73,('Testes estatísticos'!$D$78+'Testes estatísticos'!$D$134)/2,"")</f>
        <v>-8.914260500000001</v>
      </c>
      <c r="EA251" s="7">
        <f>IF(130&gt;=73,('Testes estatísticos'!$D$78+'Testes estatísticos'!$D$135)/2,"")</f>
        <v>-3.152490499999999</v>
      </c>
      <c r="EB251" s="7">
        <f>IF(131&gt;=73,('Testes estatísticos'!$D$78+'Testes estatísticos'!$D$136)/2,"")</f>
        <v>-3.0646175000000042</v>
      </c>
      <c r="EC251" s="7">
        <f>IF(132&gt;=73,('Testes estatísticos'!$D$78+'Testes estatísticos'!$D$137)/2,"")</f>
        <v>-4.5513540000000035</v>
      </c>
      <c r="ED251" s="7">
        <f>IF(133&gt;=73,('Testes estatísticos'!$D$78+'Testes estatísticos'!$D$138)/2,"")</f>
        <v>-2.3624165000000019</v>
      </c>
      <c r="EE251" s="7">
        <f>IF(134&gt;=73,('Testes estatísticos'!$D$78+'Testes estatísticos'!$D$139)/2,"")</f>
        <v>-4.6596070000000047</v>
      </c>
      <c r="EF251" s="7">
        <f>IF(135&gt;=73,('Testes estatísticos'!$D$78+'Testes estatísticos'!$D$140)/2,"")</f>
        <v>-1.4451745000000003</v>
      </c>
      <c r="EG251" s="7">
        <f>IF(136&gt;=73,('Testes estatísticos'!$D$78+'Testes estatísticos'!$D$141)/2,"")</f>
        <v>-3.1386645000000044</v>
      </c>
      <c r="EH251" s="7">
        <f>IF(137&gt;=73,('Testes estatísticos'!$D$78+'Testes estatísticos'!$D$142)/2,"")</f>
        <v>-1.4339245000000034</v>
      </c>
      <c r="EI251" s="7">
        <f>IF(138&gt;=73,('Testes estatísticos'!$D$78+'Testes estatísticos'!$D$143)/2,"")</f>
        <v>-3.0989399999999989</v>
      </c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</row>
    <row r="252" spans="2:151" x14ac:dyDescent="0.3">
      <c r="B252" s="7" t="str">
        <f>IF(1&gt;=74,('Testes estatísticos'!$D$79+'Testes estatísticos'!$D$6)/2,"")</f>
        <v/>
      </c>
      <c r="C252" s="7" t="str">
        <f>IF(2&gt;=74,('Testes estatísticos'!$D$79+'Testes estatísticos'!$D$7)/2,"")</f>
        <v/>
      </c>
      <c r="D252" s="7" t="str">
        <f>IF(3&gt;=74,('Testes estatísticos'!$D$79+'Testes estatísticos'!$D$8)/2,"")</f>
        <v/>
      </c>
      <c r="E252" s="7" t="str">
        <f>IF(4&gt;=74,('Testes estatísticos'!$D$79+'Testes estatísticos'!$D$9)/2,"")</f>
        <v/>
      </c>
      <c r="F252" s="7" t="str">
        <f>IF(5&gt;=74,('Testes estatísticos'!$D$79+'Testes estatísticos'!$D$10)/2,"")</f>
        <v/>
      </c>
      <c r="G252" s="7" t="str">
        <f>IF(6&gt;=74,('Testes estatísticos'!$D$79+'Testes estatísticos'!$D$11)/2,"")</f>
        <v/>
      </c>
      <c r="H252" s="7" t="str">
        <f>IF(7&gt;=74,('Testes estatísticos'!$D$79+'Testes estatísticos'!$D$12)/2,"")</f>
        <v/>
      </c>
      <c r="I252" s="7" t="str">
        <f>IF(8&gt;=74,('Testes estatísticos'!$D$79+'Testes estatísticos'!$D$13)/2,"")</f>
        <v/>
      </c>
      <c r="J252" s="7" t="str">
        <f>IF(9&gt;=74,('Testes estatísticos'!$D$79+'Testes estatísticos'!$D$14)/2,"")</f>
        <v/>
      </c>
      <c r="K252" s="7" t="str">
        <f>IF(10&gt;=74,('Testes estatísticos'!$D$79+'Testes estatísticos'!$D$15)/2,"")</f>
        <v/>
      </c>
      <c r="L252" s="7" t="str">
        <f>IF(11&gt;=74,('Testes estatísticos'!$D$79+'Testes estatísticos'!$D$16)/2,"")</f>
        <v/>
      </c>
      <c r="M252" s="7" t="str">
        <f>IF(12&gt;=74,('Testes estatísticos'!$D$79+'Testes estatísticos'!$D$17)/2,"")</f>
        <v/>
      </c>
      <c r="N252" s="7" t="str">
        <f>IF(13&gt;=74,('Testes estatísticos'!$D$79+'Testes estatísticos'!$D$18)/2,"")</f>
        <v/>
      </c>
      <c r="O252" s="7" t="str">
        <f>IF(14&gt;=74,('Testes estatísticos'!$D$79+'Testes estatísticos'!$D$19)/2,"")</f>
        <v/>
      </c>
      <c r="P252" s="7" t="str">
        <f>IF(15&gt;=74,('Testes estatísticos'!$D$79+'Testes estatísticos'!$D$20)/2,"")</f>
        <v/>
      </c>
      <c r="Q252" s="7" t="str">
        <f>IF(16&gt;=74,('Testes estatísticos'!$D$79+'Testes estatísticos'!$D$21)/2,"")</f>
        <v/>
      </c>
      <c r="R252" s="7" t="str">
        <f>IF(17&gt;=74,('Testes estatísticos'!$D$79+'Testes estatísticos'!$D$22)/2,"")</f>
        <v/>
      </c>
      <c r="S252" s="7" t="str">
        <f>IF(18&gt;=74,('Testes estatísticos'!$D$79+'Testes estatísticos'!$D$23)/2,"")</f>
        <v/>
      </c>
      <c r="T252" s="7" t="str">
        <f>IF(19&gt;=74,('Testes estatísticos'!$D$79+'Testes estatísticos'!$D$24)/2,"")</f>
        <v/>
      </c>
      <c r="U252" s="7" t="str">
        <f>IF(20&gt;=74,('Testes estatísticos'!$D$79+'Testes estatísticos'!$D$25)/2,"")</f>
        <v/>
      </c>
      <c r="V252" s="7" t="str">
        <f>IF(21&gt;=74,('Testes estatísticos'!$D$79+'Testes estatísticos'!$D$26)/2,"")</f>
        <v/>
      </c>
      <c r="W252" s="7" t="str">
        <f>IF(22&gt;=74,('Testes estatísticos'!$D$79+'Testes estatísticos'!$D$27)/2,"")</f>
        <v/>
      </c>
      <c r="X252" s="7" t="str">
        <f>IF(23&gt;=74,('Testes estatísticos'!$D$79+'Testes estatísticos'!$D$28)/2,"")</f>
        <v/>
      </c>
      <c r="Y252" s="7" t="str">
        <f>IF(24&gt;=74,('Testes estatísticos'!$D$79+'Testes estatísticos'!$D$29)/2,"")</f>
        <v/>
      </c>
      <c r="Z252" s="7" t="str">
        <f>IF(25&gt;=74,('Testes estatísticos'!$D$79+'Testes estatísticos'!$D$30)/2,"")</f>
        <v/>
      </c>
      <c r="AA252" s="7" t="str">
        <f>IF(26&gt;=74,('Testes estatísticos'!$D$79+'Testes estatísticos'!$D$31)/2,"")</f>
        <v/>
      </c>
      <c r="AB252" s="7" t="str">
        <f>IF(27&gt;=74,('Testes estatísticos'!$D$79+'Testes estatísticos'!$D$32)/2,"")</f>
        <v/>
      </c>
      <c r="AC252" s="7" t="str">
        <f>IF(28&gt;=74,('Testes estatísticos'!$D$79+'Testes estatísticos'!$D$33)/2,"")</f>
        <v/>
      </c>
      <c r="AD252" s="7" t="str">
        <f>IF(29&gt;=74,('Testes estatísticos'!$D$79+'Testes estatísticos'!$D$34)/2,"")</f>
        <v/>
      </c>
      <c r="AE252" s="7" t="str">
        <f>IF(30&gt;=74,('Testes estatísticos'!$D$79+'Testes estatísticos'!$D$35)/2,"")</f>
        <v/>
      </c>
      <c r="AF252" s="7" t="str">
        <f>IF(31&gt;=74,('Testes estatísticos'!$D$79+'Testes estatísticos'!$D$36)/2,"")</f>
        <v/>
      </c>
      <c r="AG252" s="7" t="str">
        <f>IF(32&gt;=74,('Testes estatísticos'!$D$79+'Testes estatísticos'!$D$37)/2,"")</f>
        <v/>
      </c>
      <c r="AH252" s="7" t="str">
        <f>IF(33&gt;=74,('Testes estatísticos'!$D$79+'Testes estatísticos'!$D$38)/2,"")</f>
        <v/>
      </c>
      <c r="AI252" s="7" t="str">
        <f>IF(34&gt;=74,('Testes estatísticos'!$D$79+'Testes estatísticos'!$D$39)/2,"")</f>
        <v/>
      </c>
      <c r="AJ252" s="7" t="str">
        <f>IF(35&gt;=74,('Testes estatísticos'!$D$79+'Testes estatísticos'!$D$40)/2,"")</f>
        <v/>
      </c>
      <c r="AK252" s="7" t="str">
        <f>IF(36&gt;=74,('Testes estatísticos'!$D$79+'Testes estatísticos'!$D$41)/2,"")</f>
        <v/>
      </c>
      <c r="AL252" s="7" t="str">
        <f>IF(37&gt;=74,('Testes estatísticos'!$D$79+'Testes estatísticos'!$D$42)/2,"")</f>
        <v/>
      </c>
      <c r="AM252" s="7" t="str">
        <f>IF(38&gt;=74,('Testes estatísticos'!$D$79+'Testes estatísticos'!$D$43)/2,"")</f>
        <v/>
      </c>
      <c r="AN252" s="7" t="str">
        <f>IF(39&gt;=74,('Testes estatísticos'!$D$79+'Testes estatísticos'!$D$44)/2,"")</f>
        <v/>
      </c>
      <c r="AO252" s="7" t="str">
        <f>IF(40&gt;=74,('Testes estatísticos'!$D$79+'Testes estatísticos'!$D$45)/2,"")</f>
        <v/>
      </c>
      <c r="AP252" s="7" t="str">
        <f>IF(41&gt;=74,('Testes estatísticos'!$D$79+'Testes estatísticos'!$D$46)/2,"")</f>
        <v/>
      </c>
      <c r="AQ252" s="7" t="str">
        <f>IF(42&gt;=74,('Testes estatísticos'!$D$79+'Testes estatísticos'!$D$47)/2,"")</f>
        <v/>
      </c>
      <c r="AR252" s="7" t="str">
        <f>IF(43&gt;=74,('Testes estatísticos'!$D$79+'Testes estatísticos'!$D$48)/2,"")</f>
        <v/>
      </c>
      <c r="AS252" s="7" t="str">
        <f>IF(44&gt;=74,('Testes estatísticos'!$D$79+'Testes estatísticos'!$D$49)/2,"")</f>
        <v/>
      </c>
      <c r="AT252" s="7" t="str">
        <f>IF(45&gt;=74,('Testes estatísticos'!$D$79+'Testes estatísticos'!$D$50)/2,"")</f>
        <v/>
      </c>
      <c r="AU252" s="7" t="str">
        <f>IF(46&gt;=74,('Testes estatísticos'!$D$79+'Testes estatísticos'!$D$51)/2,"")</f>
        <v/>
      </c>
      <c r="AV252" s="7" t="str">
        <f>IF(47&gt;=74,('Testes estatísticos'!$D$79+'Testes estatísticos'!$D$52)/2,"")</f>
        <v/>
      </c>
      <c r="AW252" s="7" t="str">
        <f>IF(48&gt;=74,('Testes estatísticos'!$D$79+'Testes estatísticos'!$D$53)/2,"")</f>
        <v/>
      </c>
      <c r="AX252" s="7" t="str">
        <f>IF(49&gt;=74,('Testes estatísticos'!$D$79+'Testes estatísticos'!$D$54)/2,"")</f>
        <v/>
      </c>
      <c r="AY252" s="7" t="str">
        <f>IF(50&gt;=74,('Testes estatísticos'!$D$79+'Testes estatísticos'!$D$55)/2,"")</f>
        <v/>
      </c>
      <c r="AZ252" s="7" t="str">
        <f>IF(51&gt;=74,('Testes estatísticos'!$D$79+'Testes estatísticos'!$D$56)/2,"")</f>
        <v/>
      </c>
      <c r="BA252" s="7" t="str">
        <f>IF(52&gt;=74,('Testes estatísticos'!$D$79+'Testes estatísticos'!$D$57)/2,"")</f>
        <v/>
      </c>
      <c r="BB252" s="7" t="str">
        <f>IF(53&gt;=74,('Testes estatísticos'!$D$79+'Testes estatísticos'!$D$58)/2,"")</f>
        <v/>
      </c>
      <c r="BC252" s="7" t="str">
        <f>IF(54&gt;=74,('Testes estatísticos'!$D$79+'Testes estatísticos'!$D$59)/2,"")</f>
        <v/>
      </c>
      <c r="BD252" s="7" t="str">
        <f>IF(55&gt;=74,('Testes estatísticos'!$D$79+'Testes estatísticos'!$D$60)/2,"")</f>
        <v/>
      </c>
      <c r="BE252" s="7" t="str">
        <f>IF(56&gt;=74,('Testes estatísticos'!$D$79+'Testes estatísticos'!$D$61)/2,"")</f>
        <v/>
      </c>
      <c r="BF252" s="7" t="str">
        <f>IF(57&gt;=74,('Testes estatísticos'!$D$79+'Testes estatísticos'!$D$62)/2,"")</f>
        <v/>
      </c>
      <c r="BG252" s="7" t="str">
        <f>IF(58&gt;=74,('Testes estatísticos'!$D$79+'Testes estatísticos'!$D$63)/2,"")</f>
        <v/>
      </c>
      <c r="BH252" s="7" t="str">
        <f>IF(59&gt;=74,('Testes estatísticos'!$D$79+'Testes estatísticos'!$D$64)/2,"")</f>
        <v/>
      </c>
      <c r="BI252" s="7" t="str">
        <f>IF(60&gt;=74,('Testes estatísticos'!$D$79+'Testes estatísticos'!$D$65)/2,"")</f>
        <v/>
      </c>
      <c r="BJ252" s="7" t="str">
        <f>IF(61&gt;=74,('Testes estatísticos'!$D$79+'Testes estatísticos'!$D$66)/2,"")</f>
        <v/>
      </c>
      <c r="BK252" s="7" t="str">
        <f>IF(62&gt;=74,('Testes estatísticos'!$D$79+'Testes estatísticos'!$D$67)/2,"")</f>
        <v/>
      </c>
      <c r="BL252" s="7" t="str">
        <f>IF(63&gt;=74,('Testes estatísticos'!$D$79+'Testes estatísticos'!$D$68)/2,"")</f>
        <v/>
      </c>
      <c r="BM252" s="7" t="str">
        <f>IF(64&gt;=74,('Testes estatísticos'!$D$79+'Testes estatísticos'!$D$69)/2,"")</f>
        <v/>
      </c>
      <c r="BN252" s="7" t="str">
        <f>IF(65&gt;=74,('Testes estatísticos'!$D$79+'Testes estatísticos'!$D$70)/2,"")</f>
        <v/>
      </c>
      <c r="BO252" s="7" t="str">
        <f>IF(66&gt;=74,('Testes estatísticos'!$D$79+'Testes estatísticos'!$D$71)/2,"")</f>
        <v/>
      </c>
      <c r="BP252" s="7" t="str">
        <f>IF(67&gt;=74,('Testes estatísticos'!$D$79+'Testes estatísticos'!$D$72)/2,"")</f>
        <v/>
      </c>
      <c r="BQ252" s="7" t="str">
        <f>IF(68&gt;=74,('Testes estatísticos'!$D$79+'Testes estatísticos'!$D$73)/2,"")</f>
        <v/>
      </c>
      <c r="BR252" s="7" t="str">
        <f>IF(69&gt;=74,('Testes estatísticos'!$D$79+'Testes estatísticos'!$D$74)/2,"")</f>
        <v/>
      </c>
      <c r="BS252" s="7" t="str">
        <f>IF(70&gt;=74,('Testes estatísticos'!$D$79+'Testes estatísticos'!$D$75)/2,"")</f>
        <v/>
      </c>
      <c r="BT252" s="7" t="str">
        <f>IF(71&gt;=74,('Testes estatísticos'!$D$79+'Testes estatísticos'!$D$76)/2,"")</f>
        <v/>
      </c>
      <c r="BU252" s="7" t="str">
        <f>IF(72&gt;=74,('Testes estatísticos'!$D$79+'Testes estatísticos'!$D$77)/2,"")</f>
        <v/>
      </c>
      <c r="BV252" s="7" t="str">
        <f>IF(73&gt;=74,('Testes estatísticos'!$D$79+'Testes estatísticos'!$D$78)/2,"")</f>
        <v/>
      </c>
      <c r="BW252" s="7">
        <f>IF(74&gt;=74,('Testes estatísticos'!$D$79+'Testes estatísticos'!$D$79)/2,"")</f>
        <v>-3.7782020000000003</v>
      </c>
      <c r="BX252" s="7">
        <f>IF(75&gt;=74,('Testes estatísticos'!$D$79+'Testes estatísticos'!$D$80)/2,"")</f>
        <v>-3.7999800000000015</v>
      </c>
      <c r="BY252" s="7">
        <f>IF(76&gt;=74,('Testes estatísticos'!$D$79+'Testes estatísticos'!$D$81)/2,"")</f>
        <v>0.33147800000000061</v>
      </c>
      <c r="BZ252" s="7">
        <f>IF(77&gt;=74,('Testes estatísticos'!$D$79+'Testes estatísticos'!$D$82)/2,"")</f>
        <v>-4.9301114999999989</v>
      </c>
      <c r="CA252" s="7">
        <f>IF(78&gt;=74,('Testes estatísticos'!$D$79+'Testes estatísticos'!$D$83)/2,"")</f>
        <v>-3.1698524999999975</v>
      </c>
      <c r="CB252" s="7">
        <f>IF(79&gt;=74,('Testes estatísticos'!$D$79+'Testes estatísticos'!$D$84)/2,"")</f>
        <v>-3.1181300000000007</v>
      </c>
      <c r="CC252" s="7">
        <f>IF(80&gt;=74,('Testes estatísticos'!$D$79+'Testes estatísticos'!$D$85)/2,"")</f>
        <v>-4.9251465000000003</v>
      </c>
      <c r="CD252" s="7">
        <f>IF(81&gt;=74,('Testes estatísticos'!$D$79+'Testes estatísticos'!$D$86)/2,"")</f>
        <v>-4.9752915000000009</v>
      </c>
      <c r="CE252" s="7">
        <f>IF(82&gt;=74,('Testes estatísticos'!$D$79+'Testes estatísticos'!$D$87)/2,"")</f>
        <v>-2.8975010000000019</v>
      </c>
      <c r="CF252" s="7">
        <f>IF(83&gt;=74,('Testes estatísticos'!$D$79+'Testes estatísticos'!$D$88)/2,"")</f>
        <v>-3.4263080000000024</v>
      </c>
      <c r="CG252" s="7">
        <f>IF(84&gt;=74,('Testes estatísticos'!$D$79+'Testes estatísticos'!$D$89)/2,"")</f>
        <v>-3.7582149999999999</v>
      </c>
      <c r="CH252" s="7">
        <f>IF(85&gt;=74,('Testes estatísticos'!$D$79+'Testes estatísticos'!$D$90)/2,"")</f>
        <v>-1.9426680000000012</v>
      </c>
      <c r="CI252" s="7">
        <f>IF(86&gt;=74,('Testes estatísticos'!$D$79+'Testes estatísticos'!$D$91)/2,"")</f>
        <v>-4.6328274999999977</v>
      </c>
      <c r="CJ252" s="7">
        <f>IF(87&gt;=74,('Testes estatísticos'!$D$79+'Testes estatísticos'!$D$92)/2,"")</f>
        <v>-3.3906209999999994</v>
      </c>
      <c r="CK252" s="7">
        <f>IF(88&gt;=74,('Testes estatísticos'!$D$79+'Testes estatísticos'!$D$93)/2,"")</f>
        <v>-3.1465375000000009</v>
      </c>
      <c r="CL252" s="7">
        <f>IF(89&gt;=74,('Testes estatísticos'!$D$79+'Testes estatísticos'!$D$94)/2,"")</f>
        <v>-3.7581295000000026</v>
      </c>
      <c r="CM252" s="7">
        <f>IF(90&gt;=74,('Testes estatísticos'!$D$79+'Testes estatísticos'!$D$95)/2,"")</f>
        <v>-6.0922614999999993</v>
      </c>
      <c r="CN252" s="7">
        <f>IF(91&gt;=74,('Testes estatísticos'!$D$79+'Testes estatísticos'!$D$96)/2,"")</f>
        <v>-3.5537384999999979</v>
      </c>
      <c r="CO252" s="7">
        <f>IF(92&gt;=74,('Testes estatísticos'!$D$79+'Testes estatísticos'!$D$97)/2,"")</f>
        <v>-3.9002419999999987</v>
      </c>
      <c r="CP252" s="7">
        <f>IF(93&gt;=74,('Testes estatísticos'!$D$79+'Testes estatísticos'!$D$98)/2,"")</f>
        <v>-4.1049939999999978</v>
      </c>
      <c r="CQ252" s="7">
        <f>IF(94&gt;=74,('Testes estatísticos'!$D$79+'Testes estatísticos'!$D$99)/2,"")</f>
        <v>-1.9238360000000014</v>
      </c>
      <c r="CR252" s="7">
        <f>IF(95&gt;=74,('Testes estatísticos'!$D$79+'Testes estatísticos'!$D$100)/2,"")</f>
        <v>-3.8296290000000006</v>
      </c>
      <c r="CS252" s="7">
        <f>IF(96&gt;=74,('Testes estatísticos'!$D$79+'Testes estatísticos'!$D$101)/2,"")</f>
        <v>-3.7856420000000028</v>
      </c>
      <c r="CT252" s="7">
        <f>IF(97&gt;=74,('Testes estatísticos'!$D$79+'Testes estatísticos'!$D$102)/2,"")</f>
        <v>-3.5525915000000019</v>
      </c>
      <c r="CU252" s="7">
        <f>IF(98&gt;=74,('Testes estatísticos'!$D$79+'Testes estatísticos'!$D$103)/2,"")</f>
        <v>-3.4952654999999986</v>
      </c>
      <c r="CV252" s="7">
        <f>IF(99&gt;=74,('Testes estatísticos'!$D$79+'Testes estatísticos'!$D$104)/2,"")</f>
        <v>-3.9300914999999996</v>
      </c>
      <c r="CW252" s="7">
        <f>IF(100&gt;=74,('Testes estatísticos'!$D$79+'Testes estatísticos'!$D$105)/2,"")</f>
        <v>-4.0295574999999992</v>
      </c>
      <c r="CX252" s="7">
        <f>IF(101&gt;=74,('Testes estatísticos'!$D$79+'Testes estatísticos'!$D$106)/2,"")</f>
        <v>-3.5066309999999987</v>
      </c>
      <c r="CY252" s="7">
        <f>IF(102&gt;=74,('Testes estatísticos'!$D$79+'Testes estatísticos'!$D$107)/2,"")</f>
        <v>-3.5622959999999999</v>
      </c>
      <c r="CZ252" s="7">
        <f>IF(103&gt;=74,('Testes estatísticos'!$D$79+'Testes estatísticos'!$D$108)/2,"")</f>
        <v>-4.0864624999999997</v>
      </c>
      <c r="DA252" s="7">
        <f>IF(104&gt;=74,('Testes estatísticos'!$D$79+'Testes estatísticos'!$D$109)/2,"")</f>
        <v>-3.8238284999999976</v>
      </c>
      <c r="DB252" s="7">
        <f>IF(105&gt;=74,('Testes estatísticos'!$D$79+'Testes estatísticos'!$D$110)/2,"")</f>
        <v>-3.7894974999999995</v>
      </c>
      <c r="DC252" s="7">
        <f>IF(106&gt;=74,('Testes estatísticos'!$D$79+'Testes estatísticos'!$D$111)/2,"")</f>
        <v>-3.0465765000000005</v>
      </c>
      <c r="DD252" s="7">
        <f>IF(107&gt;=74,('Testes estatísticos'!$D$79+'Testes estatísticos'!$D$112)/2,"")</f>
        <v>0.44659449999999978</v>
      </c>
      <c r="DE252" s="7">
        <f>IF(108&gt;=74,('Testes estatísticos'!$D$79+'Testes estatísticos'!$D$113)/2,"")</f>
        <v>-2.9760409999999986</v>
      </c>
      <c r="DF252" s="7">
        <f>IF(109&gt;=74,('Testes estatísticos'!$D$79+'Testes estatísticos'!$D$114)/2,"")</f>
        <v>-3.0122979999999977</v>
      </c>
      <c r="DG252" s="7">
        <f>IF(110&gt;=74,('Testes estatísticos'!$D$79+'Testes estatísticos'!$D$115)/2,"")</f>
        <v>-8.5594375000000014</v>
      </c>
      <c r="DH252" s="7">
        <f>IF(111&gt;=74,('Testes estatísticos'!$D$79+'Testes estatísticos'!$D$116)/2,"")</f>
        <v>-2.8786069999999988</v>
      </c>
      <c r="DI252" s="7">
        <f>IF(112&gt;=74,('Testes estatísticos'!$D$79+'Testes estatísticos'!$D$117)/2,"")</f>
        <v>2.5498329999999996</v>
      </c>
      <c r="DJ252" s="7">
        <f>IF(113&gt;=74,('Testes estatísticos'!$D$79+'Testes estatísticos'!$D$118)/2,"")</f>
        <v>-2.9067240000000005</v>
      </c>
      <c r="DK252" s="7">
        <f>IF(114&gt;=74,('Testes estatísticos'!$D$79+'Testes estatísticos'!$D$119)/2,"")</f>
        <v>-3.0084739999999996</v>
      </c>
      <c r="DL252" s="7">
        <f>IF(115&gt;=74,('Testes estatísticos'!$D$79+'Testes estatísticos'!$D$120)/2,"")</f>
        <v>-2.9619964999999979</v>
      </c>
      <c r="DM252" s="7">
        <f>IF(116&gt;=74,('Testes estatísticos'!$D$79+'Testes estatísticos'!$D$121)/2,"")</f>
        <v>-2.9533939999999994</v>
      </c>
      <c r="DN252" s="7">
        <f>IF(117&gt;=74,('Testes estatísticos'!$D$79+'Testes estatísticos'!$D$122)/2,"")</f>
        <v>-2.9303260000000009</v>
      </c>
      <c r="DO252" s="7">
        <f>IF(118&gt;=74,('Testes estatísticos'!$D$79+'Testes estatísticos'!$D$123)/2,"")</f>
        <v>-2.8804155000000016</v>
      </c>
      <c r="DP252" s="7">
        <f>IF(119&gt;=74,('Testes estatísticos'!$D$79+'Testes estatísticos'!$D$124)/2,"")</f>
        <v>-2.9016270000000013</v>
      </c>
      <c r="DQ252" s="7">
        <f>IF(120&gt;=74,('Testes estatísticos'!$D$79+'Testes estatísticos'!$D$125)/2,"")</f>
        <v>0.14998750000000172</v>
      </c>
      <c r="DR252" s="7">
        <f>IF(121&gt;=74,('Testes estatísticos'!$D$79+'Testes estatísticos'!$D$126)/2,"")</f>
        <v>-2.6390290000000007</v>
      </c>
      <c r="DS252" s="7">
        <f>IF(122&gt;=74,('Testes estatísticos'!$D$79+'Testes estatísticos'!$D$127)/2,"")</f>
        <v>-3.7044374999999974</v>
      </c>
      <c r="DT252" s="7">
        <f>IF(123&gt;=74,('Testes estatísticos'!$D$79+'Testes estatísticos'!$D$128)/2,"")</f>
        <v>2.3644319999999972</v>
      </c>
      <c r="DU252" s="7">
        <f>IF(124&gt;=74,('Testes estatísticos'!$D$79+'Testes estatísticos'!$D$129)/2,"")</f>
        <v>-2.5313395000000014</v>
      </c>
      <c r="DV252" s="7">
        <f>IF(125&gt;=74,('Testes estatísticos'!$D$79+'Testes estatísticos'!$D$130)/2,"")</f>
        <v>-1.373032000000002</v>
      </c>
      <c r="DW252" s="7">
        <f>IF(126&gt;=74,('Testes estatísticos'!$D$79+'Testes estatísticos'!$D$131)/2,"")</f>
        <v>-3.7765079999999998</v>
      </c>
      <c r="DX252" s="7">
        <f>IF(127&gt;=74,('Testes estatísticos'!$D$79+'Testes estatísticos'!$D$132)/2,"")</f>
        <v>-5.8326995000000004</v>
      </c>
      <c r="DY252" s="7">
        <f>IF(128&gt;=74,('Testes estatísticos'!$D$79+'Testes estatísticos'!$D$133)/2,"")</f>
        <v>-6.1737889999999993</v>
      </c>
      <c r="DZ252" s="7">
        <f>IF(129&gt;=74,('Testes estatísticos'!$D$79+'Testes estatísticos'!$D$134)/2,"")</f>
        <v>-9.5975789999999996</v>
      </c>
      <c r="EA252" s="7">
        <f>IF(130&gt;=74,('Testes estatísticos'!$D$79+'Testes estatísticos'!$D$135)/2,"")</f>
        <v>-3.8358089999999976</v>
      </c>
      <c r="EB252" s="7">
        <f>IF(131&gt;=74,('Testes estatísticos'!$D$79+'Testes estatísticos'!$D$136)/2,"")</f>
        <v>-3.7479360000000028</v>
      </c>
      <c r="EC252" s="7">
        <f>IF(132&gt;=74,('Testes estatísticos'!$D$79+'Testes estatísticos'!$D$137)/2,"")</f>
        <v>-5.2346725000000021</v>
      </c>
      <c r="ED252" s="7">
        <f>IF(133&gt;=74,('Testes estatísticos'!$D$79+'Testes estatísticos'!$D$138)/2,"")</f>
        <v>-3.0457350000000005</v>
      </c>
      <c r="EE252" s="7">
        <f>IF(134&gt;=74,('Testes estatísticos'!$D$79+'Testes estatísticos'!$D$139)/2,"")</f>
        <v>-5.3429255000000033</v>
      </c>
      <c r="EF252" s="7">
        <f>IF(135&gt;=74,('Testes estatísticos'!$D$79+'Testes estatísticos'!$D$140)/2,"")</f>
        <v>-2.1284929999999989</v>
      </c>
      <c r="EG252" s="7">
        <f>IF(136&gt;=74,('Testes estatísticos'!$D$79+'Testes estatísticos'!$D$141)/2,"")</f>
        <v>-3.821983000000003</v>
      </c>
      <c r="EH252" s="7">
        <f>IF(137&gt;=74,('Testes estatísticos'!$D$79+'Testes estatísticos'!$D$142)/2,"")</f>
        <v>-2.117243000000002</v>
      </c>
      <c r="EI252" s="7">
        <f>IF(138&gt;=74,('Testes estatísticos'!$D$79+'Testes estatísticos'!$D$143)/2,"")</f>
        <v>-3.7822584999999975</v>
      </c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</row>
    <row r="253" spans="2:151" x14ac:dyDescent="0.3">
      <c r="B253" s="7" t="str">
        <f>IF(1&gt;=75,('Testes estatísticos'!$D$80+'Testes estatísticos'!$D$6)/2,"")</f>
        <v/>
      </c>
      <c r="C253" s="7" t="str">
        <f>IF(2&gt;=75,('Testes estatísticos'!$D$80+'Testes estatísticos'!$D$7)/2,"")</f>
        <v/>
      </c>
      <c r="D253" s="7" t="str">
        <f>IF(3&gt;=75,('Testes estatísticos'!$D$80+'Testes estatísticos'!$D$8)/2,"")</f>
        <v/>
      </c>
      <c r="E253" s="7" t="str">
        <f>IF(4&gt;=75,('Testes estatísticos'!$D$80+'Testes estatísticos'!$D$9)/2,"")</f>
        <v/>
      </c>
      <c r="F253" s="7" t="str">
        <f>IF(5&gt;=75,('Testes estatísticos'!$D$80+'Testes estatísticos'!$D$10)/2,"")</f>
        <v/>
      </c>
      <c r="G253" s="7" t="str">
        <f>IF(6&gt;=75,('Testes estatísticos'!$D$80+'Testes estatísticos'!$D$11)/2,"")</f>
        <v/>
      </c>
      <c r="H253" s="7" t="str">
        <f>IF(7&gt;=75,('Testes estatísticos'!$D$80+'Testes estatísticos'!$D$12)/2,"")</f>
        <v/>
      </c>
      <c r="I253" s="7" t="str">
        <f>IF(8&gt;=75,('Testes estatísticos'!$D$80+'Testes estatísticos'!$D$13)/2,"")</f>
        <v/>
      </c>
      <c r="J253" s="7" t="str">
        <f>IF(9&gt;=75,('Testes estatísticos'!$D$80+'Testes estatísticos'!$D$14)/2,"")</f>
        <v/>
      </c>
      <c r="K253" s="7" t="str">
        <f>IF(10&gt;=75,('Testes estatísticos'!$D$80+'Testes estatísticos'!$D$15)/2,"")</f>
        <v/>
      </c>
      <c r="L253" s="7" t="str">
        <f>IF(11&gt;=75,('Testes estatísticos'!$D$80+'Testes estatísticos'!$D$16)/2,"")</f>
        <v/>
      </c>
      <c r="M253" s="7" t="str">
        <f>IF(12&gt;=75,('Testes estatísticos'!$D$80+'Testes estatísticos'!$D$17)/2,"")</f>
        <v/>
      </c>
      <c r="N253" s="7" t="str">
        <f>IF(13&gt;=75,('Testes estatísticos'!$D$80+'Testes estatísticos'!$D$18)/2,"")</f>
        <v/>
      </c>
      <c r="O253" s="7" t="str">
        <f>IF(14&gt;=75,('Testes estatísticos'!$D$80+'Testes estatísticos'!$D$19)/2,"")</f>
        <v/>
      </c>
      <c r="P253" s="7" t="str">
        <f>IF(15&gt;=75,('Testes estatísticos'!$D$80+'Testes estatísticos'!$D$20)/2,"")</f>
        <v/>
      </c>
      <c r="Q253" s="7" t="str">
        <f>IF(16&gt;=75,('Testes estatísticos'!$D$80+'Testes estatísticos'!$D$21)/2,"")</f>
        <v/>
      </c>
      <c r="R253" s="7" t="str">
        <f>IF(17&gt;=75,('Testes estatísticos'!$D$80+'Testes estatísticos'!$D$22)/2,"")</f>
        <v/>
      </c>
      <c r="S253" s="7" t="str">
        <f>IF(18&gt;=75,('Testes estatísticos'!$D$80+'Testes estatísticos'!$D$23)/2,"")</f>
        <v/>
      </c>
      <c r="T253" s="7" t="str">
        <f>IF(19&gt;=75,('Testes estatísticos'!$D$80+'Testes estatísticos'!$D$24)/2,"")</f>
        <v/>
      </c>
      <c r="U253" s="7" t="str">
        <f>IF(20&gt;=75,('Testes estatísticos'!$D$80+'Testes estatísticos'!$D$25)/2,"")</f>
        <v/>
      </c>
      <c r="V253" s="7" t="str">
        <f>IF(21&gt;=75,('Testes estatísticos'!$D$80+'Testes estatísticos'!$D$26)/2,"")</f>
        <v/>
      </c>
      <c r="W253" s="7" t="str">
        <f>IF(22&gt;=75,('Testes estatísticos'!$D$80+'Testes estatísticos'!$D$27)/2,"")</f>
        <v/>
      </c>
      <c r="X253" s="7" t="str">
        <f>IF(23&gt;=75,('Testes estatísticos'!$D$80+'Testes estatísticos'!$D$28)/2,"")</f>
        <v/>
      </c>
      <c r="Y253" s="7" t="str">
        <f>IF(24&gt;=75,('Testes estatísticos'!$D$80+'Testes estatísticos'!$D$29)/2,"")</f>
        <v/>
      </c>
      <c r="Z253" s="7" t="str">
        <f>IF(25&gt;=75,('Testes estatísticos'!$D$80+'Testes estatísticos'!$D$30)/2,"")</f>
        <v/>
      </c>
      <c r="AA253" s="7" t="str">
        <f>IF(26&gt;=75,('Testes estatísticos'!$D$80+'Testes estatísticos'!$D$31)/2,"")</f>
        <v/>
      </c>
      <c r="AB253" s="7" t="str">
        <f>IF(27&gt;=75,('Testes estatísticos'!$D$80+'Testes estatísticos'!$D$32)/2,"")</f>
        <v/>
      </c>
      <c r="AC253" s="7" t="str">
        <f>IF(28&gt;=75,('Testes estatísticos'!$D$80+'Testes estatísticos'!$D$33)/2,"")</f>
        <v/>
      </c>
      <c r="AD253" s="7" t="str">
        <f>IF(29&gt;=75,('Testes estatísticos'!$D$80+'Testes estatísticos'!$D$34)/2,"")</f>
        <v/>
      </c>
      <c r="AE253" s="7" t="str">
        <f>IF(30&gt;=75,('Testes estatísticos'!$D$80+'Testes estatísticos'!$D$35)/2,"")</f>
        <v/>
      </c>
      <c r="AF253" s="7" t="str">
        <f>IF(31&gt;=75,('Testes estatísticos'!$D$80+'Testes estatísticos'!$D$36)/2,"")</f>
        <v/>
      </c>
      <c r="AG253" s="7" t="str">
        <f>IF(32&gt;=75,('Testes estatísticos'!$D$80+'Testes estatísticos'!$D$37)/2,"")</f>
        <v/>
      </c>
      <c r="AH253" s="7" t="str">
        <f>IF(33&gt;=75,('Testes estatísticos'!$D$80+'Testes estatísticos'!$D$38)/2,"")</f>
        <v/>
      </c>
      <c r="AI253" s="7" t="str">
        <f>IF(34&gt;=75,('Testes estatísticos'!$D$80+'Testes estatísticos'!$D$39)/2,"")</f>
        <v/>
      </c>
      <c r="AJ253" s="7" t="str">
        <f>IF(35&gt;=75,('Testes estatísticos'!$D$80+'Testes estatísticos'!$D$40)/2,"")</f>
        <v/>
      </c>
      <c r="AK253" s="7" t="str">
        <f>IF(36&gt;=75,('Testes estatísticos'!$D$80+'Testes estatísticos'!$D$41)/2,"")</f>
        <v/>
      </c>
      <c r="AL253" s="7" t="str">
        <f>IF(37&gt;=75,('Testes estatísticos'!$D$80+'Testes estatísticos'!$D$42)/2,"")</f>
        <v/>
      </c>
      <c r="AM253" s="7" t="str">
        <f>IF(38&gt;=75,('Testes estatísticos'!$D$80+'Testes estatísticos'!$D$43)/2,"")</f>
        <v/>
      </c>
      <c r="AN253" s="7" t="str">
        <f>IF(39&gt;=75,('Testes estatísticos'!$D$80+'Testes estatísticos'!$D$44)/2,"")</f>
        <v/>
      </c>
      <c r="AO253" s="7" t="str">
        <f>IF(40&gt;=75,('Testes estatísticos'!$D$80+'Testes estatísticos'!$D$45)/2,"")</f>
        <v/>
      </c>
      <c r="AP253" s="7" t="str">
        <f>IF(41&gt;=75,('Testes estatísticos'!$D$80+'Testes estatísticos'!$D$46)/2,"")</f>
        <v/>
      </c>
      <c r="AQ253" s="7" t="str">
        <f>IF(42&gt;=75,('Testes estatísticos'!$D$80+'Testes estatísticos'!$D$47)/2,"")</f>
        <v/>
      </c>
      <c r="AR253" s="7" t="str">
        <f>IF(43&gt;=75,('Testes estatísticos'!$D$80+'Testes estatísticos'!$D$48)/2,"")</f>
        <v/>
      </c>
      <c r="AS253" s="7" t="str">
        <f>IF(44&gt;=75,('Testes estatísticos'!$D$80+'Testes estatísticos'!$D$49)/2,"")</f>
        <v/>
      </c>
      <c r="AT253" s="7" t="str">
        <f>IF(45&gt;=75,('Testes estatísticos'!$D$80+'Testes estatísticos'!$D$50)/2,"")</f>
        <v/>
      </c>
      <c r="AU253" s="7" t="str">
        <f>IF(46&gt;=75,('Testes estatísticos'!$D$80+'Testes estatísticos'!$D$51)/2,"")</f>
        <v/>
      </c>
      <c r="AV253" s="7" t="str">
        <f>IF(47&gt;=75,('Testes estatísticos'!$D$80+'Testes estatísticos'!$D$52)/2,"")</f>
        <v/>
      </c>
      <c r="AW253" s="7" t="str">
        <f>IF(48&gt;=75,('Testes estatísticos'!$D$80+'Testes estatísticos'!$D$53)/2,"")</f>
        <v/>
      </c>
      <c r="AX253" s="7" t="str">
        <f>IF(49&gt;=75,('Testes estatísticos'!$D$80+'Testes estatísticos'!$D$54)/2,"")</f>
        <v/>
      </c>
      <c r="AY253" s="7" t="str">
        <f>IF(50&gt;=75,('Testes estatísticos'!$D$80+'Testes estatísticos'!$D$55)/2,"")</f>
        <v/>
      </c>
      <c r="AZ253" s="7" t="str">
        <f>IF(51&gt;=75,('Testes estatísticos'!$D$80+'Testes estatísticos'!$D$56)/2,"")</f>
        <v/>
      </c>
      <c r="BA253" s="7" t="str">
        <f>IF(52&gt;=75,('Testes estatísticos'!$D$80+'Testes estatísticos'!$D$57)/2,"")</f>
        <v/>
      </c>
      <c r="BB253" s="7" t="str">
        <f>IF(53&gt;=75,('Testes estatísticos'!$D$80+'Testes estatísticos'!$D$58)/2,"")</f>
        <v/>
      </c>
      <c r="BC253" s="7" t="str">
        <f>IF(54&gt;=75,('Testes estatísticos'!$D$80+'Testes estatísticos'!$D$59)/2,"")</f>
        <v/>
      </c>
      <c r="BD253" s="7" t="str">
        <f>IF(55&gt;=75,('Testes estatísticos'!$D$80+'Testes estatísticos'!$D$60)/2,"")</f>
        <v/>
      </c>
      <c r="BE253" s="7" t="str">
        <f>IF(56&gt;=75,('Testes estatísticos'!$D$80+'Testes estatísticos'!$D$61)/2,"")</f>
        <v/>
      </c>
      <c r="BF253" s="7" t="str">
        <f>IF(57&gt;=75,('Testes estatísticos'!$D$80+'Testes estatísticos'!$D$62)/2,"")</f>
        <v/>
      </c>
      <c r="BG253" s="7" t="str">
        <f>IF(58&gt;=75,('Testes estatísticos'!$D$80+'Testes estatísticos'!$D$63)/2,"")</f>
        <v/>
      </c>
      <c r="BH253" s="7" t="str">
        <f>IF(59&gt;=75,('Testes estatísticos'!$D$80+'Testes estatísticos'!$D$64)/2,"")</f>
        <v/>
      </c>
      <c r="BI253" s="7" t="str">
        <f>IF(60&gt;=75,('Testes estatísticos'!$D$80+'Testes estatísticos'!$D$65)/2,"")</f>
        <v/>
      </c>
      <c r="BJ253" s="7" t="str">
        <f>IF(61&gt;=75,('Testes estatísticos'!$D$80+'Testes estatísticos'!$D$66)/2,"")</f>
        <v/>
      </c>
      <c r="BK253" s="7" t="str">
        <f>IF(62&gt;=75,('Testes estatísticos'!$D$80+'Testes estatísticos'!$D$67)/2,"")</f>
        <v/>
      </c>
      <c r="BL253" s="7" t="str">
        <f>IF(63&gt;=75,('Testes estatísticos'!$D$80+'Testes estatísticos'!$D$68)/2,"")</f>
        <v/>
      </c>
      <c r="BM253" s="7" t="str">
        <f>IF(64&gt;=75,('Testes estatísticos'!$D$80+'Testes estatísticos'!$D$69)/2,"")</f>
        <v/>
      </c>
      <c r="BN253" s="7" t="str">
        <f>IF(65&gt;=75,('Testes estatísticos'!$D$80+'Testes estatísticos'!$D$70)/2,"")</f>
        <v/>
      </c>
      <c r="BO253" s="7" t="str">
        <f>IF(66&gt;=75,('Testes estatísticos'!$D$80+'Testes estatísticos'!$D$71)/2,"")</f>
        <v/>
      </c>
      <c r="BP253" s="7" t="str">
        <f>IF(67&gt;=75,('Testes estatísticos'!$D$80+'Testes estatísticos'!$D$72)/2,"")</f>
        <v/>
      </c>
      <c r="BQ253" s="7" t="str">
        <f>IF(68&gt;=75,('Testes estatísticos'!$D$80+'Testes estatísticos'!$D$73)/2,"")</f>
        <v/>
      </c>
      <c r="BR253" s="7" t="str">
        <f>IF(69&gt;=75,('Testes estatísticos'!$D$80+'Testes estatísticos'!$D$74)/2,"")</f>
        <v/>
      </c>
      <c r="BS253" s="7" t="str">
        <f>IF(70&gt;=75,('Testes estatísticos'!$D$80+'Testes estatísticos'!$D$75)/2,"")</f>
        <v/>
      </c>
      <c r="BT253" s="7" t="str">
        <f>IF(71&gt;=75,('Testes estatísticos'!$D$80+'Testes estatísticos'!$D$76)/2,"")</f>
        <v/>
      </c>
      <c r="BU253" s="7" t="str">
        <f>IF(72&gt;=75,('Testes estatísticos'!$D$80+'Testes estatísticos'!$D$77)/2,"")</f>
        <v/>
      </c>
      <c r="BV253" s="7" t="str">
        <f>IF(73&gt;=75,('Testes estatísticos'!$D$80+'Testes estatísticos'!$D$78)/2,"")</f>
        <v/>
      </c>
      <c r="BW253" s="7" t="str">
        <f>IF(74&gt;=75,('Testes estatísticos'!$D$80+'Testes estatísticos'!$D$79)/2,"")</f>
        <v/>
      </c>
      <c r="BX253" s="7">
        <f>IF(75&gt;=75,('Testes estatísticos'!$D$80+'Testes estatísticos'!$D$80)/2,"")</f>
        <v>-3.8217580000000027</v>
      </c>
      <c r="BY253" s="7">
        <f>IF(76&gt;=75,('Testes estatísticos'!$D$80+'Testes estatísticos'!$D$81)/2,"")</f>
        <v>0.30969999999999942</v>
      </c>
      <c r="BZ253" s="7">
        <f>IF(77&gt;=75,('Testes estatísticos'!$D$80+'Testes estatísticos'!$D$82)/2,"")</f>
        <v>-4.9518895000000001</v>
      </c>
      <c r="CA253" s="7">
        <f>IF(78&gt;=75,('Testes estatísticos'!$D$80+'Testes estatísticos'!$D$83)/2,"")</f>
        <v>-3.1916304999999987</v>
      </c>
      <c r="CB253" s="7">
        <f>IF(79&gt;=75,('Testes estatísticos'!$D$80+'Testes estatísticos'!$D$84)/2,"")</f>
        <v>-3.1399080000000019</v>
      </c>
      <c r="CC253" s="7">
        <f>IF(80&gt;=75,('Testes estatísticos'!$D$80+'Testes estatísticos'!$D$85)/2,"")</f>
        <v>-4.9469245000000015</v>
      </c>
      <c r="CD253" s="7">
        <f>IF(81&gt;=75,('Testes estatísticos'!$D$80+'Testes estatísticos'!$D$86)/2,"")</f>
        <v>-4.9970695000000021</v>
      </c>
      <c r="CE253" s="7">
        <f>IF(82&gt;=75,('Testes estatísticos'!$D$80+'Testes estatísticos'!$D$87)/2,"")</f>
        <v>-2.9192790000000031</v>
      </c>
      <c r="CF253" s="7">
        <f>IF(83&gt;=75,('Testes estatísticos'!$D$80+'Testes estatísticos'!$D$88)/2,"")</f>
        <v>-3.4480860000000035</v>
      </c>
      <c r="CG253" s="7">
        <f>IF(84&gt;=75,('Testes estatísticos'!$D$80+'Testes estatísticos'!$D$89)/2,"")</f>
        <v>-3.779993000000001</v>
      </c>
      <c r="CH253" s="7">
        <f>IF(85&gt;=75,('Testes estatísticos'!$D$80+'Testes estatísticos'!$D$90)/2,"")</f>
        <v>-1.9644460000000024</v>
      </c>
      <c r="CI253" s="7">
        <f>IF(86&gt;=75,('Testes estatísticos'!$D$80+'Testes estatísticos'!$D$91)/2,"")</f>
        <v>-4.6546054999999988</v>
      </c>
      <c r="CJ253" s="7">
        <f>IF(87&gt;=75,('Testes estatísticos'!$D$80+'Testes estatísticos'!$D$92)/2,"")</f>
        <v>-3.4123990000000006</v>
      </c>
      <c r="CK253" s="7">
        <f>IF(88&gt;=75,('Testes estatísticos'!$D$80+'Testes estatísticos'!$D$93)/2,"")</f>
        <v>-3.1683155000000021</v>
      </c>
      <c r="CL253" s="7">
        <f>IF(89&gt;=75,('Testes estatísticos'!$D$80+'Testes estatísticos'!$D$94)/2,"")</f>
        <v>-3.7799075000000038</v>
      </c>
      <c r="CM253" s="7">
        <f>IF(90&gt;=75,('Testes estatísticos'!$D$80+'Testes estatísticos'!$D$95)/2,"")</f>
        <v>-6.1140395000000005</v>
      </c>
      <c r="CN253" s="7">
        <f>IF(91&gt;=75,('Testes estatísticos'!$D$80+'Testes estatísticos'!$D$96)/2,"")</f>
        <v>-3.5755164999999991</v>
      </c>
      <c r="CO253" s="7">
        <f>IF(92&gt;=75,('Testes estatísticos'!$D$80+'Testes estatísticos'!$D$97)/2,"")</f>
        <v>-3.9220199999999998</v>
      </c>
      <c r="CP253" s="7">
        <f>IF(93&gt;=75,('Testes estatísticos'!$D$80+'Testes estatísticos'!$D$98)/2,"")</f>
        <v>-4.126771999999999</v>
      </c>
      <c r="CQ253" s="7">
        <f>IF(94&gt;=75,('Testes estatísticos'!$D$80+'Testes estatísticos'!$D$99)/2,"")</f>
        <v>-1.9456140000000026</v>
      </c>
      <c r="CR253" s="7">
        <f>IF(95&gt;=75,('Testes estatísticos'!$D$80+'Testes estatísticos'!$D$100)/2,"")</f>
        <v>-3.8514070000000018</v>
      </c>
      <c r="CS253" s="7">
        <f>IF(96&gt;=75,('Testes estatísticos'!$D$80+'Testes estatísticos'!$D$101)/2,"")</f>
        <v>-3.807420000000004</v>
      </c>
      <c r="CT253" s="7">
        <f>IF(97&gt;=75,('Testes estatísticos'!$D$80+'Testes estatísticos'!$D$102)/2,"")</f>
        <v>-3.5743695000000031</v>
      </c>
      <c r="CU253" s="7">
        <f>IF(98&gt;=75,('Testes estatísticos'!$D$80+'Testes estatísticos'!$D$103)/2,"")</f>
        <v>-3.5170434999999998</v>
      </c>
      <c r="CV253" s="7">
        <f>IF(99&gt;=75,('Testes estatísticos'!$D$80+'Testes estatísticos'!$D$104)/2,"")</f>
        <v>-3.9518695000000008</v>
      </c>
      <c r="CW253" s="7">
        <f>IF(100&gt;=75,('Testes estatísticos'!$D$80+'Testes estatísticos'!$D$105)/2,"")</f>
        <v>-4.0513355000000004</v>
      </c>
      <c r="CX253" s="7">
        <f>IF(101&gt;=75,('Testes estatísticos'!$D$80+'Testes estatísticos'!$D$106)/2,"")</f>
        <v>-3.5284089999999999</v>
      </c>
      <c r="CY253" s="7">
        <f>IF(102&gt;=75,('Testes estatísticos'!$D$80+'Testes estatísticos'!$D$107)/2,"")</f>
        <v>-3.5840740000000011</v>
      </c>
      <c r="CZ253" s="7">
        <f>IF(103&gt;=75,('Testes estatísticos'!$D$80+'Testes estatísticos'!$D$108)/2,"")</f>
        <v>-4.1082405000000008</v>
      </c>
      <c r="DA253" s="7">
        <f>IF(104&gt;=75,('Testes estatísticos'!$D$80+'Testes estatísticos'!$D$109)/2,"")</f>
        <v>-3.8456064999999988</v>
      </c>
      <c r="DB253" s="7">
        <f>IF(105&gt;=75,('Testes estatísticos'!$D$80+'Testes estatísticos'!$D$110)/2,"")</f>
        <v>-3.8112755000000007</v>
      </c>
      <c r="DC253" s="7">
        <f>IF(106&gt;=75,('Testes estatísticos'!$D$80+'Testes estatísticos'!$D$111)/2,"")</f>
        <v>-3.0683545000000017</v>
      </c>
      <c r="DD253" s="7">
        <f>IF(107&gt;=75,('Testes estatísticos'!$D$80+'Testes estatísticos'!$D$112)/2,"")</f>
        <v>0.4248164999999986</v>
      </c>
      <c r="DE253" s="7">
        <f>IF(108&gt;=75,('Testes estatísticos'!$D$80+'Testes estatísticos'!$D$113)/2,"")</f>
        <v>-2.9978189999999998</v>
      </c>
      <c r="DF253" s="7">
        <f>IF(109&gt;=75,('Testes estatísticos'!$D$80+'Testes estatísticos'!$D$114)/2,"")</f>
        <v>-3.0340759999999989</v>
      </c>
      <c r="DG253" s="7">
        <f>IF(110&gt;=75,('Testes estatísticos'!$D$80+'Testes estatísticos'!$D$115)/2,"")</f>
        <v>-8.5812155000000025</v>
      </c>
      <c r="DH253" s="7">
        <f>IF(111&gt;=75,('Testes estatísticos'!$D$80+'Testes estatísticos'!$D$116)/2,"")</f>
        <v>-2.900385</v>
      </c>
      <c r="DI253" s="7">
        <f>IF(112&gt;=75,('Testes estatísticos'!$D$80+'Testes estatísticos'!$D$117)/2,"")</f>
        <v>2.5280549999999984</v>
      </c>
      <c r="DJ253" s="7">
        <f>IF(113&gt;=75,('Testes estatísticos'!$D$80+'Testes estatísticos'!$D$118)/2,"")</f>
        <v>-2.9285020000000017</v>
      </c>
      <c r="DK253" s="7">
        <f>IF(114&gt;=75,('Testes estatísticos'!$D$80+'Testes estatísticos'!$D$119)/2,"")</f>
        <v>-3.0302520000000008</v>
      </c>
      <c r="DL253" s="7">
        <f>IF(115&gt;=75,('Testes estatísticos'!$D$80+'Testes estatísticos'!$D$120)/2,"")</f>
        <v>-2.9837744999999991</v>
      </c>
      <c r="DM253" s="7">
        <f>IF(116&gt;=75,('Testes estatísticos'!$D$80+'Testes estatísticos'!$D$121)/2,"")</f>
        <v>-2.9751720000000006</v>
      </c>
      <c r="DN253" s="7">
        <f>IF(117&gt;=75,('Testes estatísticos'!$D$80+'Testes estatísticos'!$D$122)/2,"")</f>
        <v>-2.9521040000000021</v>
      </c>
      <c r="DO253" s="7">
        <f>IF(118&gt;=75,('Testes estatísticos'!$D$80+'Testes estatísticos'!$D$123)/2,"")</f>
        <v>-2.9021935000000028</v>
      </c>
      <c r="DP253" s="7">
        <f>IF(119&gt;=75,('Testes estatísticos'!$D$80+'Testes estatísticos'!$D$124)/2,"")</f>
        <v>-2.9234050000000025</v>
      </c>
      <c r="DQ253" s="7">
        <f>IF(120&gt;=75,('Testes estatísticos'!$D$80+'Testes estatísticos'!$D$125)/2,"")</f>
        <v>0.12820950000000053</v>
      </c>
      <c r="DR253" s="7">
        <f>IF(121&gt;=75,('Testes estatísticos'!$D$80+'Testes estatísticos'!$D$126)/2,"")</f>
        <v>-2.6608070000000019</v>
      </c>
      <c r="DS253" s="7">
        <f>IF(122&gt;=75,('Testes estatísticos'!$D$80+'Testes estatísticos'!$D$127)/2,"")</f>
        <v>-3.7262154999999986</v>
      </c>
      <c r="DT253" s="7">
        <f>IF(123&gt;=75,('Testes estatísticos'!$D$80+'Testes estatísticos'!$D$128)/2,"")</f>
        <v>2.342653999999996</v>
      </c>
      <c r="DU253" s="7">
        <f>IF(124&gt;=75,('Testes estatísticos'!$D$80+'Testes estatísticos'!$D$129)/2,"")</f>
        <v>-2.5531175000000026</v>
      </c>
      <c r="DV253" s="7">
        <f>IF(125&gt;=75,('Testes estatísticos'!$D$80+'Testes estatísticos'!$D$130)/2,"")</f>
        <v>-1.3948100000000032</v>
      </c>
      <c r="DW253" s="7">
        <f>IF(126&gt;=75,('Testes estatísticos'!$D$80+'Testes estatísticos'!$D$131)/2,"")</f>
        <v>-3.7982860000000009</v>
      </c>
      <c r="DX253" s="7">
        <f>IF(127&gt;=75,('Testes estatísticos'!$D$80+'Testes estatísticos'!$D$132)/2,"")</f>
        <v>-5.8544775000000016</v>
      </c>
      <c r="DY253" s="7">
        <f>IF(128&gt;=75,('Testes estatísticos'!$D$80+'Testes estatísticos'!$D$133)/2,"")</f>
        <v>-6.1955670000000005</v>
      </c>
      <c r="DZ253" s="7">
        <f>IF(129&gt;=75,('Testes estatísticos'!$D$80+'Testes estatísticos'!$D$134)/2,"")</f>
        <v>-9.6193570000000008</v>
      </c>
      <c r="EA253" s="7">
        <f>IF(130&gt;=75,('Testes estatísticos'!$D$80+'Testes estatísticos'!$D$135)/2,"")</f>
        <v>-3.8575869999999988</v>
      </c>
      <c r="EB253" s="7">
        <f>IF(131&gt;=75,('Testes estatísticos'!$D$80+'Testes estatísticos'!$D$136)/2,"")</f>
        <v>-3.769714000000004</v>
      </c>
      <c r="EC253" s="7">
        <f>IF(132&gt;=75,('Testes estatísticos'!$D$80+'Testes estatísticos'!$D$137)/2,"")</f>
        <v>-5.2564505000000032</v>
      </c>
      <c r="ED253" s="7">
        <f>IF(133&gt;=75,('Testes estatísticos'!$D$80+'Testes estatísticos'!$D$138)/2,"")</f>
        <v>-3.0675130000000017</v>
      </c>
      <c r="EE253" s="7">
        <f>IF(134&gt;=75,('Testes estatísticos'!$D$80+'Testes estatísticos'!$D$139)/2,"")</f>
        <v>-5.3647035000000045</v>
      </c>
      <c r="EF253" s="7">
        <f>IF(135&gt;=75,('Testes estatísticos'!$D$80+'Testes estatísticos'!$D$140)/2,"")</f>
        <v>-2.150271</v>
      </c>
      <c r="EG253" s="7">
        <f>IF(136&gt;=75,('Testes estatísticos'!$D$80+'Testes estatísticos'!$D$141)/2,"")</f>
        <v>-3.8437610000000042</v>
      </c>
      <c r="EH253" s="7">
        <f>IF(137&gt;=75,('Testes estatísticos'!$D$80+'Testes estatísticos'!$D$142)/2,"")</f>
        <v>-2.1390210000000032</v>
      </c>
      <c r="EI253" s="7">
        <f>IF(138&gt;=75,('Testes estatísticos'!$D$80+'Testes estatísticos'!$D$143)/2,"")</f>
        <v>-3.8040364999999987</v>
      </c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</row>
    <row r="254" spans="2:151" x14ac:dyDescent="0.3">
      <c r="B254" s="7" t="str">
        <f>IF(1&gt;=76,('Testes estatísticos'!$D$81+'Testes estatísticos'!$D$6)/2,"")</f>
        <v/>
      </c>
      <c r="C254" s="7" t="str">
        <f>IF(2&gt;=76,('Testes estatísticos'!$D$81+'Testes estatísticos'!$D$7)/2,"")</f>
        <v/>
      </c>
      <c r="D254" s="7" t="str">
        <f>IF(3&gt;=76,('Testes estatísticos'!$D$81+'Testes estatísticos'!$D$8)/2,"")</f>
        <v/>
      </c>
      <c r="E254" s="7" t="str">
        <f>IF(4&gt;=76,('Testes estatísticos'!$D$81+'Testes estatísticos'!$D$9)/2,"")</f>
        <v/>
      </c>
      <c r="F254" s="7" t="str">
        <f>IF(5&gt;=76,('Testes estatísticos'!$D$81+'Testes estatísticos'!$D$10)/2,"")</f>
        <v/>
      </c>
      <c r="G254" s="7" t="str">
        <f>IF(6&gt;=76,('Testes estatísticos'!$D$81+'Testes estatísticos'!$D$11)/2,"")</f>
        <v/>
      </c>
      <c r="H254" s="7" t="str">
        <f>IF(7&gt;=76,('Testes estatísticos'!$D$81+'Testes estatísticos'!$D$12)/2,"")</f>
        <v/>
      </c>
      <c r="I254" s="7" t="str">
        <f>IF(8&gt;=76,('Testes estatísticos'!$D$81+'Testes estatísticos'!$D$13)/2,"")</f>
        <v/>
      </c>
      <c r="J254" s="7" t="str">
        <f>IF(9&gt;=76,('Testes estatísticos'!$D$81+'Testes estatísticos'!$D$14)/2,"")</f>
        <v/>
      </c>
      <c r="K254" s="7" t="str">
        <f>IF(10&gt;=76,('Testes estatísticos'!$D$81+'Testes estatísticos'!$D$15)/2,"")</f>
        <v/>
      </c>
      <c r="L254" s="7" t="str">
        <f>IF(11&gt;=76,('Testes estatísticos'!$D$81+'Testes estatísticos'!$D$16)/2,"")</f>
        <v/>
      </c>
      <c r="M254" s="7" t="str">
        <f>IF(12&gt;=76,('Testes estatísticos'!$D$81+'Testes estatísticos'!$D$17)/2,"")</f>
        <v/>
      </c>
      <c r="N254" s="7" t="str">
        <f>IF(13&gt;=76,('Testes estatísticos'!$D$81+'Testes estatísticos'!$D$18)/2,"")</f>
        <v/>
      </c>
      <c r="O254" s="7" t="str">
        <f>IF(14&gt;=76,('Testes estatísticos'!$D$81+'Testes estatísticos'!$D$19)/2,"")</f>
        <v/>
      </c>
      <c r="P254" s="7" t="str">
        <f>IF(15&gt;=76,('Testes estatísticos'!$D$81+'Testes estatísticos'!$D$20)/2,"")</f>
        <v/>
      </c>
      <c r="Q254" s="7" t="str">
        <f>IF(16&gt;=76,('Testes estatísticos'!$D$81+'Testes estatísticos'!$D$21)/2,"")</f>
        <v/>
      </c>
      <c r="R254" s="7" t="str">
        <f>IF(17&gt;=76,('Testes estatísticos'!$D$81+'Testes estatísticos'!$D$22)/2,"")</f>
        <v/>
      </c>
      <c r="S254" s="7" t="str">
        <f>IF(18&gt;=76,('Testes estatísticos'!$D$81+'Testes estatísticos'!$D$23)/2,"")</f>
        <v/>
      </c>
      <c r="T254" s="7" t="str">
        <f>IF(19&gt;=76,('Testes estatísticos'!$D$81+'Testes estatísticos'!$D$24)/2,"")</f>
        <v/>
      </c>
      <c r="U254" s="7" t="str">
        <f>IF(20&gt;=76,('Testes estatísticos'!$D$81+'Testes estatísticos'!$D$25)/2,"")</f>
        <v/>
      </c>
      <c r="V254" s="7" t="str">
        <f>IF(21&gt;=76,('Testes estatísticos'!$D$81+'Testes estatísticos'!$D$26)/2,"")</f>
        <v/>
      </c>
      <c r="W254" s="7" t="str">
        <f>IF(22&gt;=76,('Testes estatísticos'!$D$81+'Testes estatísticos'!$D$27)/2,"")</f>
        <v/>
      </c>
      <c r="X254" s="7" t="str">
        <f>IF(23&gt;=76,('Testes estatísticos'!$D$81+'Testes estatísticos'!$D$28)/2,"")</f>
        <v/>
      </c>
      <c r="Y254" s="7" t="str">
        <f>IF(24&gt;=76,('Testes estatísticos'!$D$81+'Testes estatísticos'!$D$29)/2,"")</f>
        <v/>
      </c>
      <c r="Z254" s="7" t="str">
        <f>IF(25&gt;=76,('Testes estatísticos'!$D$81+'Testes estatísticos'!$D$30)/2,"")</f>
        <v/>
      </c>
      <c r="AA254" s="7" t="str">
        <f>IF(26&gt;=76,('Testes estatísticos'!$D$81+'Testes estatísticos'!$D$31)/2,"")</f>
        <v/>
      </c>
      <c r="AB254" s="7" t="str">
        <f>IF(27&gt;=76,('Testes estatísticos'!$D$81+'Testes estatísticos'!$D$32)/2,"")</f>
        <v/>
      </c>
      <c r="AC254" s="7" t="str">
        <f>IF(28&gt;=76,('Testes estatísticos'!$D$81+'Testes estatísticos'!$D$33)/2,"")</f>
        <v/>
      </c>
      <c r="AD254" s="7" t="str">
        <f>IF(29&gt;=76,('Testes estatísticos'!$D$81+'Testes estatísticos'!$D$34)/2,"")</f>
        <v/>
      </c>
      <c r="AE254" s="7" t="str">
        <f>IF(30&gt;=76,('Testes estatísticos'!$D$81+'Testes estatísticos'!$D$35)/2,"")</f>
        <v/>
      </c>
      <c r="AF254" s="7" t="str">
        <f>IF(31&gt;=76,('Testes estatísticos'!$D$81+'Testes estatísticos'!$D$36)/2,"")</f>
        <v/>
      </c>
      <c r="AG254" s="7" t="str">
        <f>IF(32&gt;=76,('Testes estatísticos'!$D$81+'Testes estatísticos'!$D$37)/2,"")</f>
        <v/>
      </c>
      <c r="AH254" s="7" t="str">
        <f>IF(33&gt;=76,('Testes estatísticos'!$D$81+'Testes estatísticos'!$D$38)/2,"")</f>
        <v/>
      </c>
      <c r="AI254" s="7" t="str">
        <f>IF(34&gt;=76,('Testes estatísticos'!$D$81+'Testes estatísticos'!$D$39)/2,"")</f>
        <v/>
      </c>
      <c r="AJ254" s="7" t="str">
        <f>IF(35&gt;=76,('Testes estatísticos'!$D$81+'Testes estatísticos'!$D$40)/2,"")</f>
        <v/>
      </c>
      <c r="AK254" s="7" t="str">
        <f>IF(36&gt;=76,('Testes estatísticos'!$D$81+'Testes estatísticos'!$D$41)/2,"")</f>
        <v/>
      </c>
      <c r="AL254" s="7" t="str">
        <f>IF(37&gt;=76,('Testes estatísticos'!$D$81+'Testes estatísticos'!$D$42)/2,"")</f>
        <v/>
      </c>
      <c r="AM254" s="7" t="str">
        <f>IF(38&gt;=76,('Testes estatísticos'!$D$81+'Testes estatísticos'!$D$43)/2,"")</f>
        <v/>
      </c>
      <c r="AN254" s="7" t="str">
        <f>IF(39&gt;=76,('Testes estatísticos'!$D$81+'Testes estatísticos'!$D$44)/2,"")</f>
        <v/>
      </c>
      <c r="AO254" s="7" t="str">
        <f>IF(40&gt;=76,('Testes estatísticos'!$D$81+'Testes estatísticos'!$D$45)/2,"")</f>
        <v/>
      </c>
      <c r="AP254" s="7" t="str">
        <f>IF(41&gt;=76,('Testes estatísticos'!$D$81+'Testes estatísticos'!$D$46)/2,"")</f>
        <v/>
      </c>
      <c r="AQ254" s="7" t="str">
        <f>IF(42&gt;=76,('Testes estatísticos'!$D$81+'Testes estatísticos'!$D$47)/2,"")</f>
        <v/>
      </c>
      <c r="AR254" s="7" t="str">
        <f>IF(43&gt;=76,('Testes estatísticos'!$D$81+'Testes estatísticos'!$D$48)/2,"")</f>
        <v/>
      </c>
      <c r="AS254" s="7" t="str">
        <f>IF(44&gt;=76,('Testes estatísticos'!$D$81+'Testes estatísticos'!$D$49)/2,"")</f>
        <v/>
      </c>
      <c r="AT254" s="7" t="str">
        <f>IF(45&gt;=76,('Testes estatísticos'!$D$81+'Testes estatísticos'!$D$50)/2,"")</f>
        <v/>
      </c>
      <c r="AU254" s="7" t="str">
        <f>IF(46&gt;=76,('Testes estatísticos'!$D$81+'Testes estatísticos'!$D$51)/2,"")</f>
        <v/>
      </c>
      <c r="AV254" s="7" t="str">
        <f>IF(47&gt;=76,('Testes estatísticos'!$D$81+'Testes estatísticos'!$D$52)/2,"")</f>
        <v/>
      </c>
      <c r="AW254" s="7" t="str">
        <f>IF(48&gt;=76,('Testes estatísticos'!$D$81+'Testes estatísticos'!$D$53)/2,"")</f>
        <v/>
      </c>
      <c r="AX254" s="7" t="str">
        <f>IF(49&gt;=76,('Testes estatísticos'!$D$81+'Testes estatísticos'!$D$54)/2,"")</f>
        <v/>
      </c>
      <c r="AY254" s="7" t="str">
        <f>IF(50&gt;=76,('Testes estatísticos'!$D$81+'Testes estatísticos'!$D$55)/2,"")</f>
        <v/>
      </c>
      <c r="AZ254" s="7" t="str">
        <f>IF(51&gt;=76,('Testes estatísticos'!$D$81+'Testes estatísticos'!$D$56)/2,"")</f>
        <v/>
      </c>
      <c r="BA254" s="7" t="str">
        <f>IF(52&gt;=76,('Testes estatísticos'!$D$81+'Testes estatísticos'!$D$57)/2,"")</f>
        <v/>
      </c>
      <c r="BB254" s="7" t="str">
        <f>IF(53&gt;=76,('Testes estatísticos'!$D$81+'Testes estatísticos'!$D$58)/2,"")</f>
        <v/>
      </c>
      <c r="BC254" s="7" t="str">
        <f>IF(54&gt;=76,('Testes estatísticos'!$D$81+'Testes estatísticos'!$D$59)/2,"")</f>
        <v/>
      </c>
      <c r="BD254" s="7" t="str">
        <f>IF(55&gt;=76,('Testes estatísticos'!$D$81+'Testes estatísticos'!$D$60)/2,"")</f>
        <v/>
      </c>
      <c r="BE254" s="7" t="str">
        <f>IF(56&gt;=76,('Testes estatísticos'!$D$81+'Testes estatísticos'!$D$61)/2,"")</f>
        <v/>
      </c>
      <c r="BF254" s="7" t="str">
        <f>IF(57&gt;=76,('Testes estatísticos'!$D$81+'Testes estatísticos'!$D$62)/2,"")</f>
        <v/>
      </c>
      <c r="BG254" s="7" t="str">
        <f>IF(58&gt;=76,('Testes estatísticos'!$D$81+'Testes estatísticos'!$D$63)/2,"")</f>
        <v/>
      </c>
      <c r="BH254" s="7" t="str">
        <f>IF(59&gt;=76,('Testes estatísticos'!$D$81+'Testes estatísticos'!$D$64)/2,"")</f>
        <v/>
      </c>
      <c r="BI254" s="7" t="str">
        <f>IF(60&gt;=76,('Testes estatísticos'!$D$81+'Testes estatísticos'!$D$65)/2,"")</f>
        <v/>
      </c>
      <c r="BJ254" s="7" t="str">
        <f>IF(61&gt;=76,('Testes estatísticos'!$D$81+'Testes estatísticos'!$D$66)/2,"")</f>
        <v/>
      </c>
      <c r="BK254" s="7" t="str">
        <f>IF(62&gt;=76,('Testes estatísticos'!$D$81+'Testes estatísticos'!$D$67)/2,"")</f>
        <v/>
      </c>
      <c r="BL254" s="7" t="str">
        <f>IF(63&gt;=76,('Testes estatísticos'!$D$81+'Testes estatísticos'!$D$68)/2,"")</f>
        <v/>
      </c>
      <c r="BM254" s="7" t="str">
        <f>IF(64&gt;=76,('Testes estatísticos'!$D$81+'Testes estatísticos'!$D$69)/2,"")</f>
        <v/>
      </c>
      <c r="BN254" s="7" t="str">
        <f>IF(65&gt;=76,('Testes estatísticos'!$D$81+'Testes estatísticos'!$D$70)/2,"")</f>
        <v/>
      </c>
      <c r="BO254" s="7" t="str">
        <f>IF(66&gt;=76,('Testes estatísticos'!$D$81+'Testes estatísticos'!$D$71)/2,"")</f>
        <v/>
      </c>
      <c r="BP254" s="7" t="str">
        <f>IF(67&gt;=76,('Testes estatísticos'!$D$81+'Testes estatísticos'!$D$72)/2,"")</f>
        <v/>
      </c>
      <c r="BQ254" s="7" t="str">
        <f>IF(68&gt;=76,('Testes estatísticos'!$D$81+'Testes estatísticos'!$D$73)/2,"")</f>
        <v/>
      </c>
      <c r="BR254" s="7" t="str">
        <f>IF(69&gt;=76,('Testes estatísticos'!$D$81+'Testes estatísticos'!$D$74)/2,"")</f>
        <v/>
      </c>
      <c r="BS254" s="7" t="str">
        <f>IF(70&gt;=76,('Testes estatísticos'!$D$81+'Testes estatísticos'!$D$75)/2,"")</f>
        <v/>
      </c>
      <c r="BT254" s="7" t="str">
        <f>IF(71&gt;=76,('Testes estatísticos'!$D$81+'Testes estatísticos'!$D$76)/2,"")</f>
        <v/>
      </c>
      <c r="BU254" s="7" t="str">
        <f>IF(72&gt;=76,('Testes estatísticos'!$D$81+'Testes estatísticos'!$D$77)/2,"")</f>
        <v/>
      </c>
      <c r="BV254" s="7" t="str">
        <f>IF(73&gt;=76,('Testes estatísticos'!$D$81+'Testes estatísticos'!$D$78)/2,"")</f>
        <v/>
      </c>
      <c r="BW254" s="7" t="str">
        <f>IF(74&gt;=76,('Testes estatísticos'!$D$81+'Testes estatísticos'!$D$79)/2,"")</f>
        <v/>
      </c>
      <c r="BX254" s="7" t="str">
        <f>IF(75&gt;=76,('Testes estatísticos'!$D$81+'Testes estatísticos'!$D$80)/2,"")</f>
        <v/>
      </c>
      <c r="BY254" s="7">
        <f>IF(76&gt;=76,('Testes estatísticos'!$D$81+'Testes estatísticos'!$D$81)/2,"")</f>
        <v>4.4411580000000015</v>
      </c>
      <c r="BZ254" s="7">
        <f>IF(77&gt;=76,('Testes estatísticos'!$D$81+'Testes estatísticos'!$D$82)/2,"")</f>
        <v>-0.82043149999999798</v>
      </c>
      <c r="CA254" s="7">
        <f>IF(78&gt;=76,('Testes estatísticos'!$D$81+'Testes estatísticos'!$D$83)/2,"")</f>
        <v>0.93982750000000337</v>
      </c>
      <c r="CB254" s="7">
        <f>IF(79&gt;=76,('Testes estatísticos'!$D$81+'Testes estatísticos'!$D$84)/2,"")</f>
        <v>0.99155000000000015</v>
      </c>
      <c r="CC254" s="7">
        <f>IF(80&gt;=76,('Testes estatísticos'!$D$81+'Testes estatísticos'!$D$85)/2,"")</f>
        <v>-0.81546649999999943</v>
      </c>
      <c r="CD254" s="7">
        <f>IF(81&gt;=76,('Testes estatísticos'!$D$81+'Testes estatísticos'!$D$86)/2,"")</f>
        <v>-0.86561149999999998</v>
      </c>
      <c r="CE254" s="7">
        <f>IF(82&gt;=76,('Testes estatísticos'!$D$81+'Testes estatísticos'!$D$87)/2,"")</f>
        <v>1.212178999999999</v>
      </c>
      <c r="CF254" s="7">
        <f>IF(83&gt;=76,('Testes estatísticos'!$D$81+'Testes estatísticos'!$D$88)/2,"")</f>
        <v>0.68337199999999854</v>
      </c>
      <c r="CG254" s="7">
        <f>IF(84&gt;=76,('Testes estatísticos'!$D$81+'Testes estatísticos'!$D$89)/2,"")</f>
        <v>0.35146500000000103</v>
      </c>
      <c r="CH254" s="7">
        <f>IF(85&gt;=76,('Testes estatísticos'!$D$81+'Testes estatísticos'!$D$90)/2,"")</f>
        <v>2.1670119999999997</v>
      </c>
      <c r="CI254" s="7">
        <f>IF(86&gt;=76,('Testes estatísticos'!$D$81+'Testes estatísticos'!$D$91)/2,"")</f>
        <v>-0.52314749999999677</v>
      </c>
      <c r="CJ254" s="7">
        <f>IF(87&gt;=76,('Testes estatísticos'!$D$81+'Testes estatísticos'!$D$92)/2,"")</f>
        <v>0.71905900000000145</v>
      </c>
      <c r="CK254" s="7">
        <f>IF(88&gt;=76,('Testes estatísticos'!$D$81+'Testes estatísticos'!$D$93)/2,"")</f>
        <v>0.96314250000000001</v>
      </c>
      <c r="CL254" s="7">
        <f>IF(89&gt;=76,('Testes estatísticos'!$D$81+'Testes estatísticos'!$D$94)/2,"")</f>
        <v>0.35155049999999832</v>
      </c>
      <c r="CM254" s="7">
        <f>IF(90&gt;=76,('Testes estatísticos'!$D$81+'Testes estatísticos'!$D$95)/2,"")</f>
        <v>-1.9825814999999984</v>
      </c>
      <c r="CN254" s="7">
        <f>IF(91&gt;=76,('Testes estatísticos'!$D$81+'Testes estatísticos'!$D$96)/2,"")</f>
        <v>0.55594150000000297</v>
      </c>
      <c r="CO254" s="7">
        <f>IF(92&gt;=76,('Testes estatísticos'!$D$81+'Testes estatísticos'!$D$97)/2,"")</f>
        <v>0.20943800000000223</v>
      </c>
      <c r="CP254" s="7">
        <f>IF(93&gt;=76,('Testes estatísticos'!$D$81+'Testes estatísticos'!$D$98)/2,"")</f>
        <v>4.6860000000030766E-3</v>
      </c>
      <c r="CQ254" s="7">
        <f>IF(94&gt;=76,('Testes estatísticos'!$D$81+'Testes estatísticos'!$D$99)/2,"")</f>
        <v>2.1858439999999995</v>
      </c>
      <c r="CR254" s="7">
        <f>IF(95&gt;=76,('Testes estatísticos'!$D$81+'Testes estatísticos'!$D$100)/2,"")</f>
        <v>0.28005100000000027</v>
      </c>
      <c r="CS254" s="7">
        <f>IF(96&gt;=76,('Testes estatísticos'!$D$81+'Testes estatísticos'!$D$101)/2,"")</f>
        <v>0.32403799999999805</v>
      </c>
      <c r="CT254" s="7">
        <f>IF(97&gt;=76,('Testes estatísticos'!$D$81+'Testes estatísticos'!$D$102)/2,"")</f>
        <v>0.55708849999999899</v>
      </c>
      <c r="CU254" s="7">
        <f>IF(98&gt;=76,('Testes estatísticos'!$D$81+'Testes estatísticos'!$D$103)/2,"")</f>
        <v>0.61441450000000231</v>
      </c>
      <c r="CV254" s="7">
        <f>IF(99&gt;=76,('Testes estatísticos'!$D$81+'Testes estatísticos'!$D$104)/2,"")</f>
        <v>0.17958850000000126</v>
      </c>
      <c r="CW254" s="7">
        <f>IF(100&gt;=76,('Testes estatísticos'!$D$81+'Testes estatísticos'!$D$105)/2,"")</f>
        <v>8.0122500000001651E-2</v>
      </c>
      <c r="CX254" s="7">
        <f>IF(101&gt;=76,('Testes estatísticos'!$D$81+'Testes estatísticos'!$D$106)/2,"")</f>
        <v>0.60304900000000217</v>
      </c>
      <c r="CY254" s="7">
        <f>IF(102&gt;=76,('Testes estatísticos'!$D$81+'Testes estatísticos'!$D$107)/2,"")</f>
        <v>0.54738400000000098</v>
      </c>
      <c r="CZ254" s="7">
        <f>IF(103&gt;=76,('Testes estatísticos'!$D$81+'Testes estatísticos'!$D$108)/2,"")</f>
        <v>2.3217500000001223E-2</v>
      </c>
      <c r="DA254" s="7">
        <f>IF(104&gt;=76,('Testes estatísticos'!$D$81+'Testes estatísticos'!$D$109)/2,"")</f>
        <v>0.28585150000000326</v>
      </c>
      <c r="DB254" s="7">
        <f>IF(105&gt;=76,('Testes estatísticos'!$D$81+'Testes estatísticos'!$D$110)/2,"")</f>
        <v>0.32018250000000137</v>
      </c>
      <c r="DC254" s="7">
        <f>IF(106&gt;=76,('Testes estatísticos'!$D$81+'Testes estatísticos'!$D$111)/2,"")</f>
        <v>1.0631035000000004</v>
      </c>
      <c r="DD254" s="7">
        <f>IF(107&gt;=76,('Testes estatísticos'!$D$81+'Testes estatísticos'!$D$112)/2,"")</f>
        <v>4.5562745000000007</v>
      </c>
      <c r="DE254" s="7">
        <f>IF(108&gt;=76,('Testes estatísticos'!$D$81+'Testes estatísticos'!$D$113)/2,"")</f>
        <v>1.1336390000000023</v>
      </c>
      <c r="DF254" s="7">
        <f>IF(109&gt;=76,('Testes estatísticos'!$D$81+'Testes estatísticos'!$D$114)/2,"")</f>
        <v>1.0973820000000032</v>
      </c>
      <c r="DG254" s="7">
        <f>IF(110&gt;=76,('Testes estatísticos'!$D$81+'Testes estatísticos'!$D$115)/2,"")</f>
        <v>-4.4497575000000005</v>
      </c>
      <c r="DH254" s="7">
        <f>IF(111&gt;=76,('Testes estatísticos'!$D$81+'Testes estatísticos'!$D$116)/2,"")</f>
        <v>1.2310730000000021</v>
      </c>
      <c r="DI254" s="7">
        <f>IF(112&gt;=76,('Testes estatísticos'!$D$81+'Testes estatísticos'!$D$117)/2,"")</f>
        <v>6.6595130000000005</v>
      </c>
      <c r="DJ254" s="7">
        <f>IF(113&gt;=76,('Testes estatísticos'!$D$81+'Testes estatísticos'!$D$118)/2,"")</f>
        <v>1.2029560000000004</v>
      </c>
      <c r="DK254" s="7">
        <f>IF(114&gt;=76,('Testes estatísticos'!$D$81+'Testes estatísticos'!$D$119)/2,"")</f>
        <v>1.1012060000000012</v>
      </c>
      <c r="DL254" s="7">
        <f>IF(115&gt;=76,('Testes estatísticos'!$D$81+'Testes estatísticos'!$D$120)/2,"")</f>
        <v>1.147683500000003</v>
      </c>
      <c r="DM254" s="7">
        <f>IF(116&gt;=76,('Testes estatísticos'!$D$81+'Testes estatísticos'!$D$121)/2,"")</f>
        <v>1.1562860000000015</v>
      </c>
      <c r="DN254" s="7">
        <f>IF(117&gt;=76,('Testes estatísticos'!$D$81+'Testes estatísticos'!$D$122)/2,"")</f>
        <v>1.179354</v>
      </c>
      <c r="DO254" s="7">
        <f>IF(118&gt;=76,('Testes estatísticos'!$D$81+'Testes estatísticos'!$D$123)/2,"")</f>
        <v>1.2292644999999993</v>
      </c>
      <c r="DP254" s="7">
        <f>IF(119&gt;=76,('Testes estatísticos'!$D$81+'Testes estatísticos'!$D$124)/2,"")</f>
        <v>1.2080529999999996</v>
      </c>
      <c r="DQ254" s="7">
        <f>IF(120&gt;=76,('Testes estatísticos'!$D$81+'Testes estatísticos'!$D$125)/2,"")</f>
        <v>4.2596675000000026</v>
      </c>
      <c r="DR254" s="7">
        <f>IF(121&gt;=76,('Testes estatísticos'!$D$81+'Testes estatísticos'!$D$126)/2,"")</f>
        <v>1.4706510000000002</v>
      </c>
      <c r="DS254" s="7">
        <f>IF(122&gt;=76,('Testes estatísticos'!$D$81+'Testes estatísticos'!$D$127)/2,"")</f>
        <v>0.4052425000000035</v>
      </c>
      <c r="DT254" s="7">
        <f>IF(123&gt;=76,('Testes estatísticos'!$D$81+'Testes estatísticos'!$D$128)/2,"")</f>
        <v>6.4741119999999981</v>
      </c>
      <c r="DU254" s="7">
        <f>IF(124&gt;=76,('Testes estatísticos'!$D$81+'Testes estatísticos'!$D$129)/2,"")</f>
        <v>1.5783404999999995</v>
      </c>
      <c r="DV254" s="7">
        <f>IF(125&gt;=76,('Testes estatísticos'!$D$81+'Testes estatísticos'!$D$130)/2,"")</f>
        <v>2.7366479999999989</v>
      </c>
      <c r="DW254" s="7">
        <f>IF(126&gt;=76,('Testes estatísticos'!$D$81+'Testes estatísticos'!$D$131)/2,"")</f>
        <v>0.33317200000000113</v>
      </c>
      <c r="DX254" s="7">
        <f>IF(127&gt;=76,('Testes estatísticos'!$D$81+'Testes estatísticos'!$D$132)/2,"")</f>
        <v>-1.7230194999999995</v>
      </c>
      <c r="DY254" s="7">
        <f>IF(128&gt;=76,('Testes estatísticos'!$D$81+'Testes estatísticos'!$D$133)/2,"")</f>
        <v>-2.0641089999999984</v>
      </c>
      <c r="DZ254" s="7">
        <f>IF(129&gt;=76,('Testes estatísticos'!$D$81+'Testes estatísticos'!$D$134)/2,"")</f>
        <v>-5.4878989999999988</v>
      </c>
      <c r="EA254" s="7">
        <f>IF(130&gt;=76,('Testes estatísticos'!$D$81+'Testes estatísticos'!$D$135)/2,"")</f>
        <v>0.27387100000000331</v>
      </c>
      <c r="EB254" s="7">
        <f>IF(131&gt;=76,('Testes estatísticos'!$D$81+'Testes estatísticos'!$D$136)/2,"")</f>
        <v>0.36174399999999807</v>
      </c>
      <c r="EC254" s="7">
        <f>IF(132&gt;=76,('Testes estatísticos'!$D$81+'Testes estatísticos'!$D$137)/2,"")</f>
        <v>-1.1249925000000012</v>
      </c>
      <c r="ED254" s="7">
        <f>IF(133&gt;=76,('Testes estatísticos'!$D$81+'Testes estatísticos'!$D$138)/2,"")</f>
        <v>1.0639450000000004</v>
      </c>
      <c r="EE254" s="7">
        <f>IF(134&gt;=76,('Testes estatísticos'!$D$81+'Testes estatísticos'!$D$139)/2,"")</f>
        <v>-1.2332455000000024</v>
      </c>
      <c r="EF254" s="7">
        <f>IF(135&gt;=76,('Testes estatísticos'!$D$81+'Testes estatísticos'!$D$140)/2,"")</f>
        <v>1.981187000000002</v>
      </c>
      <c r="EG254" s="7">
        <f>IF(136&gt;=76,('Testes estatísticos'!$D$81+'Testes estatísticos'!$D$141)/2,"")</f>
        <v>0.28769699999999787</v>
      </c>
      <c r="EH254" s="7">
        <f>IF(137&gt;=76,('Testes estatísticos'!$D$81+'Testes estatísticos'!$D$142)/2,"")</f>
        <v>1.9924369999999989</v>
      </c>
      <c r="EI254" s="7">
        <f>IF(138&gt;=76,('Testes estatísticos'!$D$81+'Testes estatísticos'!$D$143)/2,"")</f>
        <v>0.32742150000000336</v>
      </c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</row>
    <row r="255" spans="2:151" x14ac:dyDescent="0.3">
      <c r="B255" s="7" t="str">
        <f>IF(1&gt;=77,('Testes estatísticos'!$D$82+'Testes estatísticos'!$D$6)/2,"")</f>
        <v/>
      </c>
      <c r="C255" s="7" t="str">
        <f>IF(2&gt;=77,('Testes estatísticos'!$D$82+'Testes estatísticos'!$D$7)/2,"")</f>
        <v/>
      </c>
      <c r="D255" s="7" t="str">
        <f>IF(3&gt;=77,('Testes estatísticos'!$D$82+'Testes estatísticos'!$D$8)/2,"")</f>
        <v/>
      </c>
      <c r="E255" s="7" t="str">
        <f>IF(4&gt;=77,('Testes estatísticos'!$D$82+'Testes estatísticos'!$D$9)/2,"")</f>
        <v/>
      </c>
      <c r="F255" s="7" t="str">
        <f>IF(5&gt;=77,('Testes estatísticos'!$D$82+'Testes estatísticos'!$D$10)/2,"")</f>
        <v/>
      </c>
      <c r="G255" s="7" t="str">
        <f>IF(6&gt;=77,('Testes estatísticos'!$D$82+'Testes estatísticos'!$D$11)/2,"")</f>
        <v/>
      </c>
      <c r="H255" s="7" t="str">
        <f>IF(7&gt;=77,('Testes estatísticos'!$D$82+'Testes estatísticos'!$D$12)/2,"")</f>
        <v/>
      </c>
      <c r="I255" s="7" t="str">
        <f>IF(8&gt;=77,('Testes estatísticos'!$D$82+'Testes estatísticos'!$D$13)/2,"")</f>
        <v/>
      </c>
      <c r="J255" s="7" t="str">
        <f>IF(9&gt;=77,('Testes estatísticos'!$D$82+'Testes estatísticos'!$D$14)/2,"")</f>
        <v/>
      </c>
      <c r="K255" s="7" t="str">
        <f>IF(10&gt;=77,('Testes estatísticos'!$D$82+'Testes estatísticos'!$D$15)/2,"")</f>
        <v/>
      </c>
      <c r="L255" s="7" t="str">
        <f>IF(11&gt;=77,('Testes estatísticos'!$D$82+'Testes estatísticos'!$D$16)/2,"")</f>
        <v/>
      </c>
      <c r="M255" s="7" t="str">
        <f>IF(12&gt;=77,('Testes estatísticos'!$D$82+'Testes estatísticos'!$D$17)/2,"")</f>
        <v/>
      </c>
      <c r="N255" s="7" t="str">
        <f>IF(13&gt;=77,('Testes estatísticos'!$D$82+'Testes estatísticos'!$D$18)/2,"")</f>
        <v/>
      </c>
      <c r="O255" s="7" t="str">
        <f>IF(14&gt;=77,('Testes estatísticos'!$D$82+'Testes estatísticos'!$D$19)/2,"")</f>
        <v/>
      </c>
      <c r="P255" s="7" t="str">
        <f>IF(15&gt;=77,('Testes estatísticos'!$D$82+'Testes estatísticos'!$D$20)/2,"")</f>
        <v/>
      </c>
      <c r="Q255" s="7" t="str">
        <f>IF(16&gt;=77,('Testes estatísticos'!$D$82+'Testes estatísticos'!$D$21)/2,"")</f>
        <v/>
      </c>
      <c r="R255" s="7" t="str">
        <f>IF(17&gt;=77,('Testes estatísticos'!$D$82+'Testes estatísticos'!$D$22)/2,"")</f>
        <v/>
      </c>
      <c r="S255" s="7" t="str">
        <f>IF(18&gt;=77,('Testes estatísticos'!$D$82+'Testes estatísticos'!$D$23)/2,"")</f>
        <v/>
      </c>
      <c r="T255" s="7" t="str">
        <f>IF(19&gt;=77,('Testes estatísticos'!$D$82+'Testes estatísticos'!$D$24)/2,"")</f>
        <v/>
      </c>
      <c r="U255" s="7" t="str">
        <f>IF(20&gt;=77,('Testes estatísticos'!$D$82+'Testes estatísticos'!$D$25)/2,"")</f>
        <v/>
      </c>
      <c r="V255" s="7" t="str">
        <f>IF(21&gt;=77,('Testes estatísticos'!$D$82+'Testes estatísticos'!$D$26)/2,"")</f>
        <v/>
      </c>
      <c r="W255" s="7" t="str">
        <f>IF(22&gt;=77,('Testes estatísticos'!$D$82+'Testes estatísticos'!$D$27)/2,"")</f>
        <v/>
      </c>
      <c r="X255" s="7" t="str">
        <f>IF(23&gt;=77,('Testes estatísticos'!$D$82+'Testes estatísticos'!$D$28)/2,"")</f>
        <v/>
      </c>
      <c r="Y255" s="7" t="str">
        <f>IF(24&gt;=77,('Testes estatísticos'!$D$82+'Testes estatísticos'!$D$29)/2,"")</f>
        <v/>
      </c>
      <c r="Z255" s="7" t="str">
        <f>IF(25&gt;=77,('Testes estatísticos'!$D$82+'Testes estatísticos'!$D$30)/2,"")</f>
        <v/>
      </c>
      <c r="AA255" s="7" t="str">
        <f>IF(26&gt;=77,('Testes estatísticos'!$D$82+'Testes estatísticos'!$D$31)/2,"")</f>
        <v/>
      </c>
      <c r="AB255" s="7" t="str">
        <f>IF(27&gt;=77,('Testes estatísticos'!$D$82+'Testes estatísticos'!$D$32)/2,"")</f>
        <v/>
      </c>
      <c r="AC255" s="7" t="str">
        <f>IF(28&gt;=77,('Testes estatísticos'!$D$82+'Testes estatísticos'!$D$33)/2,"")</f>
        <v/>
      </c>
      <c r="AD255" s="7" t="str">
        <f>IF(29&gt;=77,('Testes estatísticos'!$D$82+'Testes estatísticos'!$D$34)/2,"")</f>
        <v/>
      </c>
      <c r="AE255" s="7" t="str">
        <f>IF(30&gt;=77,('Testes estatísticos'!$D$82+'Testes estatísticos'!$D$35)/2,"")</f>
        <v/>
      </c>
      <c r="AF255" s="7" t="str">
        <f>IF(31&gt;=77,('Testes estatísticos'!$D$82+'Testes estatísticos'!$D$36)/2,"")</f>
        <v/>
      </c>
      <c r="AG255" s="7" t="str">
        <f>IF(32&gt;=77,('Testes estatísticos'!$D$82+'Testes estatísticos'!$D$37)/2,"")</f>
        <v/>
      </c>
      <c r="AH255" s="7" t="str">
        <f>IF(33&gt;=77,('Testes estatísticos'!$D$82+'Testes estatísticos'!$D$38)/2,"")</f>
        <v/>
      </c>
      <c r="AI255" s="7" t="str">
        <f>IF(34&gt;=77,('Testes estatísticos'!$D$82+'Testes estatísticos'!$D$39)/2,"")</f>
        <v/>
      </c>
      <c r="AJ255" s="7" t="str">
        <f>IF(35&gt;=77,('Testes estatísticos'!$D$82+'Testes estatísticos'!$D$40)/2,"")</f>
        <v/>
      </c>
      <c r="AK255" s="7" t="str">
        <f>IF(36&gt;=77,('Testes estatísticos'!$D$82+'Testes estatísticos'!$D$41)/2,"")</f>
        <v/>
      </c>
      <c r="AL255" s="7" t="str">
        <f>IF(37&gt;=77,('Testes estatísticos'!$D$82+'Testes estatísticos'!$D$42)/2,"")</f>
        <v/>
      </c>
      <c r="AM255" s="7" t="str">
        <f>IF(38&gt;=77,('Testes estatísticos'!$D$82+'Testes estatísticos'!$D$43)/2,"")</f>
        <v/>
      </c>
      <c r="AN255" s="7" t="str">
        <f>IF(39&gt;=77,('Testes estatísticos'!$D$82+'Testes estatísticos'!$D$44)/2,"")</f>
        <v/>
      </c>
      <c r="AO255" s="7" t="str">
        <f>IF(40&gt;=77,('Testes estatísticos'!$D$82+'Testes estatísticos'!$D$45)/2,"")</f>
        <v/>
      </c>
      <c r="AP255" s="7" t="str">
        <f>IF(41&gt;=77,('Testes estatísticos'!$D$82+'Testes estatísticos'!$D$46)/2,"")</f>
        <v/>
      </c>
      <c r="AQ255" s="7" t="str">
        <f>IF(42&gt;=77,('Testes estatísticos'!$D$82+'Testes estatísticos'!$D$47)/2,"")</f>
        <v/>
      </c>
      <c r="AR255" s="7" t="str">
        <f>IF(43&gt;=77,('Testes estatísticos'!$D$82+'Testes estatísticos'!$D$48)/2,"")</f>
        <v/>
      </c>
      <c r="AS255" s="7" t="str">
        <f>IF(44&gt;=77,('Testes estatísticos'!$D$82+'Testes estatísticos'!$D$49)/2,"")</f>
        <v/>
      </c>
      <c r="AT255" s="7" t="str">
        <f>IF(45&gt;=77,('Testes estatísticos'!$D$82+'Testes estatísticos'!$D$50)/2,"")</f>
        <v/>
      </c>
      <c r="AU255" s="7" t="str">
        <f>IF(46&gt;=77,('Testes estatísticos'!$D$82+'Testes estatísticos'!$D$51)/2,"")</f>
        <v/>
      </c>
      <c r="AV255" s="7" t="str">
        <f>IF(47&gt;=77,('Testes estatísticos'!$D$82+'Testes estatísticos'!$D$52)/2,"")</f>
        <v/>
      </c>
      <c r="AW255" s="7" t="str">
        <f>IF(48&gt;=77,('Testes estatísticos'!$D$82+'Testes estatísticos'!$D$53)/2,"")</f>
        <v/>
      </c>
      <c r="AX255" s="7" t="str">
        <f>IF(49&gt;=77,('Testes estatísticos'!$D$82+'Testes estatísticos'!$D$54)/2,"")</f>
        <v/>
      </c>
      <c r="AY255" s="7" t="str">
        <f>IF(50&gt;=77,('Testes estatísticos'!$D$82+'Testes estatísticos'!$D$55)/2,"")</f>
        <v/>
      </c>
      <c r="AZ255" s="7" t="str">
        <f>IF(51&gt;=77,('Testes estatísticos'!$D$82+'Testes estatísticos'!$D$56)/2,"")</f>
        <v/>
      </c>
      <c r="BA255" s="7" t="str">
        <f>IF(52&gt;=77,('Testes estatísticos'!$D$82+'Testes estatísticos'!$D$57)/2,"")</f>
        <v/>
      </c>
      <c r="BB255" s="7" t="str">
        <f>IF(53&gt;=77,('Testes estatísticos'!$D$82+'Testes estatísticos'!$D$58)/2,"")</f>
        <v/>
      </c>
      <c r="BC255" s="7" t="str">
        <f>IF(54&gt;=77,('Testes estatísticos'!$D$82+'Testes estatísticos'!$D$59)/2,"")</f>
        <v/>
      </c>
      <c r="BD255" s="7" t="str">
        <f>IF(55&gt;=77,('Testes estatísticos'!$D$82+'Testes estatísticos'!$D$60)/2,"")</f>
        <v/>
      </c>
      <c r="BE255" s="7" t="str">
        <f>IF(56&gt;=77,('Testes estatísticos'!$D$82+'Testes estatísticos'!$D$61)/2,"")</f>
        <v/>
      </c>
      <c r="BF255" s="7" t="str">
        <f>IF(57&gt;=77,('Testes estatísticos'!$D$82+'Testes estatísticos'!$D$62)/2,"")</f>
        <v/>
      </c>
      <c r="BG255" s="7" t="str">
        <f>IF(58&gt;=77,('Testes estatísticos'!$D$82+'Testes estatísticos'!$D$63)/2,"")</f>
        <v/>
      </c>
      <c r="BH255" s="7" t="str">
        <f>IF(59&gt;=77,('Testes estatísticos'!$D$82+'Testes estatísticos'!$D$64)/2,"")</f>
        <v/>
      </c>
      <c r="BI255" s="7" t="str">
        <f>IF(60&gt;=77,('Testes estatísticos'!$D$82+'Testes estatísticos'!$D$65)/2,"")</f>
        <v/>
      </c>
      <c r="BJ255" s="7" t="str">
        <f>IF(61&gt;=77,('Testes estatísticos'!$D$82+'Testes estatísticos'!$D$66)/2,"")</f>
        <v/>
      </c>
      <c r="BK255" s="7" t="str">
        <f>IF(62&gt;=77,('Testes estatísticos'!$D$82+'Testes estatísticos'!$D$67)/2,"")</f>
        <v/>
      </c>
      <c r="BL255" s="7" t="str">
        <f>IF(63&gt;=77,('Testes estatísticos'!$D$82+'Testes estatísticos'!$D$68)/2,"")</f>
        <v/>
      </c>
      <c r="BM255" s="7" t="str">
        <f>IF(64&gt;=77,('Testes estatísticos'!$D$82+'Testes estatísticos'!$D$69)/2,"")</f>
        <v/>
      </c>
      <c r="BN255" s="7" t="str">
        <f>IF(65&gt;=77,('Testes estatísticos'!$D$82+'Testes estatísticos'!$D$70)/2,"")</f>
        <v/>
      </c>
      <c r="BO255" s="7" t="str">
        <f>IF(66&gt;=77,('Testes estatísticos'!$D$82+'Testes estatísticos'!$D$71)/2,"")</f>
        <v/>
      </c>
      <c r="BP255" s="7" t="str">
        <f>IF(67&gt;=77,('Testes estatísticos'!$D$82+'Testes estatísticos'!$D$72)/2,"")</f>
        <v/>
      </c>
      <c r="BQ255" s="7" t="str">
        <f>IF(68&gt;=77,('Testes estatísticos'!$D$82+'Testes estatísticos'!$D$73)/2,"")</f>
        <v/>
      </c>
      <c r="BR255" s="7" t="str">
        <f>IF(69&gt;=77,('Testes estatísticos'!$D$82+'Testes estatísticos'!$D$74)/2,"")</f>
        <v/>
      </c>
      <c r="BS255" s="7" t="str">
        <f>IF(70&gt;=77,('Testes estatísticos'!$D$82+'Testes estatísticos'!$D$75)/2,"")</f>
        <v/>
      </c>
      <c r="BT255" s="7" t="str">
        <f>IF(71&gt;=77,('Testes estatísticos'!$D$82+'Testes estatísticos'!$D$76)/2,"")</f>
        <v/>
      </c>
      <c r="BU255" s="7" t="str">
        <f>IF(72&gt;=77,('Testes estatísticos'!$D$82+'Testes estatísticos'!$D$77)/2,"")</f>
        <v/>
      </c>
      <c r="BV255" s="7" t="str">
        <f>IF(73&gt;=77,('Testes estatísticos'!$D$82+'Testes estatísticos'!$D$78)/2,"")</f>
        <v/>
      </c>
      <c r="BW255" s="7" t="str">
        <f>IF(74&gt;=77,('Testes estatísticos'!$D$82+'Testes estatísticos'!$D$79)/2,"")</f>
        <v/>
      </c>
      <c r="BX255" s="7" t="str">
        <f>IF(75&gt;=77,('Testes estatísticos'!$D$82+'Testes estatísticos'!$D$80)/2,"")</f>
        <v/>
      </c>
      <c r="BY255" s="7" t="str">
        <f>IF(76&gt;=77,('Testes estatísticos'!$D$82+'Testes estatísticos'!$D$81)/2,"")</f>
        <v/>
      </c>
      <c r="BZ255" s="7">
        <f>IF(77&gt;=77,('Testes estatísticos'!$D$82+'Testes estatísticos'!$D$82)/2,"")</f>
        <v>-6.0820209999999975</v>
      </c>
      <c r="CA255" s="7">
        <f>IF(78&gt;=77,('Testes estatísticos'!$D$82+'Testes estatísticos'!$D$83)/2,"")</f>
        <v>-4.3217619999999961</v>
      </c>
      <c r="CB255" s="7">
        <f>IF(79&gt;=77,('Testes estatísticos'!$D$82+'Testes estatísticos'!$D$84)/2,"")</f>
        <v>-4.2700394999999993</v>
      </c>
      <c r="CC255" s="7">
        <f>IF(80&gt;=77,('Testes estatísticos'!$D$82+'Testes estatísticos'!$D$85)/2,"")</f>
        <v>-6.0770559999999989</v>
      </c>
      <c r="CD255" s="7">
        <f>IF(81&gt;=77,('Testes estatísticos'!$D$82+'Testes estatísticos'!$D$86)/2,"")</f>
        <v>-6.1272009999999995</v>
      </c>
      <c r="CE255" s="7">
        <f>IF(82&gt;=77,('Testes estatísticos'!$D$82+'Testes estatísticos'!$D$87)/2,"")</f>
        <v>-4.0494105000000005</v>
      </c>
      <c r="CF255" s="7">
        <f>IF(83&gt;=77,('Testes estatísticos'!$D$82+'Testes estatísticos'!$D$88)/2,"")</f>
        <v>-4.5782175000000009</v>
      </c>
      <c r="CG255" s="7">
        <f>IF(84&gt;=77,('Testes estatísticos'!$D$82+'Testes estatísticos'!$D$89)/2,"")</f>
        <v>-4.9101244999999984</v>
      </c>
      <c r="CH255" s="7">
        <f>IF(85&gt;=77,('Testes estatísticos'!$D$82+'Testes estatísticos'!$D$90)/2,"")</f>
        <v>-3.0945774999999998</v>
      </c>
      <c r="CI255" s="7">
        <f>IF(86&gt;=77,('Testes estatísticos'!$D$82+'Testes estatísticos'!$D$91)/2,"")</f>
        <v>-5.7847369999999962</v>
      </c>
      <c r="CJ255" s="7">
        <f>IF(87&gt;=77,('Testes estatísticos'!$D$82+'Testes estatísticos'!$D$92)/2,"")</f>
        <v>-4.542530499999998</v>
      </c>
      <c r="CK255" s="7">
        <f>IF(88&gt;=77,('Testes estatísticos'!$D$82+'Testes estatísticos'!$D$93)/2,"")</f>
        <v>-4.2984469999999995</v>
      </c>
      <c r="CL255" s="7">
        <f>IF(89&gt;=77,('Testes estatísticos'!$D$82+'Testes estatísticos'!$D$94)/2,"")</f>
        <v>-4.9100390000000012</v>
      </c>
      <c r="CM255" s="7">
        <f>IF(90&gt;=77,('Testes estatísticos'!$D$82+'Testes estatísticos'!$D$95)/2,"")</f>
        <v>-7.2441709999999979</v>
      </c>
      <c r="CN255" s="7">
        <f>IF(91&gt;=77,('Testes estatísticos'!$D$82+'Testes estatísticos'!$D$96)/2,"")</f>
        <v>-4.7056479999999965</v>
      </c>
      <c r="CO255" s="7">
        <f>IF(92&gt;=77,('Testes estatísticos'!$D$82+'Testes estatísticos'!$D$97)/2,"")</f>
        <v>-5.0521514999999972</v>
      </c>
      <c r="CP255" s="7">
        <f>IF(93&gt;=77,('Testes estatísticos'!$D$82+'Testes estatísticos'!$D$98)/2,"")</f>
        <v>-5.2569034999999964</v>
      </c>
      <c r="CQ255" s="7">
        <f>IF(94&gt;=77,('Testes estatísticos'!$D$82+'Testes estatísticos'!$D$99)/2,"")</f>
        <v>-3.0757455</v>
      </c>
      <c r="CR255" s="7">
        <f>IF(95&gt;=77,('Testes estatísticos'!$D$82+'Testes estatísticos'!$D$100)/2,"")</f>
        <v>-4.9815384999999992</v>
      </c>
      <c r="CS255" s="7">
        <f>IF(96&gt;=77,('Testes estatísticos'!$D$82+'Testes estatísticos'!$D$101)/2,"")</f>
        <v>-4.9375515000000014</v>
      </c>
      <c r="CT255" s="7">
        <f>IF(97&gt;=77,('Testes estatísticos'!$D$82+'Testes estatísticos'!$D$102)/2,"")</f>
        <v>-4.7045010000000005</v>
      </c>
      <c r="CU255" s="7">
        <f>IF(98&gt;=77,('Testes estatísticos'!$D$82+'Testes estatísticos'!$D$103)/2,"")</f>
        <v>-4.6471749999999972</v>
      </c>
      <c r="CV255" s="7">
        <f>IF(99&gt;=77,('Testes estatísticos'!$D$82+'Testes estatísticos'!$D$104)/2,"")</f>
        <v>-5.0820009999999982</v>
      </c>
      <c r="CW255" s="7">
        <f>IF(100&gt;=77,('Testes estatísticos'!$D$82+'Testes estatísticos'!$D$105)/2,"")</f>
        <v>-5.1814669999999978</v>
      </c>
      <c r="CX255" s="7">
        <f>IF(101&gt;=77,('Testes estatísticos'!$D$82+'Testes estatísticos'!$D$106)/2,"")</f>
        <v>-4.6585404999999973</v>
      </c>
      <c r="CY255" s="7">
        <f>IF(102&gt;=77,('Testes estatísticos'!$D$82+'Testes estatísticos'!$D$107)/2,"")</f>
        <v>-4.7142054999999985</v>
      </c>
      <c r="CZ255" s="7">
        <f>IF(103&gt;=77,('Testes estatísticos'!$D$82+'Testes estatísticos'!$D$108)/2,"")</f>
        <v>-5.2383719999999983</v>
      </c>
      <c r="DA255" s="7">
        <f>IF(104&gt;=77,('Testes estatísticos'!$D$82+'Testes estatísticos'!$D$109)/2,"")</f>
        <v>-4.9757379999999962</v>
      </c>
      <c r="DB255" s="7">
        <f>IF(105&gt;=77,('Testes estatísticos'!$D$82+'Testes estatísticos'!$D$110)/2,"")</f>
        <v>-4.9414069999999981</v>
      </c>
      <c r="DC255" s="7">
        <f>IF(106&gt;=77,('Testes estatísticos'!$D$82+'Testes estatísticos'!$D$111)/2,"")</f>
        <v>-4.1984859999999991</v>
      </c>
      <c r="DD255" s="7">
        <f>IF(107&gt;=77,('Testes estatísticos'!$D$82+'Testes estatísticos'!$D$112)/2,"")</f>
        <v>-0.7053149999999988</v>
      </c>
      <c r="DE255" s="7">
        <f>IF(108&gt;=77,('Testes estatísticos'!$D$82+'Testes estatísticos'!$D$113)/2,"")</f>
        <v>-4.1279504999999972</v>
      </c>
      <c r="DF255" s="7">
        <f>IF(109&gt;=77,('Testes estatísticos'!$D$82+'Testes estatísticos'!$D$114)/2,"")</f>
        <v>-4.1642074999999963</v>
      </c>
      <c r="DG255" s="7">
        <f>IF(110&gt;=77,('Testes estatísticos'!$D$82+'Testes estatísticos'!$D$115)/2,"")</f>
        <v>-9.711347</v>
      </c>
      <c r="DH255" s="7">
        <f>IF(111&gt;=77,('Testes estatísticos'!$D$82+'Testes estatísticos'!$D$116)/2,"")</f>
        <v>-4.0305164999999974</v>
      </c>
      <c r="DI255" s="7">
        <f>IF(112&gt;=77,('Testes estatísticos'!$D$82+'Testes estatísticos'!$D$117)/2,"")</f>
        <v>1.397923500000001</v>
      </c>
      <c r="DJ255" s="7">
        <f>IF(113&gt;=77,('Testes estatísticos'!$D$82+'Testes estatísticos'!$D$118)/2,"")</f>
        <v>-4.0586334999999991</v>
      </c>
      <c r="DK255" s="7">
        <f>IF(114&gt;=77,('Testes estatísticos'!$D$82+'Testes estatísticos'!$D$119)/2,"")</f>
        <v>-4.1603834999999982</v>
      </c>
      <c r="DL255" s="7">
        <f>IF(115&gt;=77,('Testes estatísticos'!$D$82+'Testes estatísticos'!$D$120)/2,"")</f>
        <v>-4.1139059999999965</v>
      </c>
      <c r="DM255" s="7">
        <f>IF(116&gt;=77,('Testes estatísticos'!$D$82+'Testes estatísticos'!$D$121)/2,"")</f>
        <v>-4.105303499999998</v>
      </c>
      <c r="DN255" s="7">
        <f>IF(117&gt;=77,('Testes estatísticos'!$D$82+'Testes estatísticos'!$D$122)/2,"")</f>
        <v>-4.0822354999999995</v>
      </c>
      <c r="DO255" s="7">
        <f>IF(118&gt;=77,('Testes estatísticos'!$D$82+'Testes estatísticos'!$D$123)/2,"")</f>
        <v>-4.0323250000000002</v>
      </c>
      <c r="DP255" s="7">
        <f>IF(119&gt;=77,('Testes estatísticos'!$D$82+'Testes estatísticos'!$D$124)/2,"")</f>
        <v>-4.0535364999999999</v>
      </c>
      <c r="DQ255" s="7">
        <f>IF(120&gt;=77,('Testes estatísticos'!$D$82+'Testes estatísticos'!$D$125)/2,"")</f>
        <v>-1.0019219999999969</v>
      </c>
      <c r="DR255" s="7">
        <f>IF(121&gt;=77,('Testes estatísticos'!$D$82+'Testes estatísticos'!$D$126)/2,"")</f>
        <v>-3.7909384999999993</v>
      </c>
      <c r="DS255" s="7">
        <f>IF(122&gt;=77,('Testes estatísticos'!$D$82+'Testes estatísticos'!$D$127)/2,"")</f>
        <v>-4.856346999999996</v>
      </c>
      <c r="DT255" s="7">
        <f>IF(123&gt;=77,('Testes estatísticos'!$D$82+'Testes estatísticos'!$D$128)/2,"")</f>
        <v>1.2125224999999986</v>
      </c>
      <c r="DU255" s="7">
        <f>IF(124&gt;=77,('Testes estatísticos'!$D$82+'Testes estatísticos'!$D$129)/2,"")</f>
        <v>-3.683249</v>
      </c>
      <c r="DV255" s="7">
        <f>IF(125&gt;=77,('Testes estatísticos'!$D$82+'Testes estatísticos'!$D$130)/2,"")</f>
        <v>-2.5249415000000006</v>
      </c>
      <c r="DW255" s="7">
        <f>IF(126&gt;=77,('Testes estatísticos'!$D$82+'Testes estatísticos'!$D$131)/2,"")</f>
        <v>-4.9284174999999983</v>
      </c>
      <c r="DX255" s="7">
        <f>IF(127&gt;=77,('Testes estatísticos'!$D$82+'Testes estatísticos'!$D$132)/2,"")</f>
        <v>-6.984608999999999</v>
      </c>
      <c r="DY255" s="7">
        <f>IF(128&gt;=77,('Testes estatísticos'!$D$82+'Testes estatísticos'!$D$133)/2,"")</f>
        <v>-7.3256984999999979</v>
      </c>
      <c r="DZ255" s="7">
        <f>IF(129&gt;=77,('Testes estatísticos'!$D$82+'Testes estatísticos'!$D$134)/2,"")</f>
        <v>-10.749488499999998</v>
      </c>
      <c r="EA255" s="7">
        <f>IF(130&gt;=77,('Testes estatísticos'!$D$82+'Testes estatísticos'!$D$135)/2,"")</f>
        <v>-4.9877184999999962</v>
      </c>
      <c r="EB255" s="7">
        <f>IF(131&gt;=77,('Testes estatísticos'!$D$82+'Testes estatísticos'!$D$136)/2,"")</f>
        <v>-4.8998455000000014</v>
      </c>
      <c r="EC255" s="7">
        <f>IF(132&gt;=77,('Testes estatísticos'!$D$82+'Testes estatísticos'!$D$137)/2,"")</f>
        <v>-6.3865820000000006</v>
      </c>
      <c r="ED255" s="7">
        <f>IF(133&gt;=77,('Testes estatísticos'!$D$82+'Testes estatísticos'!$D$138)/2,"")</f>
        <v>-4.1976444999999991</v>
      </c>
      <c r="EE255" s="7">
        <f>IF(134&gt;=77,('Testes estatísticos'!$D$82+'Testes estatísticos'!$D$139)/2,"")</f>
        <v>-6.4948350000000019</v>
      </c>
      <c r="EF255" s="7">
        <f>IF(135&gt;=77,('Testes estatísticos'!$D$82+'Testes estatísticos'!$D$140)/2,"")</f>
        <v>-3.2804024999999974</v>
      </c>
      <c r="EG255" s="7">
        <f>IF(136&gt;=77,('Testes estatísticos'!$D$82+'Testes estatísticos'!$D$141)/2,"")</f>
        <v>-4.9738925000000016</v>
      </c>
      <c r="EH255" s="7">
        <f>IF(137&gt;=77,('Testes estatísticos'!$D$82+'Testes estatísticos'!$D$142)/2,"")</f>
        <v>-3.2691525000000006</v>
      </c>
      <c r="EI255" s="7">
        <f>IF(138&gt;=77,('Testes estatísticos'!$D$82+'Testes estatísticos'!$D$143)/2,"")</f>
        <v>-4.9341679999999961</v>
      </c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</row>
    <row r="256" spans="2:151" x14ac:dyDescent="0.3">
      <c r="B256" s="7" t="str">
        <f>IF(1&gt;=78,('Testes estatísticos'!$D$83+'Testes estatísticos'!$D$6)/2,"")</f>
        <v/>
      </c>
      <c r="C256" s="7" t="str">
        <f>IF(2&gt;=78,('Testes estatísticos'!$D$83+'Testes estatísticos'!$D$7)/2,"")</f>
        <v/>
      </c>
      <c r="D256" s="7" t="str">
        <f>IF(3&gt;=78,('Testes estatísticos'!$D$83+'Testes estatísticos'!$D$8)/2,"")</f>
        <v/>
      </c>
      <c r="E256" s="7" t="str">
        <f>IF(4&gt;=78,('Testes estatísticos'!$D$83+'Testes estatísticos'!$D$9)/2,"")</f>
        <v/>
      </c>
      <c r="F256" s="7" t="str">
        <f>IF(5&gt;=78,('Testes estatísticos'!$D$83+'Testes estatísticos'!$D$10)/2,"")</f>
        <v/>
      </c>
      <c r="G256" s="7" t="str">
        <f>IF(6&gt;=78,('Testes estatísticos'!$D$83+'Testes estatísticos'!$D$11)/2,"")</f>
        <v/>
      </c>
      <c r="H256" s="7" t="str">
        <f>IF(7&gt;=78,('Testes estatísticos'!$D$83+'Testes estatísticos'!$D$12)/2,"")</f>
        <v/>
      </c>
      <c r="I256" s="7" t="str">
        <f>IF(8&gt;=78,('Testes estatísticos'!$D$83+'Testes estatísticos'!$D$13)/2,"")</f>
        <v/>
      </c>
      <c r="J256" s="7" t="str">
        <f>IF(9&gt;=78,('Testes estatísticos'!$D$83+'Testes estatísticos'!$D$14)/2,"")</f>
        <v/>
      </c>
      <c r="K256" s="7" t="str">
        <f>IF(10&gt;=78,('Testes estatísticos'!$D$83+'Testes estatísticos'!$D$15)/2,"")</f>
        <v/>
      </c>
      <c r="L256" s="7" t="str">
        <f>IF(11&gt;=78,('Testes estatísticos'!$D$83+'Testes estatísticos'!$D$16)/2,"")</f>
        <v/>
      </c>
      <c r="M256" s="7" t="str">
        <f>IF(12&gt;=78,('Testes estatísticos'!$D$83+'Testes estatísticos'!$D$17)/2,"")</f>
        <v/>
      </c>
      <c r="N256" s="7" t="str">
        <f>IF(13&gt;=78,('Testes estatísticos'!$D$83+'Testes estatísticos'!$D$18)/2,"")</f>
        <v/>
      </c>
      <c r="O256" s="7" t="str">
        <f>IF(14&gt;=78,('Testes estatísticos'!$D$83+'Testes estatísticos'!$D$19)/2,"")</f>
        <v/>
      </c>
      <c r="P256" s="7" t="str">
        <f>IF(15&gt;=78,('Testes estatísticos'!$D$83+'Testes estatísticos'!$D$20)/2,"")</f>
        <v/>
      </c>
      <c r="Q256" s="7" t="str">
        <f>IF(16&gt;=78,('Testes estatísticos'!$D$83+'Testes estatísticos'!$D$21)/2,"")</f>
        <v/>
      </c>
      <c r="R256" s="7" t="str">
        <f>IF(17&gt;=78,('Testes estatísticos'!$D$83+'Testes estatísticos'!$D$22)/2,"")</f>
        <v/>
      </c>
      <c r="S256" s="7" t="str">
        <f>IF(18&gt;=78,('Testes estatísticos'!$D$83+'Testes estatísticos'!$D$23)/2,"")</f>
        <v/>
      </c>
      <c r="T256" s="7" t="str">
        <f>IF(19&gt;=78,('Testes estatísticos'!$D$83+'Testes estatísticos'!$D$24)/2,"")</f>
        <v/>
      </c>
      <c r="U256" s="7" t="str">
        <f>IF(20&gt;=78,('Testes estatísticos'!$D$83+'Testes estatísticos'!$D$25)/2,"")</f>
        <v/>
      </c>
      <c r="V256" s="7" t="str">
        <f>IF(21&gt;=78,('Testes estatísticos'!$D$83+'Testes estatísticos'!$D$26)/2,"")</f>
        <v/>
      </c>
      <c r="W256" s="7" t="str">
        <f>IF(22&gt;=78,('Testes estatísticos'!$D$83+'Testes estatísticos'!$D$27)/2,"")</f>
        <v/>
      </c>
      <c r="X256" s="7" t="str">
        <f>IF(23&gt;=78,('Testes estatísticos'!$D$83+'Testes estatísticos'!$D$28)/2,"")</f>
        <v/>
      </c>
      <c r="Y256" s="7" t="str">
        <f>IF(24&gt;=78,('Testes estatísticos'!$D$83+'Testes estatísticos'!$D$29)/2,"")</f>
        <v/>
      </c>
      <c r="Z256" s="7" t="str">
        <f>IF(25&gt;=78,('Testes estatísticos'!$D$83+'Testes estatísticos'!$D$30)/2,"")</f>
        <v/>
      </c>
      <c r="AA256" s="7" t="str">
        <f>IF(26&gt;=78,('Testes estatísticos'!$D$83+'Testes estatísticos'!$D$31)/2,"")</f>
        <v/>
      </c>
      <c r="AB256" s="7" t="str">
        <f>IF(27&gt;=78,('Testes estatísticos'!$D$83+'Testes estatísticos'!$D$32)/2,"")</f>
        <v/>
      </c>
      <c r="AC256" s="7" t="str">
        <f>IF(28&gt;=78,('Testes estatísticos'!$D$83+'Testes estatísticos'!$D$33)/2,"")</f>
        <v/>
      </c>
      <c r="AD256" s="7" t="str">
        <f>IF(29&gt;=78,('Testes estatísticos'!$D$83+'Testes estatísticos'!$D$34)/2,"")</f>
        <v/>
      </c>
      <c r="AE256" s="7" t="str">
        <f>IF(30&gt;=78,('Testes estatísticos'!$D$83+'Testes estatísticos'!$D$35)/2,"")</f>
        <v/>
      </c>
      <c r="AF256" s="7" t="str">
        <f>IF(31&gt;=78,('Testes estatísticos'!$D$83+'Testes estatísticos'!$D$36)/2,"")</f>
        <v/>
      </c>
      <c r="AG256" s="7" t="str">
        <f>IF(32&gt;=78,('Testes estatísticos'!$D$83+'Testes estatísticos'!$D$37)/2,"")</f>
        <v/>
      </c>
      <c r="AH256" s="7" t="str">
        <f>IF(33&gt;=78,('Testes estatísticos'!$D$83+'Testes estatísticos'!$D$38)/2,"")</f>
        <v/>
      </c>
      <c r="AI256" s="7" t="str">
        <f>IF(34&gt;=78,('Testes estatísticos'!$D$83+'Testes estatísticos'!$D$39)/2,"")</f>
        <v/>
      </c>
      <c r="AJ256" s="7" t="str">
        <f>IF(35&gt;=78,('Testes estatísticos'!$D$83+'Testes estatísticos'!$D$40)/2,"")</f>
        <v/>
      </c>
      <c r="AK256" s="7" t="str">
        <f>IF(36&gt;=78,('Testes estatísticos'!$D$83+'Testes estatísticos'!$D$41)/2,"")</f>
        <v/>
      </c>
      <c r="AL256" s="7" t="str">
        <f>IF(37&gt;=78,('Testes estatísticos'!$D$83+'Testes estatísticos'!$D$42)/2,"")</f>
        <v/>
      </c>
      <c r="AM256" s="7" t="str">
        <f>IF(38&gt;=78,('Testes estatísticos'!$D$83+'Testes estatísticos'!$D$43)/2,"")</f>
        <v/>
      </c>
      <c r="AN256" s="7" t="str">
        <f>IF(39&gt;=78,('Testes estatísticos'!$D$83+'Testes estatísticos'!$D$44)/2,"")</f>
        <v/>
      </c>
      <c r="AO256" s="7" t="str">
        <f>IF(40&gt;=78,('Testes estatísticos'!$D$83+'Testes estatísticos'!$D$45)/2,"")</f>
        <v/>
      </c>
      <c r="AP256" s="7" t="str">
        <f>IF(41&gt;=78,('Testes estatísticos'!$D$83+'Testes estatísticos'!$D$46)/2,"")</f>
        <v/>
      </c>
      <c r="AQ256" s="7" t="str">
        <f>IF(42&gt;=78,('Testes estatísticos'!$D$83+'Testes estatísticos'!$D$47)/2,"")</f>
        <v/>
      </c>
      <c r="AR256" s="7" t="str">
        <f>IF(43&gt;=78,('Testes estatísticos'!$D$83+'Testes estatísticos'!$D$48)/2,"")</f>
        <v/>
      </c>
      <c r="AS256" s="7" t="str">
        <f>IF(44&gt;=78,('Testes estatísticos'!$D$83+'Testes estatísticos'!$D$49)/2,"")</f>
        <v/>
      </c>
      <c r="AT256" s="7" t="str">
        <f>IF(45&gt;=78,('Testes estatísticos'!$D$83+'Testes estatísticos'!$D$50)/2,"")</f>
        <v/>
      </c>
      <c r="AU256" s="7" t="str">
        <f>IF(46&gt;=78,('Testes estatísticos'!$D$83+'Testes estatísticos'!$D$51)/2,"")</f>
        <v/>
      </c>
      <c r="AV256" s="7" t="str">
        <f>IF(47&gt;=78,('Testes estatísticos'!$D$83+'Testes estatísticos'!$D$52)/2,"")</f>
        <v/>
      </c>
      <c r="AW256" s="7" t="str">
        <f>IF(48&gt;=78,('Testes estatísticos'!$D$83+'Testes estatísticos'!$D$53)/2,"")</f>
        <v/>
      </c>
      <c r="AX256" s="7" t="str">
        <f>IF(49&gt;=78,('Testes estatísticos'!$D$83+'Testes estatísticos'!$D$54)/2,"")</f>
        <v/>
      </c>
      <c r="AY256" s="7" t="str">
        <f>IF(50&gt;=78,('Testes estatísticos'!$D$83+'Testes estatísticos'!$D$55)/2,"")</f>
        <v/>
      </c>
      <c r="AZ256" s="7" t="str">
        <f>IF(51&gt;=78,('Testes estatísticos'!$D$83+'Testes estatísticos'!$D$56)/2,"")</f>
        <v/>
      </c>
      <c r="BA256" s="7" t="str">
        <f>IF(52&gt;=78,('Testes estatísticos'!$D$83+'Testes estatísticos'!$D$57)/2,"")</f>
        <v/>
      </c>
      <c r="BB256" s="7" t="str">
        <f>IF(53&gt;=78,('Testes estatísticos'!$D$83+'Testes estatísticos'!$D$58)/2,"")</f>
        <v/>
      </c>
      <c r="BC256" s="7" t="str">
        <f>IF(54&gt;=78,('Testes estatísticos'!$D$83+'Testes estatísticos'!$D$59)/2,"")</f>
        <v/>
      </c>
      <c r="BD256" s="7" t="str">
        <f>IF(55&gt;=78,('Testes estatísticos'!$D$83+'Testes estatísticos'!$D$60)/2,"")</f>
        <v/>
      </c>
      <c r="BE256" s="7" t="str">
        <f>IF(56&gt;=78,('Testes estatísticos'!$D$83+'Testes estatísticos'!$D$61)/2,"")</f>
        <v/>
      </c>
      <c r="BF256" s="7" t="str">
        <f>IF(57&gt;=78,('Testes estatísticos'!$D$83+'Testes estatísticos'!$D$62)/2,"")</f>
        <v/>
      </c>
      <c r="BG256" s="7" t="str">
        <f>IF(58&gt;=78,('Testes estatísticos'!$D$83+'Testes estatísticos'!$D$63)/2,"")</f>
        <v/>
      </c>
      <c r="BH256" s="7" t="str">
        <f>IF(59&gt;=78,('Testes estatísticos'!$D$83+'Testes estatísticos'!$D$64)/2,"")</f>
        <v/>
      </c>
      <c r="BI256" s="7" t="str">
        <f>IF(60&gt;=78,('Testes estatísticos'!$D$83+'Testes estatísticos'!$D$65)/2,"")</f>
        <v/>
      </c>
      <c r="BJ256" s="7" t="str">
        <f>IF(61&gt;=78,('Testes estatísticos'!$D$83+'Testes estatísticos'!$D$66)/2,"")</f>
        <v/>
      </c>
      <c r="BK256" s="7" t="str">
        <f>IF(62&gt;=78,('Testes estatísticos'!$D$83+'Testes estatísticos'!$D$67)/2,"")</f>
        <v/>
      </c>
      <c r="BL256" s="7" t="str">
        <f>IF(63&gt;=78,('Testes estatísticos'!$D$83+'Testes estatísticos'!$D$68)/2,"")</f>
        <v/>
      </c>
      <c r="BM256" s="7" t="str">
        <f>IF(64&gt;=78,('Testes estatísticos'!$D$83+'Testes estatísticos'!$D$69)/2,"")</f>
        <v/>
      </c>
      <c r="BN256" s="7" t="str">
        <f>IF(65&gt;=78,('Testes estatísticos'!$D$83+'Testes estatísticos'!$D$70)/2,"")</f>
        <v/>
      </c>
      <c r="BO256" s="7" t="str">
        <f>IF(66&gt;=78,('Testes estatísticos'!$D$83+'Testes estatísticos'!$D$71)/2,"")</f>
        <v/>
      </c>
      <c r="BP256" s="7" t="str">
        <f>IF(67&gt;=78,('Testes estatísticos'!$D$83+'Testes estatísticos'!$D$72)/2,"")</f>
        <v/>
      </c>
      <c r="BQ256" s="7" t="str">
        <f>IF(68&gt;=78,('Testes estatísticos'!$D$83+'Testes estatísticos'!$D$73)/2,"")</f>
        <v/>
      </c>
      <c r="BR256" s="7" t="str">
        <f>IF(69&gt;=78,('Testes estatísticos'!$D$83+'Testes estatísticos'!$D$74)/2,"")</f>
        <v/>
      </c>
      <c r="BS256" s="7" t="str">
        <f>IF(70&gt;=78,('Testes estatísticos'!$D$83+'Testes estatísticos'!$D$75)/2,"")</f>
        <v/>
      </c>
      <c r="BT256" s="7" t="str">
        <f>IF(71&gt;=78,('Testes estatísticos'!$D$83+'Testes estatísticos'!$D$76)/2,"")</f>
        <v/>
      </c>
      <c r="BU256" s="7" t="str">
        <f>IF(72&gt;=78,('Testes estatísticos'!$D$83+'Testes estatísticos'!$D$77)/2,"")</f>
        <v/>
      </c>
      <c r="BV256" s="7" t="str">
        <f>IF(73&gt;=78,('Testes estatísticos'!$D$83+'Testes estatísticos'!$D$78)/2,"")</f>
        <v/>
      </c>
      <c r="BW256" s="7" t="str">
        <f>IF(74&gt;=78,('Testes estatísticos'!$D$83+'Testes estatísticos'!$D$79)/2,"")</f>
        <v/>
      </c>
      <c r="BX256" s="7" t="str">
        <f>IF(75&gt;=78,('Testes estatísticos'!$D$83+'Testes estatísticos'!$D$80)/2,"")</f>
        <v/>
      </c>
      <c r="BY256" s="7" t="str">
        <f>IF(76&gt;=78,('Testes estatísticos'!$D$83+'Testes estatísticos'!$D$81)/2,"")</f>
        <v/>
      </c>
      <c r="BZ256" s="7" t="str">
        <f>IF(77&gt;=78,('Testes estatísticos'!$D$83+'Testes estatísticos'!$D$82)/2,"")</f>
        <v/>
      </c>
      <c r="CA256" s="7">
        <f>IF(78&gt;=78,('Testes estatísticos'!$D$83+'Testes estatísticos'!$D$83)/2,"")</f>
        <v>-2.5615029999999948</v>
      </c>
      <c r="CB256" s="7">
        <f>IF(79&gt;=78,('Testes estatísticos'!$D$83+'Testes estatísticos'!$D$84)/2,"")</f>
        <v>-2.509780499999998</v>
      </c>
      <c r="CC256" s="7">
        <f>IF(80&gt;=78,('Testes estatísticos'!$D$83+'Testes estatísticos'!$D$85)/2,"")</f>
        <v>-4.3167969999999976</v>
      </c>
      <c r="CD256" s="7">
        <f>IF(81&gt;=78,('Testes estatísticos'!$D$83+'Testes estatísticos'!$D$86)/2,"")</f>
        <v>-4.3669419999999981</v>
      </c>
      <c r="CE256" s="7">
        <f>IF(82&gt;=78,('Testes estatísticos'!$D$83+'Testes estatísticos'!$D$87)/2,"")</f>
        <v>-2.2891514999999991</v>
      </c>
      <c r="CF256" s="7">
        <f>IF(83&gt;=78,('Testes estatísticos'!$D$83+'Testes estatísticos'!$D$88)/2,"")</f>
        <v>-2.8179584999999996</v>
      </c>
      <c r="CG256" s="7">
        <f>IF(84&gt;=78,('Testes estatísticos'!$D$83+'Testes estatísticos'!$D$89)/2,"")</f>
        <v>-3.1498654999999971</v>
      </c>
      <c r="CH256" s="7">
        <f>IF(85&gt;=78,('Testes estatísticos'!$D$83+'Testes estatísticos'!$D$90)/2,"")</f>
        <v>-1.3343184999999984</v>
      </c>
      <c r="CI256" s="7">
        <f>IF(86&gt;=78,('Testes estatísticos'!$D$83+'Testes estatísticos'!$D$91)/2,"")</f>
        <v>-4.0244779999999949</v>
      </c>
      <c r="CJ256" s="7">
        <f>IF(87&gt;=78,('Testes estatísticos'!$D$83+'Testes estatísticos'!$D$92)/2,"")</f>
        <v>-2.7822714999999967</v>
      </c>
      <c r="CK256" s="7">
        <f>IF(88&gt;=78,('Testes estatísticos'!$D$83+'Testes estatísticos'!$D$93)/2,"")</f>
        <v>-2.5381879999999981</v>
      </c>
      <c r="CL256" s="7">
        <f>IF(89&gt;=78,('Testes estatísticos'!$D$83+'Testes estatísticos'!$D$94)/2,"")</f>
        <v>-3.1497799999999998</v>
      </c>
      <c r="CM256" s="7">
        <f>IF(90&gt;=78,('Testes estatísticos'!$D$83+'Testes estatísticos'!$D$95)/2,"")</f>
        <v>-5.4839119999999966</v>
      </c>
      <c r="CN256" s="7">
        <f>IF(91&gt;=78,('Testes estatísticos'!$D$83+'Testes estatísticos'!$D$96)/2,"")</f>
        <v>-2.9453889999999951</v>
      </c>
      <c r="CO256" s="7">
        <f>IF(92&gt;=78,('Testes estatísticos'!$D$83+'Testes estatísticos'!$D$97)/2,"")</f>
        <v>-3.2918924999999959</v>
      </c>
      <c r="CP256" s="7">
        <f>IF(93&gt;=78,('Testes estatísticos'!$D$83+'Testes estatísticos'!$D$98)/2,"")</f>
        <v>-3.496644499999995</v>
      </c>
      <c r="CQ256" s="7">
        <f>IF(94&gt;=78,('Testes estatísticos'!$D$83+'Testes estatísticos'!$D$99)/2,"")</f>
        <v>-1.3154864999999987</v>
      </c>
      <c r="CR256" s="7">
        <f>IF(95&gt;=78,('Testes estatísticos'!$D$83+'Testes estatísticos'!$D$100)/2,"")</f>
        <v>-3.2212794999999979</v>
      </c>
      <c r="CS256" s="7">
        <f>IF(96&gt;=78,('Testes estatísticos'!$D$83+'Testes estatísticos'!$D$101)/2,"")</f>
        <v>-3.1772925000000001</v>
      </c>
      <c r="CT256" s="7">
        <f>IF(97&gt;=78,('Testes estatísticos'!$D$83+'Testes estatísticos'!$D$102)/2,"")</f>
        <v>-2.9442419999999991</v>
      </c>
      <c r="CU256" s="7">
        <f>IF(98&gt;=78,('Testes estatísticos'!$D$83+'Testes estatísticos'!$D$103)/2,"")</f>
        <v>-2.8869159999999958</v>
      </c>
      <c r="CV256" s="7">
        <f>IF(99&gt;=78,('Testes estatísticos'!$D$83+'Testes estatísticos'!$D$104)/2,"")</f>
        <v>-3.3217419999999969</v>
      </c>
      <c r="CW256" s="7">
        <f>IF(100&gt;=78,('Testes estatísticos'!$D$83+'Testes estatísticos'!$D$105)/2,"")</f>
        <v>-3.4212079999999965</v>
      </c>
      <c r="CX256" s="7">
        <f>IF(101&gt;=78,('Testes estatísticos'!$D$83+'Testes estatísticos'!$D$106)/2,"")</f>
        <v>-2.898281499999996</v>
      </c>
      <c r="CY256" s="7">
        <f>IF(102&gt;=78,('Testes estatísticos'!$D$83+'Testes estatísticos'!$D$107)/2,"")</f>
        <v>-2.9539464999999971</v>
      </c>
      <c r="CZ256" s="7">
        <f>IF(103&gt;=78,('Testes estatísticos'!$D$83+'Testes estatísticos'!$D$108)/2,"")</f>
        <v>-3.4781129999999969</v>
      </c>
      <c r="DA256" s="7">
        <f>IF(104&gt;=78,('Testes estatísticos'!$D$83+'Testes estatísticos'!$D$109)/2,"")</f>
        <v>-3.2154789999999949</v>
      </c>
      <c r="DB256" s="7">
        <f>IF(105&gt;=78,('Testes estatísticos'!$D$83+'Testes estatísticos'!$D$110)/2,"")</f>
        <v>-3.1811479999999968</v>
      </c>
      <c r="DC256" s="7">
        <f>IF(106&gt;=78,('Testes estatísticos'!$D$83+'Testes estatísticos'!$D$111)/2,"")</f>
        <v>-2.4382269999999977</v>
      </c>
      <c r="DD256" s="7">
        <f>IF(107&gt;=78,('Testes estatísticos'!$D$83+'Testes estatísticos'!$D$112)/2,"")</f>
        <v>1.0549440000000025</v>
      </c>
      <c r="DE256" s="7">
        <f>IF(108&gt;=78,('Testes estatísticos'!$D$83+'Testes estatísticos'!$D$113)/2,"")</f>
        <v>-2.3676914999999958</v>
      </c>
      <c r="DF256" s="7">
        <f>IF(109&gt;=78,('Testes estatísticos'!$D$83+'Testes estatísticos'!$D$114)/2,"")</f>
        <v>-2.4039484999999949</v>
      </c>
      <c r="DG256" s="7">
        <f>IF(110&gt;=78,('Testes estatísticos'!$D$83+'Testes estatísticos'!$D$115)/2,"")</f>
        <v>-7.9510879999999986</v>
      </c>
      <c r="DH256" s="7">
        <f>IF(111&gt;=78,('Testes estatísticos'!$D$83+'Testes estatísticos'!$D$116)/2,"")</f>
        <v>-2.270257499999996</v>
      </c>
      <c r="DI256" s="7">
        <f>IF(112&gt;=78,('Testes estatísticos'!$D$83+'Testes estatísticos'!$D$117)/2,"")</f>
        <v>3.1581825000000023</v>
      </c>
      <c r="DJ256" s="7">
        <f>IF(113&gt;=78,('Testes estatísticos'!$D$83+'Testes estatísticos'!$D$118)/2,"")</f>
        <v>-2.2983744999999978</v>
      </c>
      <c r="DK256" s="7">
        <f>IF(114&gt;=78,('Testes estatísticos'!$D$83+'Testes estatísticos'!$D$119)/2,"")</f>
        <v>-2.4001244999999969</v>
      </c>
      <c r="DL256" s="7">
        <f>IF(115&gt;=78,('Testes estatísticos'!$D$83+'Testes estatísticos'!$D$120)/2,"")</f>
        <v>-2.3536469999999952</v>
      </c>
      <c r="DM256" s="7">
        <f>IF(116&gt;=78,('Testes estatísticos'!$D$83+'Testes estatísticos'!$D$121)/2,"")</f>
        <v>-2.3450444999999966</v>
      </c>
      <c r="DN256" s="7">
        <f>IF(117&gt;=78,('Testes estatísticos'!$D$83+'Testes estatísticos'!$D$122)/2,"")</f>
        <v>-2.3219764999999981</v>
      </c>
      <c r="DO256" s="7">
        <f>IF(118&gt;=78,('Testes estatísticos'!$D$83+'Testes estatísticos'!$D$123)/2,"")</f>
        <v>-2.2720659999999988</v>
      </c>
      <c r="DP256" s="7">
        <f>IF(119&gt;=78,('Testes estatísticos'!$D$83+'Testes estatísticos'!$D$124)/2,"")</f>
        <v>-2.2932774999999985</v>
      </c>
      <c r="DQ256" s="7">
        <f>IF(120&gt;=78,('Testes estatísticos'!$D$83+'Testes estatísticos'!$D$125)/2,"")</f>
        <v>0.75833700000000448</v>
      </c>
      <c r="DR256" s="7">
        <f>IF(121&gt;=78,('Testes estatísticos'!$D$83+'Testes estatísticos'!$D$126)/2,"")</f>
        <v>-2.030679499999998</v>
      </c>
      <c r="DS256" s="7">
        <f>IF(122&gt;=78,('Testes estatísticos'!$D$83+'Testes estatísticos'!$D$127)/2,"")</f>
        <v>-3.0960879999999946</v>
      </c>
      <c r="DT256" s="7">
        <f>IF(123&gt;=78,('Testes estatísticos'!$D$83+'Testes estatísticos'!$D$128)/2,"")</f>
        <v>2.9727815</v>
      </c>
      <c r="DU256" s="7">
        <f>IF(124&gt;=78,('Testes estatísticos'!$D$83+'Testes estatísticos'!$D$129)/2,"")</f>
        <v>-1.9229899999999986</v>
      </c>
      <c r="DV256" s="7">
        <f>IF(125&gt;=78,('Testes estatísticos'!$D$83+'Testes estatísticos'!$D$130)/2,"")</f>
        <v>-0.76468249999999927</v>
      </c>
      <c r="DW256" s="7">
        <f>IF(126&gt;=78,('Testes estatísticos'!$D$83+'Testes estatísticos'!$D$131)/2,"")</f>
        <v>-3.168158499999997</v>
      </c>
      <c r="DX256" s="7">
        <f>IF(127&gt;=78,('Testes estatísticos'!$D$83+'Testes estatísticos'!$D$132)/2,"")</f>
        <v>-5.2243499999999976</v>
      </c>
      <c r="DY256" s="7">
        <f>IF(128&gt;=78,('Testes estatísticos'!$D$83+'Testes estatísticos'!$D$133)/2,"")</f>
        <v>-5.5654394999999965</v>
      </c>
      <c r="DZ256" s="7">
        <f>IF(129&gt;=78,('Testes estatísticos'!$D$83+'Testes estatísticos'!$D$134)/2,"")</f>
        <v>-8.9892294999999969</v>
      </c>
      <c r="EA256" s="7">
        <f>IF(130&gt;=78,('Testes estatísticos'!$D$83+'Testes estatísticos'!$D$135)/2,"")</f>
        <v>-3.2274594999999948</v>
      </c>
      <c r="EB256" s="7">
        <f>IF(131&gt;=78,('Testes estatísticos'!$D$83+'Testes estatísticos'!$D$136)/2,"")</f>
        <v>-3.1395865000000001</v>
      </c>
      <c r="EC256" s="7">
        <f>IF(132&gt;=78,('Testes estatísticos'!$D$83+'Testes estatísticos'!$D$137)/2,"")</f>
        <v>-4.6263229999999993</v>
      </c>
      <c r="ED256" s="7">
        <f>IF(133&gt;=78,('Testes estatísticos'!$D$83+'Testes estatísticos'!$D$138)/2,"")</f>
        <v>-2.4373854999999978</v>
      </c>
      <c r="EE256" s="7">
        <f>IF(134&gt;=78,('Testes estatísticos'!$D$83+'Testes estatísticos'!$D$139)/2,"")</f>
        <v>-4.7345760000000006</v>
      </c>
      <c r="EF256" s="7">
        <f>IF(135&gt;=78,('Testes estatísticos'!$D$83+'Testes estatísticos'!$D$140)/2,"")</f>
        <v>-1.5201434999999961</v>
      </c>
      <c r="EG256" s="7">
        <f>IF(136&gt;=78,('Testes estatísticos'!$D$83+'Testes estatísticos'!$D$141)/2,"")</f>
        <v>-3.2136335000000003</v>
      </c>
      <c r="EH256" s="7">
        <f>IF(137&gt;=78,('Testes estatísticos'!$D$83+'Testes estatísticos'!$D$142)/2,"")</f>
        <v>-1.5088934999999992</v>
      </c>
      <c r="EI256" s="7">
        <f>IF(138&gt;=78,('Testes estatísticos'!$D$83+'Testes estatísticos'!$D$143)/2,"")</f>
        <v>-3.1739089999999948</v>
      </c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</row>
    <row r="257" spans="2:151" x14ac:dyDescent="0.3">
      <c r="B257" s="7" t="str">
        <f>IF(1&gt;=79,('Testes estatísticos'!$D$84+'Testes estatísticos'!$D$6)/2,"")</f>
        <v/>
      </c>
      <c r="C257" s="7" t="str">
        <f>IF(2&gt;=79,('Testes estatísticos'!$D$84+'Testes estatísticos'!$D$7)/2,"")</f>
        <v/>
      </c>
      <c r="D257" s="7" t="str">
        <f>IF(3&gt;=79,('Testes estatísticos'!$D$84+'Testes estatísticos'!$D$8)/2,"")</f>
        <v/>
      </c>
      <c r="E257" s="7" t="str">
        <f>IF(4&gt;=79,('Testes estatísticos'!$D$84+'Testes estatísticos'!$D$9)/2,"")</f>
        <v/>
      </c>
      <c r="F257" s="7" t="str">
        <f>IF(5&gt;=79,('Testes estatísticos'!$D$84+'Testes estatísticos'!$D$10)/2,"")</f>
        <v/>
      </c>
      <c r="G257" s="7" t="str">
        <f>IF(6&gt;=79,('Testes estatísticos'!$D$84+'Testes estatísticos'!$D$11)/2,"")</f>
        <v/>
      </c>
      <c r="H257" s="7" t="str">
        <f>IF(7&gt;=79,('Testes estatísticos'!$D$84+'Testes estatísticos'!$D$12)/2,"")</f>
        <v/>
      </c>
      <c r="I257" s="7" t="str">
        <f>IF(8&gt;=79,('Testes estatísticos'!$D$84+'Testes estatísticos'!$D$13)/2,"")</f>
        <v/>
      </c>
      <c r="J257" s="7" t="str">
        <f>IF(9&gt;=79,('Testes estatísticos'!$D$84+'Testes estatísticos'!$D$14)/2,"")</f>
        <v/>
      </c>
      <c r="K257" s="7" t="str">
        <f>IF(10&gt;=79,('Testes estatísticos'!$D$84+'Testes estatísticos'!$D$15)/2,"")</f>
        <v/>
      </c>
      <c r="L257" s="7" t="str">
        <f>IF(11&gt;=79,('Testes estatísticos'!$D$84+'Testes estatísticos'!$D$16)/2,"")</f>
        <v/>
      </c>
      <c r="M257" s="7" t="str">
        <f>IF(12&gt;=79,('Testes estatísticos'!$D$84+'Testes estatísticos'!$D$17)/2,"")</f>
        <v/>
      </c>
      <c r="N257" s="7" t="str">
        <f>IF(13&gt;=79,('Testes estatísticos'!$D$84+'Testes estatísticos'!$D$18)/2,"")</f>
        <v/>
      </c>
      <c r="O257" s="7" t="str">
        <f>IF(14&gt;=79,('Testes estatísticos'!$D$84+'Testes estatísticos'!$D$19)/2,"")</f>
        <v/>
      </c>
      <c r="P257" s="7" t="str">
        <f>IF(15&gt;=79,('Testes estatísticos'!$D$84+'Testes estatísticos'!$D$20)/2,"")</f>
        <v/>
      </c>
      <c r="Q257" s="7" t="str">
        <f>IF(16&gt;=79,('Testes estatísticos'!$D$84+'Testes estatísticos'!$D$21)/2,"")</f>
        <v/>
      </c>
      <c r="R257" s="7" t="str">
        <f>IF(17&gt;=79,('Testes estatísticos'!$D$84+'Testes estatísticos'!$D$22)/2,"")</f>
        <v/>
      </c>
      <c r="S257" s="7" t="str">
        <f>IF(18&gt;=79,('Testes estatísticos'!$D$84+'Testes estatísticos'!$D$23)/2,"")</f>
        <v/>
      </c>
      <c r="T257" s="7" t="str">
        <f>IF(19&gt;=79,('Testes estatísticos'!$D$84+'Testes estatísticos'!$D$24)/2,"")</f>
        <v/>
      </c>
      <c r="U257" s="7" t="str">
        <f>IF(20&gt;=79,('Testes estatísticos'!$D$84+'Testes estatísticos'!$D$25)/2,"")</f>
        <v/>
      </c>
      <c r="V257" s="7" t="str">
        <f>IF(21&gt;=79,('Testes estatísticos'!$D$84+'Testes estatísticos'!$D$26)/2,"")</f>
        <v/>
      </c>
      <c r="W257" s="7" t="str">
        <f>IF(22&gt;=79,('Testes estatísticos'!$D$84+'Testes estatísticos'!$D$27)/2,"")</f>
        <v/>
      </c>
      <c r="X257" s="7" t="str">
        <f>IF(23&gt;=79,('Testes estatísticos'!$D$84+'Testes estatísticos'!$D$28)/2,"")</f>
        <v/>
      </c>
      <c r="Y257" s="7" t="str">
        <f>IF(24&gt;=79,('Testes estatísticos'!$D$84+'Testes estatísticos'!$D$29)/2,"")</f>
        <v/>
      </c>
      <c r="Z257" s="7" t="str">
        <f>IF(25&gt;=79,('Testes estatísticos'!$D$84+'Testes estatísticos'!$D$30)/2,"")</f>
        <v/>
      </c>
      <c r="AA257" s="7" t="str">
        <f>IF(26&gt;=79,('Testes estatísticos'!$D$84+'Testes estatísticos'!$D$31)/2,"")</f>
        <v/>
      </c>
      <c r="AB257" s="7" t="str">
        <f>IF(27&gt;=79,('Testes estatísticos'!$D$84+'Testes estatísticos'!$D$32)/2,"")</f>
        <v/>
      </c>
      <c r="AC257" s="7" t="str">
        <f>IF(28&gt;=79,('Testes estatísticos'!$D$84+'Testes estatísticos'!$D$33)/2,"")</f>
        <v/>
      </c>
      <c r="AD257" s="7" t="str">
        <f>IF(29&gt;=79,('Testes estatísticos'!$D$84+'Testes estatísticos'!$D$34)/2,"")</f>
        <v/>
      </c>
      <c r="AE257" s="7" t="str">
        <f>IF(30&gt;=79,('Testes estatísticos'!$D$84+'Testes estatísticos'!$D$35)/2,"")</f>
        <v/>
      </c>
      <c r="AF257" s="7" t="str">
        <f>IF(31&gt;=79,('Testes estatísticos'!$D$84+'Testes estatísticos'!$D$36)/2,"")</f>
        <v/>
      </c>
      <c r="AG257" s="7" t="str">
        <f>IF(32&gt;=79,('Testes estatísticos'!$D$84+'Testes estatísticos'!$D$37)/2,"")</f>
        <v/>
      </c>
      <c r="AH257" s="7" t="str">
        <f>IF(33&gt;=79,('Testes estatísticos'!$D$84+'Testes estatísticos'!$D$38)/2,"")</f>
        <v/>
      </c>
      <c r="AI257" s="7" t="str">
        <f>IF(34&gt;=79,('Testes estatísticos'!$D$84+'Testes estatísticos'!$D$39)/2,"")</f>
        <v/>
      </c>
      <c r="AJ257" s="7" t="str">
        <f>IF(35&gt;=79,('Testes estatísticos'!$D$84+'Testes estatísticos'!$D$40)/2,"")</f>
        <v/>
      </c>
      <c r="AK257" s="7" t="str">
        <f>IF(36&gt;=79,('Testes estatísticos'!$D$84+'Testes estatísticos'!$D$41)/2,"")</f>
        <v/>
      </c>
      <c r="AL257" s="7" t="str">
        <f>IF(37&gt;=79,('Testes estatísticos'!$D$84+'Testes estatísticos'!$D$42)/2,"")</f>
        <v/>
      </c>
      <c r="AM257" s="7" t="str">
        <f>IF(38&gt;=79,('Testes estatísticos'!$D$84+'Testes estatísticos'!$D$43)/2,"")</f>
        <v/>
      </c>
      <c r="AN257" s="7" t="str">
        <f>IF(39&gt;=79,('Testes estatísticos'!$D$84+'Testes estatísticos'!$D$44)/2,"")</f>
        <v/>
      </c>
      <c r="AO257" s="7" t="str">
        <f>IF(40&gt;=79,('Testes estatísticos'!$D$84+'Testes estatísticos'!$D$45)/2,"")</f>
        <v/>
      </c>
      <c r="AP257" s="7" t="str">
        <f>IF(41&gt;=79,('Testes estatísticos'!$D$84+'Testes estatísticos'!$D$46)/2,"")</f>
        <v/>
      </c>
      <c r="AQ257" s="7" t="str">
        <f>IF(42&gt;=79,('Testes estatísticos'!$D$84+'Testes estatísticos'!$D$47)/2,"")</f>
        <v/>
      </c>
      <c r="AR257" s="7" t="str">
        <f>IF(43&gt;=79,('Testes estatísticos'!$D$84+'Testes estatísticos'!$D$48)/2,"")</f>
        <v/>
      </c>
      <c r="AS257" s="7" t="str">
        <f>IF(44&gt;=79,('Testes estatísticos'!$D$84+'Testes estatísticos'!$D$49)/2,"")</f>
        <v/>
      </c>
      <c r="AT257" s="7" t="str">
        <f>IF(45&gt;=79,('Testes estatísticos'!$D$84+'Testes estatísticos'!$D$50)/2,"")</f>
        <v/>
      </c>
      <c r="AU257" s="7" t="str">
        <f>IF(46&gt;=79,('Testes estatísticos'!$D$84+'Testes estatísticos'!$D$51)/2,"")</f>
        <v/>
      </c>
      <c r="AV257" s="7" t="str">
        <f>IF(47&gt;=79,('Testes estatísticos'!$D$84+'Testes estatísticos'!$D$52)/2,"")</f>
        <v/>
      </c>
      <c r="AW257" s="7" t="str">
        <f>IF(48&gt;=79,('Testes estatísticos'!$D$84+'Testes estatísticos'!$D$53)/2,"")</f>
        <v/>
      </c>
      <c r="AX257" s="7" t="str">
        <f>IF(49&gt;=79,('Testes estatísticos'!$D$84+'Testes estatísticos'!$D$54)/2,"")</f>
        <v/>
      </c>
      <c r="AY257" s="7" t="str">
        <f>IF(50&gt;=79,('Testes estatísticos'!$D$84+'Testes estatísticos'!$D$55)/2,"")</f>
        <v/>
      </c>
      <c r="AZ257" s="7" t="str">
        <f>IF(51&gt;=79,('Testes estatísticos'!$D$84+'Testes estatísticos'!$D$56)/2,"")</f>
        <v/>
      </c>
      <c r="BA257" s="7" t="str">
        <f>IF(52&gt;=79,('Testes estatísticos'!$D$84+'Testes estatísticos'!$D$57)/2,"")</f>
        <v/>
      </c>
      <c r="BB257" s="7" t="str">
        <f>IF(53&gt;=79,('Testes estatísticos'!$D$84+'Testes estatísticos'!$D$58)/2,"")</f>
        <v/>
      </c>
      <c r="BC257" s="7" t="str">
        <f>IF(54&gt;=79,('Testes estatísticos'!$D$84+'Testes estatísticos'!$D$59)/2,"")</f>
        <v/>
      </c>
      <c r="BD257" s="7" t="str">
        <f>IF(55&gt;=79,('Testes estatísticos'!$D$84+'Testes estatísticos'!$D$60)/2,"")</f>
        <v/>
      </c>
      <c r="BE257" s="7" t="str">
        <f>IF(56&gt;=79,('Testes estatísticos'!$D$84+'Testes estatísticos'!$D$61)/2,"")</f>
        <v/>
      </c>
      <c r="BF257" s="7" t="str">
        <f>IF(57&gt;=79,('Testes estatísticos'!$D$84+'Testes estatísticos'!$D$62)/2,"")</f>
        <v/>
      </c>
      <c r="BG257" s="7" t="str">
        <f>IF(58&gt;=79,('Testes estatísticos'!$D$84+'Testes estatísticos'!$D$63)/2,"")</f>
        <v/>
      </c>
      <c r="BH257" s="7" t="str">
        <f>IF(59&gt;=79,('Testes estatísticos'!$D$84+'Testes estatísticos'!$D$64)/2,"")</f>
        <v/>
      </c>
      <c r="BI257" s="7" t="str">
        <f>IF(60&gt;=79,('Testes estatísticos'!$D$84+'Testes estatísticos'!$D$65)/2,"")</f>
        <v/>
      </c>
      <c r="BJ257" s="7" t="str">
        <f>IF(61&gt;=79,('Testes estatísticos'!$D$84+'Testes estatísticos'!$D$66)/2,"")</f>
        <v/>
      </c>
      <c r="BK257" s="7" t="str">
        <f>IF(62&gt;=79,('Testes estatísticos'!$D$84+'Testes estatísticos'!$D$67)/2,"")</f>
        <v/>
      </c>
      <c r="BL257" s="7" t="str">
        <f>IF(63&gt;=79,('Testes estatísticos'!$D$84+'Testes estatísticos'!$D$68)/2,"")</f>
        <v/>
      </c>
      <c r="BM257" s="7" t="str">
        <f>IF(64&gt;=79,('Testes estatísticos'!$D$84+'Testes estatísticos'!$D$69)/2,"")</f>
        <v/>
      </c>
      <c r="BN257" s="7" t="str">
        <f>IF(65&gt;=79,('Testes estatísticos'!$D$84+'Testes estatísticos'!$D$70)/2,"")</f>
        <v/>
      </c>
      <c r="BO257" s="7" t="str">
        <f>IF(66&gt;=79,('Testes estatísticos'!$D$84+'Testes estatísticos'!$D$71)/2,"")</f>
        <v/>
      </c>
      <c r="BP257" s="7" t="str">
        <f>IF(67&gt;=79,('Testes estatísticos'!$D$84+'Testes estatísticos'!$D$72)/2,"")</f>
        <v/>
      </c>
      <c r="BQ257" s="7" t="str">
        <f>IF(68&gt;=79,('Testes estatísticos'!$D$84+'Testes estatísticos'!$D$73)/2,"")</f>
        <v/>
      </c>
      <c r="BR257" s="7" t="str">
        <f>IF(69&gt;=79,('Testes estatísticos'!$D$84+'Testes estatísticos'!$D$74)/2,"")</f>
        <v/>
      </c>
      <c r="BS257" s="7" t="str">
        <f>IF(70&gt;=79,('Testes estatísticos'!$D$84+'Testes estatísticos'!$D$75)/2,"")</f>
        <v/>
      </c>
      <c r="BT257" s="7" t="str">
        <f>IF(71&gt;=79,('Testes estatísticos'!$D$84+'Testes estatísticos'!$D$76)/2,"")</f>
        <v/>
      </c>
      <c r="BU257" s="7" t="str">
        <f>IF(72&gt;=79,('Testes estatísticos'!$D$84+'Testes estatísticos'!$D$77)/2,"")</f>
        <v/>
      </c>
      <c r="BV257" s="7" t="str">
        <f>IF(73&gt;=79,('Testes estatísticos'!$D$84+'Testes estatísticos'!$D$78)/2,"")</f>
        <v/>
      </c>
      <c r="BW257" s="7" t="str">
        <f>IF(74&gt;=79,('Testes estatísticos'!$D$84+'Testes estatísticos'!$D$79)/2,"")</f>
        <v/>
      </c>
      <c r="BX257" s="7" t="str">
        <f>IF(75&gt;=79,('Testes estatísticos'!$D$84+'Testes estatísticos'!$D$80)/2,"")</f>
        <v/>
      </c>
      <c r="BY257" s="7" t="str">
        <f>IF(76&gt;=79,('Testes estatísticos'!$D$84+'Testes estatísticos'!$D$81)/2,"")</f>
        <v/>
      </c>
      <c r="BZ257" s="7" t="str">
        <f>IF(77&gt;=79,('Testes estatísticos'!$D$84+'Testes estatísticos'!$D$82)/2,"")</f>
        <v/>
      </c>
      <c r="CA257" s="7" t="str">
        <f>IF(78&gt;=79,('Testes estatísticos'!$D$84+'Testes estatísticos'!$D$83)/2,"")</f>
        <v/>
      </c>
      <c r="CB257" s="7">
        <f>IF(79&gt;=79,('Testes estatísticos'!$D$84+'Testes estatísticos'!$D$84)/2,"")</f>
        <v>-2.4580580000000012</v>
      </c>
      <c r="CC257" s="7">
        <f>IF(80&gt;=79,('Testes estatísticos'!$D$84+'Testes estatísticos'!$D$85)/2,"")</f>
        <v>-4.2650745000000008</v>
      </c>
      <c r="CD257" s="7">
        <f>IF(81&gt;=79,('Testes estatísticos'!$D$84+'Testes estatísticos'!$D$86)/2,"")</f>
        <v>-4.3152195000000013</v>
      </c>
      <c r="CE257" s="7">
        <f>IF(82&gt;=79,('Testes estatísticos'!$D$84+'Testes estatísticos'!$D$87)/2,"")</f>
        <v>-2.2374290000000023</v>
      </c>
      <c r="CF257" s="7">
        <f>IF(83&gt;=79,('Testes estatísticos'!$D$84+'Testes estatísticos'!$D$88)/2,"")</f>
        <v>-2.7662360000000028</v>
      </c>
      <c r="CG257" s="7">
        <f>IF(84&gt;=79,('Testes estatísticos'!$D$84+'Testes estatísticos'!$D$89)/2,"")</f>
        <v>-3.0981430000000003</v>
      </c>
      <c r="CH257" s="7">
        <f>IF(85&gt;=79,('Testes estatísticos'!$D$84+'Testes estatísticos'!$D$90)/2,"")</f>
        <v>-1.2825960000000016</v>
      </c>
      <c r="CI257" s="7">
        <f>IF(86&gt;=79,('Testes estatísticos'!$D$84+'Testes estatísticos'!$D$91)/2,"")</f>
        <v>-3.9727554999999981</v>
      </c>
      <c r="CJ257" s="7">
        <f>IF(87&gt;=79,('Testes estatísticos'!$D$84+'Testes estatísticos'!$D$92)/2,"")</f>
        <v>-2.7305489999999999</v>
      </c>
      <c r="CK257" s="7">
        <f>IF(88&gt;=79,('Testes estatísticos'!$D$84+'Testes estatísticos'!$D$93)/2,"")</f>
        <v>-2.4864655000000013</v>
      </c>
      <c r="CL257" s="7">
        <f>IF(89&gt;=79,('Testes estatísticos'!$D$84+'Testes estatísticos'!$D$94)/2,"")</f>
        <v>-3.098057500000003</v>
      </c>
      <c r="CM257" s="7">
        <f>IF(90&gt;=79,('Testes estatísticos'!$D$84+'Testes estatísticos'!$D$95)/2,"")</f>
        <v>-5.4321894999999998</v>
      </c>
      <c r="CN257" s="7">
        <f>IF(91&gt;=79,('Testes estatísticos'!$D$84+'Testes estatísticos'!$D$96)/2,"")</f>
        <v>-2.8936664999999984</v>
      </c>
      <c r="CO257" s="7">
        <f>IF(92&gt;=79,('Testes estatísticos'!$D$84+'Testes estatísticos'!$D$97)/2,"")</f>
        <v>-3.2401699999999991</v>
      </c>
      <c r="CP257" s="7">
        <f>IF(93&gt;=79,('Testes estatísticos'!$D$84+'Testes estatísticos'!$D$98)/2,"")</f>
        <v>-3.4449219999999983</v>
      </c>
      <c r="CQ257" s="7">
        <f>IF(94&gt;=79,('Testes estatísticos'!$D$84+'Testes estatísticos'!$D$99)/2,"")</f>
        <v>-1.2637640000000019</v>
      </c>
      <c r="CR257" s="7">
        <f>IF(95&gt;=79,('Testes estatísticos'!$D$84+'Testes estatísticos'!$D$100)/2,"")</f>
        <v>-3.1695570000000011</v>
      </c>
      <c r="CS257" s="7">
        <f>IF(96&gt;=79,('Testes estatísticos'!$D$84+'Testes estatísticos'!$D$101)/2,"")</f>
        <v>-3.1255700000000033</v>
      </c>
      <c r="CT257" s="7">
        <f>IF(97&gt;=79,('Testes estatísticos'!$D$84+'Testes estatísticos'!$D$102)/2,"")</f>
        <v>-2.8925195000000024</v>
      </c>
      <c r="CU257" s="7">
        <f>IF(98&gt;=79,('Testes estatísticos'!$D$84+'Testes estatísticos'!$D$103)/2,"")</f>
        <v>-2.835193499999999</v>
      </c>
      <c r="CV257" s="7">
        <f>IF(99&gt;=79,('Testes estatísticos'!$D$84+'Testes estatísticos'!$D$104)/2,"")</f>
        <v>-3.2700195000000001</v>
      </c>
      <c r="CW257" s="7">
        <f>IF(100&gt;=79,('Testes estatísticos'!$D$84+'Testes estatísticos'!$D$105)/2,"")</f>
        <v>-3.3694854999999997</v>
      </c>
      <c r="CX257" s="7">
        <f>IF(101&gt;=79,('Testes estatísticos'!$D$84+'Testes estatísticos'!$D$106)/2,"")</f>
        <v>-2.8465589999999992</v>
      </c>
      <c r="CY257" s="7">
        <f>IF(102&gt;=79,('Testes estatísticos'!$D$84+'Testes estatísticos'!$D$107)/2,"")</f>
        <v>-2.9022240000000004</v>
      </c>
      <c r="CZ257" s="7">
        <f>IF(103&gt;=79,('Testes estatísticos'!$D$84+'Testes estatísticos'!$D$108)/2,"")</f>
        <v>-3.4263905000000001</v>
      </c>
      <c r="DA257" s="7">
        <f>IF(104&gt;=79,('Testes estatísticos'!$D$84+'Testes estatísticos'!$D$109)/2,"")</f>
        <v>-3.1637564999999981</v>
      </c>
      <c r="DB257" s="7">
        <f>IF(105&gt;=79,('Testes estatísticos'!$D$84+'Testes estatísticos'!$D$110)/2,"")</f>
        <v>-3.1294255</v>
      </c>
      <c r="DC257" s="7">
        <f>IF(106&gt;=79,('Testes estatísticos'!$D$84+'Testes estatísticos'!$D$111)/2,"")</f>
        <v>-2.3865045000000009</v>
      </c>
      <c r="DD257" s="7">
        <f>IF(107&gt;=79,('Testes estatísticos'!$D$84+'Testes estatísticos'!$D$112)/2,"")</f>
        <v>1.1066664999999993</v>
      </c>
      <c r="DE257" s="7">
        <f>IF(108&gt;=79,('Testes estatísticos'!$D$84+'Testes estatísticos'!$D$113)/2,"")</f>
        <v>-2.3159689999999991</v>
      </c>
      <c r="DF257" s="7">
        <f>IF(109&gt;=79,('Testes estatísticos'!$D$84+'Testes estatísticos'!$D$114)/2,"")</f>
        <v>-2.3522259999999982</v>
      </c>
      <c r="DG257" s="7">
        <f>IF(110&gt;=79,('Testes estatísticos'!$D$84+'Testes estatísticos'!$D$115)/2,"")</f>
        <v>-7.8993655000000018</v>
      </c>
      <c r="DH257" s="7">
        <f>IF(111&gt;=79,('Testes estatísticos'!$D$84+'Testes estatísticos'!$D$116)/2,"")</f>
        <v>-2.2185349999999993</v>
      </c>
      <c r="DI257" s="7">
        <f>IF(112&gt;=79,('Testes estatísticos'!$D$84+'Testes estatísticos'!$D$117)/2,"")</f>
        <v>3.2099049999999991</v>
      </c>
      <c r="DJ257" s="7">
        <f>IF(113&gt;=79,('Testes estatísticos'!$D$84+'Testes estatísticos'!$D$118)/2,"")</f>
        <v>-2.246652000000001</v>
      </c>
      <c r="DK257" s="7">
        <f>IF(114&gt;=79,('Testes estatísticos'!$D$84+'Testes estatísticos'!$D$119)/2,"")</f>
        <v>-2.3484020000000001</v>
      </c>
      <c r="DL257" s="7">
        <f>IF(115&gt;=79,('Testes estatísticos'!$D$84+'Testes estatísticos'!$D$120)/2,"")</f>
        <v>-2.3019244999999984</v>
      </c>
      <c r="DM257" s="7">
        <f>IF(116&gt;=79,('Testes estatísticos'!$D$84+'Testes estatísticos'!$D$121)/2,"")</f>
        <v>-2.2933219999999999</v>
      </c>
      <c r="DN257" s="7">
        <f>IF(117&gt;=79,('Testes estatísticos'!$D$84+'Testes estatísticos'!$D$122)/2,"")</f>
        <v>-2.2702540000000013</v>
      </c>
      <c r="DO257" s="7">
        <f>IF(118&gt;=79,('Testes estatísticos'!$D$84+'Testes estatísticos'!$D$123)/2,"")</f>
        <v>-2.220343500000002</v>
      </c>
      <c r="DP257" s="7">
        <f>IF(119&gt;=79,('Testes estatísticos'!$D$84+'Testes estatísticos'!$D$124)/2,"")</f>
        <v>-2.2415550000000017</v>
      </c>
      <c r="DQ257" s="7">
        <f>IF(120&gt;=79,('Testes estatísticos'!$D$84+'Testes estatísticos'!$D$125)/2,"")</f>
        <v>0.81005950000000126</v>
      </c>
      <c r="DR257" s="7">
        <f>IF(121&gt;=79,('Testes estatísticos'!$D$84+'Testes estatísticos'!$D$126)/2,"")</f>
        <v>-1.9789570000000012</v>
      </c>
      <c r="DS257" s="7">
        <f>IF(122&gt;=79,('Testes estatísticos'!$D$84+'Testes estatísticos'!$D$127)/2,"")</f>
        <v>-3.0443654999999978</v>
      </c>
      <c r="DT257" s="7">
        <f>IF(123&gt;=79,('Testes estatísticos'!$D$84+'Testes estatísticos'!$D$128)/2,"")</f>
        <v>3.0245039999999968</v>
      </c>
      <c r="DU257" s="7">
        <f>IF(124&gt;=79,('Testes estatísticos'!$D$84+'Testes estatísticos'!$D$129)/2,"")</f>
        <v>-1.8712675000000019</v>
      </c>
      <c r="DV257" s="7">
        <f>IF(125&gt;=79,('Testes estatísticos'!$D$84+'Testes estatísticos'!$D$130)/2,"")</f>
        <v>-0.71296000000000248</v>
      </c>
      <c r="DW257" s="7">
        <f>IF(126&gt;=79,('Testes estatísticos'!$D$84+'Testes estatísticos'!$D$131)/2,"")</f>
        <v>-3.1164360000000002</v>
      </c>
      <c r="DX257" s="7">
        <f>IF(127&gt;=79,('Testes estatísticos'!$D$84+'Testes estatísticos'!$D$132)/2,"")</f>
        <v>-5.1726275000000008</v>
      </c>
      <c r="DY257" s="7">
        <f>IF(128&gt;=79,('Testes estatísticos'!$D$84+'Testes estatísticos'!$D$133)/2,"")</f>
        <v>-5.5137169999999998</v>
      </c>
      <c r="DZ257" s="7">
        <f>IF(129&gt;=79,('Testes estatísticos'!$D$84+'Testes estatísticos'!$D$134)/2,"")</f>
        <v>-8.9375070000000001</v>
      </c>
      <c r="EA257" s="7">
        <f>IF(130&gt;=79,('Testes estatísticos'!$D$84+'Testes estatísticos'!$D$135)/2,"")</f>
        <v>-3.175736999999998</v>
      </c>
      <c r="EB257" s="7">
        <f>IF(131&gt;=79,('Testes estatísticos'!$D$84+'Testes estatísticos'!$D$136)/2,"")</f>
        <v>-3.0878640000000033</v>
      </c>
      <c r="EC257" s="7">
        <f>IF(132&gt;=79,('Testes estatísticos'!$D$84+'Testes estatísticos'!$D$137)/2,"")</f>
        <v>-4.5746005000000025</v>
      </c>
      <c r="ED257" s="7">
        <f>IF(133&gt;=79,('Testes estatísticos'!$D$84+'Testes estatísticos'!$D$138)/2,"")</f>
        <v>-2.385663000000001</v>
      </c>
      <c r="EE257" s="7">
        <f>IF(134&gt;=79,('Testes estatísticos'!$D$84+'Testes estatísticos'!$D$139)/2,"")</f>
        <v>-4.6828535000000038</v>
      </c>
      <c r="EF257" s="7">
        <f>IF(135&gt;=79,('Testes estatísticos'!$D$84+'Testes estatísticos'!$D$140)/2,"")</f>
        <v>-1.4684209999999993</v>
      </c>
      <c r="EG257" s="7">
        <f>IF(136&gt;=79,('Testes estatísticos'!$D$84+'Testes estatísticos'!$D$141)/2,"")</f>
        <v>-3.1619110000000035</v>
      </c>
      <c r="EH257" s="7">
        <f>IF(137&gt;=79,('Testes estatísticos'!$D$84+'Testes estatísticos'!$D$142)/2,"")</f>
        <v>-1.4571710000000024</v>
      </c>
      <c r="EI257" s="7">
        <f>IF(138&gt;=79,('Testes estatísticos'!$D$84+'Testes estatísticos'!$D$143)/2,"")</f>
        <v>-3.122186499999998</v>
      </c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</row>
    <row r="258" spans="2:151" x14ac:dyDescent="0.3">
      <c r="B258" s="7" t="str">
        <f>IF(1&gt;=80,('Testes estatísticos'!$D$85+'Testes estatísticos'!$D$6)/2,"")</f>
        <v/>
      </c>
      <c r="C258" s="7" t="str">
        <f>IF(2&gt;=80,('Testes estatísticos'!$D$85+'Testes estatísticos'!$D$7)/2,"")</f>
        <v/>
      </c>
      <c r="D258" s="7" t="str">
        <f>IF(3&gt;=80,('Testes estatísticos'!$D$85+'Testes estatísticos'!$D$8)/2,"")</f>
        <v/>
      </c>
      <c r="E258" s="7" t="str">
        <f>IF(4&gt;=80,('Testes estatísticos'!$D$85+'Testes estatísticos'!$D$9)/2,"")</f>
        <v/>
      </c>
      <c r="F258" s="7" t="str">
        <f>IF(5&gt;=80,('Testes estatísticos'!$D$85+'Testes estatísticos'!$D$10)/2,"")</f>
        <v/>
      </c>
      <c r="G258" s="7" t="str">
        <f>IF(6&gt;=80,('Testes estatísticos'!$D$85+'Testes estatísticos'!$D$11)/2,"")</f>
        <v/>
      </c>
      <c r="H258" s="7" t="str">
        <f>IF(7&gt;=80,('Testes estatísticos'!$D$85+'Testes estatísticos'!$D$12)/2,"")</f>
        <v/>
      </c>
      <c r="I258" s="7" t="str">
        <f>IF(8&gt;=80,('Testes estatísticos'!$D$85+'Testes estatísticos'!$D$13)/2,"")</f>
        <v/>
      </c>
      <c r="J258" s="7" t="str">
        <f>IF(9&gt;=80,('Testes estatísticos'!$D$85+'Testes estatísticos'!$D$14)/2,"")</f>
        <v/>
      </c>
      <c r="K258" s="7" t="str">
        <f>IF(10&gt;=80,('Testes estatísticos'!$D$85+'Testes estatísticos'!$D$15)/2,"")</f>
        <v/>
      </c>
      <c r="L258" s="7" t="str">
        <f>IF(11&gt;=80,('Testes estatísticos'!$D$85+'Testes estatísticos'!$D$16)/2,"")</f>
        <v/>
      </c>
      <c r="M258" s="7" t="str">
        <f>IF(12&gt;=80,('Testes estatísticos'!$D$85+'Testes estatísticos'!$D$17)/2,"")</f>
        <v/>
      </c>
      <c r="N258" s="7" t="str">
        <f>IF(13&gt;=80,('Testes estatísticos'!$D$85+'Testes estatísticos'!$D$18)/2,"")</f>
        <v/>
      </c>
      <c r="O258" s="7" t="str">
        <f>IF(14&gt;=80,('Testes estatísticos'!$D$85+'Testes estatísticos'!$D$19)/2,"")</f>
        <v/>
      </c>
      <c r="P258" s="7" t="str">
        <f>IF(15&gt;=80,('Testes estatísticos'!$D$85+'Testes estatísticos'!$D$20)/2,"")</f>
        <v/>
      </c>
      <c r="Q258" s="7" t="str">
        <f>IF(16&gt;=80,('Testes estatísticos'!$D$85+'Testes estatísticos'!$D$21)/2,"")</f>
        <v/>
      </c>
      <c r="R258" s="7" t="str">
        <f>IF(17&gt;=80,('Testes estatísticos'!$D$85+'Testes estatísticos'!$D$22)/2,"")</f>
        <v/>
      </c>
      <c r="S258" s="7" t="str">
        <f>IF(18&gt;=80,('Testes estatísticos'!$D$85+'Testes estatísticos'!$D$23)/2,"")</f>
        <v/>
      </c>
      <c r="T258" s="7" t="str">
        <f>IF(19&gt;=80,('Testes estatísticos'!$D$85+'Testes estatísticos'!$D$24)/2,"")</f>
        <v/>
      </c>
      <c r="U258" s="7" t="str">
        <f>IF(20&gt;=80,('Testes estatísticos'!$D$85+'Testes estatísticos'!$D$25)/2,"")</f>
        <v/>
      </c>
      <c r="V258" s="7" t="str">
        <f>IF(21&gt;=80,('Testes estatísticos'!$D$85+'Testes estatísticos'!$D$26)/2,"")</f>
        <v/>
      </c>
      <c r="W258" s="7" t="str">
        <f>IF(22&gt;=80,('Testes estatísticos'!$D$85+'Testes estatísticos'!$D$27)/2,"")</f>
        <v/>
      </c>
      <c r="X258" s="7" t="str">
        <f>IF(23&gt;=80,('Testes estatísticos'!$D$85+'Testes estatísticos'!$D$28)/2,"")</f>
        <v/>
      </c>
      <c r="Y258" s="7" t="str">
        <f>IF(24&gt;=80,('Testes estatísticos'!$D$85+'Testes estatísticos'!$D$29)/2,"")</f>
        <v/>
      </c>
      <c r="Z258" s="7" t="str">
        <f>IF(25&gt;=80,('Testes estatísticos'!$D$85+'Testes estatísticos'!$D$30)/2,"")</f>
        <v/>
      </c>
      <c r="AA258" s="7" t="str">
        <f>IF(26&gt;=80,('Testes estatísticos'!$D$85+'Testes estatísticos'!$D$31)/2,"")</f>
        <v/>
      </c>
      <c r="AB258" s="7" t="str">
        <f>IF(27&gt;=80,('Testes estatísticos'!$D$85+'Testes estatísticos'!$D$32)/2,"")</f>
        <v/>
      </c>
      <c r="AC258" s="7" t="str">
        <f>IF(28&gt;=80,('Testes estatísticos'!$D$85+'Testes estatísticos'!$D$33)/2,"")</f>
        <v/>
      </c>
      <c r="AD258" s="7" t="str">
        <f>IF(29&gt;=80,('Testes estatísticos'!$D$85+'Testes estatísticos'!$D$34)/2,"")</f>
        <v/>
      </c>
      <c r="AE258" s="7" t="str">
        <f>IF(30&gt;=80,('Testes estatísticos'!$D$85+'Testes estatísticos'!$D$35)/2,"")</f>
        <v/>
      </c>
      <c r="AF258" s="7" t="str">
        <f>IF(31&gt;=80,('Testes estatísticos'!$D$85+'Testes estatísticos'!$D$36)/2,"")</f>
        <v/>
      </c>
      <c r="AG258" s="7" t="str">
        <f>IF(32&gt;=80,('Testes estatísticos'!$D$85+'Testes estatísticos'!$D$37)/2,"")</f>
        <v/>
      </c>
      <c r="AH258" s="7" t="str">
        <f>IF(33&gt;=80,('Testes estatísticos'!$D$85+'Testes estatísticos'!$D$38)/2,"")</f>
        <v/>
      </c>
      <c r="AI258" s="7" t="str">
        <f>IF(34&gt;=80,('Testes estatísticos'!$D$85+'Testes estatísticos'!$D$39)/2,"")</f>
        <v/>
      </c>
      <c r="AJ258" s="7" t="str">
        <f>IF(35&gt;=80,('Testes estatísticos'!$D$85+'Testes estatísticos'!$D$40)/2,"")</f>
        <v/>
      </c>
      <c r="AK258" s="7" t="str">
        <f>IF(36&gt;=80,('Testes estatísticos'!$D$85+'Testes estatísticos'!$D$41)/2,"")</f>
        <v/>
      </c>
      <c r="AL258" s="7" t="str">
        <f>IF(37&gt;=80,('Testes estatísticos'!$D$85+'Testes estatísticos'!$D$42)/2,"")</f>
        <v/>
      </c>
      <c r="AM258" s="7" t="str">
        <f>IF(38&gt;=80,('Testes estatísticos'!$D$85+'Testes estatísticos'!$D$43)/2,"")</f>
        <v/>
      </c>
      <c r="AN258" s="7" t="str">
        <f>IF(39&gt;=80,('Testes estatísticos'!$D$85+'Testes estatísticos'!$D$44)/2,"")</f>
        <v/>
      </c>
      <c r="AO258" s="7" t="str">
        <f>IF(40&gt;=80,('Testes estatísticos'!$D$85+'Testes estatísticos'!$D$45)/2,"")</f>
        <v/>
      </c>
      <c r="AP258" s="7" t="str">
        <f>IF(41&gt;=80,('Testes estatísticos'!$D$85+'Testes estatísticos'!$D$46)/2,"")</f>
        <v/>
      </c>
      <c r="AQ258" s="7" t="str">
        <f>IF(42&gt;=80,('Testes estatísticos'!$D$85+'Testes estatísticos'!$D$47)/2,"")</f>
        <v/>
      </c>
      <c r="AR258" s="7" t="str">
        <f>IF(43&gt;=80,('Testes estatísticos'!$D$85+'Testes estatísticos'!$D$48)/2,"")</f>
        <v/>
      </c>
      <c r="AS258" s="7" t="str">
        <f>IF(44&gt;=80,('Testes estatísticos'!$D$85+'Testes estatísticos'!$D$49)/2,"")</f>
        <v/>
      </c>
      <c r="AT258" s="7" t="str">
        <f>IF(45&gt;=80,('Testes estatísticos'!$D$85+'Testes estatísticos'!$D$50)/2,"")</f>
        <v/>
      </c>
      <c r="AU258" s="7" t="str">
        <f>IF(46&gt;=80,('Testes estatísticos'!$D$85+'Testes estatísticos'!$D$51)/2,"")</f>
        <v/>
      </c>
      <c r="AV258" s="7" t="str">
        <f>IF(47&gt;=80,('Testes estatísticos'!$D$85+'Testes estatísticos'!$D$52)/2,"")</f>
        <v/>
      </c>
      <c r="AW258" s="7" t="str">
        <f>IF(48&gt;=80,('Testes estatísticos'!$D$85+'Testes estatísticos'!$D$53)/2,"")</f>
        <v/>
      </c>
      <c r="AX258" s="7" t="str">
        <f>IF(49&gt;=80,('Testes estatísticos'!$D$85+'Testes estatísticos'!$D$54)/2,"")</f>
        <v/>
      </c>
      <c r="AY258" s="7" t="str">
        <f>IF(50&gt;=80,('Testes estatísticos'!$D$85+'Testes estatísticos'!$D$55)/2,"")</f>
        <v/>
      </c>
      <c r="AZ258" s="7" t="str">
        <f>IF(51&gt;=80,('Testes estatísticos'!$D$85+'Testes estatísticos'!$D$56)/2,"")</f>
        <v/>
      </c>
      <c r="BA258" s="7" t="str">
        <f>IF(52&gt;=80,('Testes estatísticos'!$D$85+'Testes estatísticos'!$D$57)/2,"")</f>
        <v/>
      </c>
      <c r="BB258" s="7" t="str">
        <f>IF(53&gt;=80,('Testes estatísticos'!$D$85+'Testes estatísticos'!$D$58)/2,"")</f>
        <v/>
      </c>
      <c r="BC258" s="7" t="str">
        <f>IF(54&gt;=80,('Testes estatísticos'!$D$85+'Testes estatísticos'!$D$59)/2,"")</f>
        <v/>
      </c>
      <c r="BD258" s="7" t="str">
        <f>IF(55&gt;=80,('Testes estatísticos'!$D$85+'Testes estatísticos'!$D$60)/2,"")</f>
        <v/>
      </c>
      <c r="BE258" s="7" t="str">
        <f>IF(56&gt;=80,('Testes estatísticos'!$D$85+'Testes estatísticos'!$D$61)/2,"")</f>
        <v/>
      </c>
      <c r="BF258" s="7" t="str">
        <f>IF(57&gt;=80,('Testes estatísticos'!$D$85+'Testes estatísticos'!$D$62)/2,"")</f>
        <v/>
      </c>
      <c r="BG258" s="7" t="str">
        <f>IF(58&gt;=80,('Testes estatísticos'!$D$85+'Testes estatísticos'!$D$63)/2,"")</f>
        <v/>
      </c>
      <c r="BH258" s="7" t="str">
        <f>IF(59&gt;=80,('Testes estatísticos'!$D$85+'Testes estatísticos'!$D$64)/2,"")</f>
        <v/>
      </c>
      <c r="BI258" s="7" t="str">
        <f>IF(60&gt;=80,('Testes estatísticos'!$D$85+'Testes estatísticos'!$D$65)/2,"")</f>
        <v/>
      </c>
      <c r="BJ258" s="7" t="str">
        <f>IF(61&gt;=80,('Testes estatísticos'!$D$85+'Testes estatísticos'!$D$66)/2,"")</f>
        <v/>
      </c>
      <c r="BK258" s="7" t="str">
        <f>IF(62&gt;=80,('Testes estatísticos'!$D$85+'Testes estatísticos'!$D$67)/2,"")</f>
        <v/>
      </c>
      <c r="BL258" s="7" t="str">
        <f>IF(63&gt;=80,('Testes estatísticos'!$D$85+'Testes estatísticos'!$D$68)/2,"")</f>
        <v/>
      </c>
      <c r="BM258" s="7" t="str">
        <f>IF(64&gt;=80,('Testes estatísticos'!$D$85+'Testes estatísticos'!$D$69)/2,"")</f>
        <v/>
      </c>
      <c r="BN258" s="7" t="str">
        <f>IF(65&gt;=80,('Testes estatísticos'!$D$85+'Testes estatísticos'!$D$70)/2,"")</f>
        <v/>
      </c>
      <c r="BO258" s="7" t="str">
        <f>IF(66&gt;=80,('Testes estatísticos'!$D$85+'Testes estatísticos'!$D$71)/2,"")</f>
        <v/>
      </c>
      <c r="BP258" s="7" t="str">
        <f>IF(67&gt;=80,('Testes estatísticos'!$D$85+'Testes estatísticos'!$D$72)/2,"")</f>
        <v/>
      </c>
      <c r="BQ258" s="7" t="str">
        <f>IF(68&gt;=80,('Testes estatísticos'!$D$85+'Testes estatísticos'!$D$73)/2,"")</f>
        <v/>
      </c>
      <c r="BR258" s="7" t="str">
        <f>IF(69&gt;=80,('Testes estatísticos'!$D$85+'Testes estatísticos'!$D$74)/2,"")</f>
        <v/>
      </c>
      <c r="BS258" s="7" t="str">
        <f>IF(70&gt;=80,('Testes estatísticos'!$D$85+'Testes estatísticos'!$D$75)/2,"")</f>
        <v/>
      </c>
      <c r="BT258" s="7" t="str">
        <f>IF(71&gt;=80,('Testes estatísticos'!$D$85+'Testes estatísticos'!$D$76)/2,"")</f>
        <v/>
      </c>
      <c r="BU258" s="7" t="str">
        <f>IF(72&gt;=80,('Testes estatísticos'!$D$85+'Testes estatísticos'!$D$77)/2,"")</f>
        <v/>
      </c>
      <c r="BV258" s="7" t="str">
        <f>IF(73&gt;=80,('Testes estatísticos'!$D$85+'Testes estatísticos'!$D$78)/2,"")</f>
        <v/>
      </c>
      <c r="BW258" s="7" t="str">
        <f>IF(74&gt;=80,('Testes estatísticos'!$D$85+'Testes estatísticos'!$D$79)/2,"")</f>
        <v/>
      </c>
      <c r="BX258" s="7" t="str">
        <f>IF(75&gt;=80,('Testes estatísticos'!$D$85+'Testes estatísticos'!$D$80)/2,"")</f>
        <v/>
      </c>
      <c r="BY258" s="7" t="str">
        <f>IF(76&gt;=80,('Testes estatísticos'!$D$85+'Testes estatísticos'!$D$81)/2,"")</f>
        <v/>
      </c>
      <c r="BZ258" s="7" t="str">
        <f>IF(77&gt;=80,('Testes estatísticos'!$D$85+'Testes estatísticos'!$D$82)/2,"")</f>
        <v/>
      </c>
      <c r="CA258" s="7" t="str">
        <f>IF(78&gt;=80,('Testes estatísticos'!$D$85+'Testes estatísticos'!$D$83)/2,"")</f>
        <v/>
      </c>
      <c r="CB258" s="7" t="str">
        <f>IF(79&gt;=80,('Testes estatísticos'!$D$85+'Testes estatísticos'!$D$84)/2,"")</f>
        <v/>
      </c>
      <c r="CC258" s="7">
        <f>IF(80&gt;=80,('Testes estatísticos'!$D$85+'Testes estatísticos'!$D$85)/2,"")</f>
        <v>-6.0720910000000003</v>
      </c>
      <c r="CD258" s="7">
        <f>IF(81&gt;=80,('Testes estatísticos'!$D$85+'Testes estatísticos'!$D$86)/2,"")</f>
        <v>-6.1222360000000009</v>
      </c>
      <c r="CE258" s="7">
        <f>IF(82&gt;=80,('Testes estatísticos'!$D$85+'Testes estatísticos'!$D$87)/2,"")</f>
        <v>-4.0444455000000019</v>
      </c>
      <c r="CF258" s="7">
        <f>IF(83&gt;=80,('Testes estatísticos'!$D$85+'Testes estatísticos'!$D$88)/2,"")</f>
        <v>-4.5732525000000024</v>
      </c>
      <c r="CG258" s="7">
        <f>IF(84&gt;=80,('Testes estatísticos'!$D$85+'Testes estatísticos'!$D$89)/2,"")</f>
        <v>-4.9051594999999999</v>
      </c>
      <c r="CH258" s="7">
        <f>IF(85&gt;=80,('Testes estatísticos'!$D$85+'Testes estatísticos'!$D$90)/2,"")</f>
        <v>-3.0896125000000012</v>
      </c>
      <c r="CI258" s="7">
        <f>IF(86&gt;=80,('Testes estatísticos'!$D$85+'Testes estatísticos'!$D$91)/2,"")</f>
        <v>-5.7797719999999977</v>
      </c>
      <c r="CJ258" s="7">
        <f>IF(87&gt;=80,('Testes estatísticos'!$D$85+'Testes estatísticos'!$D$92)/2,"")</f>
        <v>-4.5375654999999995</v>
      </c>
      <c r="CK258" s="7">
        <f>IF(88&gt;=80,('Testes estatísticos'!$D$85+'Testes estatísticos'!$D$93)/2,"")</f>
        <v>-4.2934820000000009</v>
      </c>
      <c r="CL258" s="7">
        <f>IF(89&gt;=80,('Testes estatísticos'!$D$85+'Testes estatísticos'!$D$94)/2,"")</f>
        <v>-4.9050740000000026</v>
      </c>
      <c r="CM258" s="7">
        <f>IF(90&gt;=80,('Testes estatísticos'!$D$85+'Testes estatísticos'!$D$95)/2,"")</f>
        <v>-7.2392059999999994</v>
      </c>
      <c r="CN258" s="7">
        <f>IF(91&gt;=80,('Testes estatísticos'!$D$85+'Testes estatísticos'!$D$96)/2,"")</f>
        <v>-4.7006829999999979</v>
      </c>
      <c r="CO258" s="7">
        <f>IF(92&gt;=80,('Testes estatísticos'!$D$85+'Testes estatísticos'!$D$97)/2,"")</f>
        <v>-5.0471864999999987</v>
      </c>
      <c r="CP258" s="7">
        <f>IF(93&gt;=80,('Testes estatísticos'!$D$85+'Testes estatísticos'!$D$98)/2,"")</f>
        <v>-5.2519384999999978</v>
      </c>
      <c r="CQ258" s="7">
        <f>IF(94&gt;=80,('Testes estatísticos'!$D$85+'Testes estatísticos'!$D$99)/2,"")</f>
        <v>-3.0707805000000015</v>
      </c>
      <c r="CR258" s="7">
        <f>IF(95&gt;=80,('Testes estatísticos'!$D$85+'Testes estatísticos'!$D$100)/2,"")</f>
        <v>-4.9765735000000006</v>
      </c>
      <c r="CS258" s="7">
        <f>IF(96&gt;=80,('Testes estatísticos'!$D$85+'Testes estatísticos'!$D$101)/2,"")</f>
        <v>-4.9325865000000029</v>
      </c>
      <c r="CT258" s="7">
        <f>IF(97&gt;=80,('Testes estatísticos'!$D$85+'Testes estatísticos'!$D$102)/2,"")</f>
        <v>-4.6995360000000019</v>
      </c>
      <c r="CU258" s="7">
        <f>IF(98&gt;=80,('Testes estatísticos'!$D$85+'Testes estatísticos'!$D$103)/2,"")</f>
        <v>-4.6422099999999986</v>
      </c>
      <c r="CV258" s="7">
        <f>IF(99&gt;=80,('Testes estatísticos'!$D$85+'Testes estatísticos'!$D$104)/2,"")</f>
        <v>-5.0770359999999997</v>
      </c>
      <c r="CW258" s="7">
        <f>IF(100&gt;=80,('Testes estatísticos'!$D$85+'Testes estatísticos'!$D$105)/2,"")</f>
        <v>-5.1765019999999993</v>
      </c>
      <c r="CX258" s="7">
        <f>IF(101&gt;=80,('Testes estatísticos'!$D$85+'Testes estatísticos'!$D$106)/2,"")</f>
        <v>-4.6535754999999988</v>
      </c>
      <c r="CY258" s="7">
        <f>IF(102&gt;=80,('Testes estatísticos'!$D$85+'Testes estatísticos'!$D$107)/2,"")</f>
        <v>-4.7092404999999999</v>
      </c>
      <c r="CZ258" s="7">
        <f>IF(103&gt;=80,('Testes estatísticos'!$D$85+'Testes estatísticos'!$D$108)/2,"")</f>
        <v>-5.2334069999999997</v>
      </c>
      <c r="DA258" s="7">
        <f>IF(104&gt;=80,('Testes estatísticos'!$D$85+'Testes estatísticos'!$D$109)/2,"")</f>
        <v>-4.9707729999999977</v>
      </c>
      <c r="DB258" s="7">
        <f>IF(105&gt;=80,('Testes estatísticos'!$D$85+'Testes estatísticos'!$D$110)/2,"")</f>
        <v>-4.9364419999999996</v>
      </c>
      <c r="DC258" s="7">
        <f>IF(106&gt;=80,('Testes estatísticos'!$D$85+'Testes estatísticos'!$D$111)/2,"")</f>
        <v>-4.1935210000000005</v>
      </c>
      <c r="DD258" s="7">
        <f>IF(107&gt;=80,('Testes estatísticos'!$D$85+'Testes estatísticos'!$D$112)/2,"")</f>
        <v>-0.70035000000000025</v>
      </c>
      <c r="DE258" s="7">
        <f>IF(108&gt;=80,('Testes estatísticos'!$D$85+'Testes estatísticos'!$D$113)/2,"")</f>
        <v>-4.1229854999999986</v>
      </c>
      <c r="DF258" s="7">
        <f>IF(109&gt;=80,('Testes estatísticos'!$D$85+'Testes estatísticos'!$D$114)/2,"")</f>
        <v>-4.1592424999999977</v>
      </c>
      <c r="DG258" s="7">
        <f>IF(110&gt;=80,('Testes estatísticos'!$D$85+'Testes estatísticos'!$D$115)/2,"")</f>
        <v>-9.7063820000000014</v>
      </c>
      <c r="DH258" s="7">
        <f>IF(111&gt;=80,('Testes estatísticos'!$D$85+'Testes estatísticos'!$D$116)/2,"")</f>
        <v>-4.0255514999999988</v>
      </c>
      <c r="DI258" s="7">
        <f>IF(112&gt;=80,('Testes estatísticos'!$D$85+'Testes estatísticos'!$D$117)/2,"")</f>
        <v>1.4028884999999995</v>
      </c>
      <c r="DJ258" s="7">
        <f>IF(113&gt;=80,('Testes estatísticos'!$D$85+'Testes estatísticos'!$D$118)/2,"")</f>
        <v>-4.0536685000000006</v>
      </c>
      <c r="DK258" s="7">
        <f>IF(114&gt;=80,('Testes estatísticos'!$D$85+'Testes estatísticos'!$D$119)/2,"")</f>
        <v>-4.1554184999999997</v>
      </c>
      <c r="DL258" s="7">
        <f>IF(115&gt;=80,('Testes estatísticos'!$D$85+'Testes estatísticos'!$D$120)/2,"")</f>
        <v>-4.108940999999998</v>
      </c>
      <c r="DM258" s="7">
        <f>IF(116&gt;=80,('Testes estatísticos'!$D$85+'Testes estatísticos'!$D$121)/2,"")</f>
        <v>-4.1003384999999994</v>
      </c>
      <c r="DN258" s="7">
        <f>IF(117&gt;=80,('Testes estatísticos'!$D$85+'Testes estatísticos'!$D$122)/2,"")</f>
        <v>-4.0772705000000009</v>
      </c>
      <c r="DO258" s="7">
        <f>IF(118&gt;=80,('Testes estatísticos'!$D$85+'Testes estatísticos'!$D$123)/2,"")</f>
        <v>-4.0273600000000016</v>
      </c>
      <c r="DP258" s="7">
        <f>IF(119&gt;=80,('Testes estatísticos'!$D$85+'Testes estatísticos'!$D$124)/2,"")</f>
        <v>-4.0485715000000013</v>
      </c>
      <c r="DQ258" s="7">
        <f>IF(120&gt;=80,('Testes estatísticos'!$D$85+'Testes estatísticos'!$D$125)/2,"")</f>
        <v>-0.99695699999999832</v>
      </c>
      <c r="DR258" s="7">
        <f>IF(121&gt;=80,('Testes estatísticos'!$D$85+'Testes estatísticos'!$D$126)/2,"")</f>
        <v>-3.7859735000000008</v>
      </c>
      <c r="DS258" s="7">
        <f>IF(122&gt;=80,('Testes estatísticos'!$D$85+'Testes estatísticos'!$D$127)/2,"")</f>
        <v>-4.8513819999999974</v>
      </c>
      <c r="DT258" s="7">
        <f>IF(123&gt;=80,('Testes estatísticos'!$D$85+'Testes estatísticos'!$D$128)/2,"")</f>
        <v>1.2174874999999972</v>
      </c>
      <c r="DU258" s="7">
        <f>IF(124&gt;=80,('Testes estatísticos'!$D$85+'Testes estatísticos'!$D$129)/2,"")</f>
        <v>-3.6782840000000014</v>
      </c>
      <c r="DV258" s="7">
        <f>IF(125&gt;=80,('Testes estatísticos'!$D$85+'Testes estatísticos'!$D$130)/2,"")</f>
        <v>-2.5199765000000021</v>
      </c>
      <c r="DW258" s="7">
        <f>IF(126&gt;=80,('Testes estatísticos'!$D$85+'Testes estatísticos'!$D$131)/2,"")</f>
        <v>-4.9234524999999998</v>
      </c>
      <c r="DX258" s="7">
        <f>IF(127&gt;=80,('Testes estatísticos'!$D$85+'Testes estatísticos'!$D$132)/2,"")</f>
        <v>-6.9796440000000004</v>
      </c>
      <c r="DY258" s="7">
        <f>IF(128&gt;=80,('Testes estatísticos'!$D$85+'Testes estatísticos'!$D$133)/2,"")</f>
        <v>-7.3207334999999993</v>
      </c>
      <c r="DZ258" s="7">
        <f>IF(129&gt;=80,('Testes estatísticos'!$D$85+'Testes estatísticos'!$D$134)/2,"")</f>
        <v>-10.7445235</v>
      </c>
      <c r="EA258" s="7">
        <f>IF(130&gt;=80,('Testes estatísticos'!$D$85+'Testes estatísticos'!$D$135)/2,"")</f>
        <v>-4.9827534999999976</v>
      </c>
      <c r="EB258" s="7">
        <f>IF(131&gt;=80,('Testes estatísticos'!$D$85+'Testes estatísticos'!$D$136)/2,"")</f>
        <v>-4.8948805000000029</v>
      </c>
      <c r="EC258" s="7">
        <f>IF(132&gt;=80,('Testes estatísticos'!$D$85+'Testes estatísticos'!$D$137)/2,"")</f>
        <v>-6.3816170000000021</v>
      </c>
      <c r="ED258" s="7">
        <f>IF(133&gt;=80,('Testes estatísticos'!$D$85+'Testes estatísticos'!$D$138)/2,"")</f>
        <v>-4.1926795000000006</v>
      </c>
      <c r="EE258" s="7">
        <f>IF(134&gt;=80,('Testes estatísticos'!$D$85+'Testes estatísticos'!$D$139)/2,"")</f>
        <v>-6.4898700000000034</v>
      </c>
      <c r="EF258" s="7">
        <f>IF(135&gt;=80,('Testes estatísticos'!$D$85+'Testes estatísticos'!$D$140)/2,"")</f>
        <v>-3.2754374999999989</v>
      </c>
      <c r="EG258" s="7">
        <f>IF(136&gt;=80,('Testes estatísticos'!$D$85+'Testes estatísticos'!$D$141)/2,"")</f>
        <v>-4.9689275000000031</v>
      </c>
      <c r="EH258" s="7">
        <f>IF(137&gt;=80,('Testes estatísticos'!$D$85+'Testes estatísticos'!$D$142)/2,"")</f>
        <v>-3.264187500000002</v>
      </c>
      <c r="EI258" s="7">
        <f>IF(138&gt;=80,('Testes estatísticos'!$D$85+'Testes estatísticos'!$D$143)/2,"")</f>
        <v>-4.9292029999999976</v>
      </c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</row>
    <row r="259" spans="2:151" x14ac:dyDescent="0.3">
      <c r="B259" s="7" t="str">
        <f>IF(1&gt;=81,('Testes estatísticos'!$D$86+'Testes estatísticos'!$D$6)/2,"")</f>
        <v/>
      </c>
      <c r="C259" s="7" t="str">
        <f>IF(2&gt;=81,('Testes estatísticos'!$D$86+'Testes estatísticos'!$D$7)/2,"")</f>
        <v/>
      </c>
      <c r="D259" s="7" t="str">
        <f>IF(3&gt;=81,('Testes estatísticos'!$D$86+'Testes estatísticos'!$D$8)/2,"")</f>
        <v/>
      </c>
      <c r="E259" s="7" t="str">
        <f>IF(4&gt;=81,('Testes estatísticos'!$D$86+'Testes estatísticos'!$D$9)/2,"")</f>
        <v/>
      </c>
      <c r="F259" s="7" t="str">
        <f>IF(5&gt;=81,('Testes estatísticos'!$D$86+'Testes estatísticos'!$D$10)/2,"")</f>
        <v/>
      </c>
      <c r="G259" s="7" t="str">
        <f>IF(6&gt;=81,('Testes estatísticos'!$D$86+'Testes estatísticos'!$D$11)/2,"")</f>
        <v/>
      </c>
      <c r="H259" s="7" t="str">
        <f>IF(7&gt;=81,('Testes estatísticos'!$D$86+'Testes estatísticos'!$D$12)/2,"")</f>
        <v/>
      </c>
      <c r="I259" s="7" t="str">
        <f>IF(8&gt;=81,('Testes estatísticos'!$D$86+'Testes estatísticos'!$D$13)/2,"")</f>
        <v/>
      </c>
      <c r="J259" s="7" t="str">
        <f>IF(9&gt;=81,('Testes estatísticos'!$D$86+'Testes estatísticos'!$D$14)/2,"")</f>
        <v/>
      </c>
      <c r="K259" s="7" t="str">
        <f>IF(10&gt;=81,('Testes estatísticos'!$D$86+'Testes estatísticos'!$D$15)/2,"")</f>
        <v/>
      </c>
      <c r="L259" s="7" t="str">
        <f>IF(11&gt;=81,('Testes estatísticos'!$D$86+'Testes estatísticos'!$D$16)/2,"")</f>
        <v/>
      </c>
      <c r="M259" s="7" t="str">
        <f>IF(12&gt;=81,('Testes estatísticos'!$D$86+'Testes estatísticos'!$D$17)/2,"")</f>
        <v/>
      </c>
      <c r="N259" s="7" t="str">
        <f>IF(13&gt;=81,('Testes estatísticos'!$D$86+'Testes estatísticos'!$D$18)/2,"")</f>
        <v/>
      </c>
      <c r="O259" s="7" t="str">
        <f>IF(14&gt;=81,('Testes estatísticos'!$D$86+'Testes estatísticos'!$D$19)/2,"")</f>
        <v/>
      </c>
      <c r="P259" s="7" t="str">
        <f>IF(15&gt;=81,('Testes estatísticos'!$D$86+'Testes estatísticos'!$D$20)/2,"")</f>
        <v/>
      </c>
      <c r="Q259" s="7" t="str">
        <f>IF(16&gt;=81,('Testes estatísticos'!$D$86+'Testes estatísticos'!$D$21)/2,"")</f>
        <v/>
      </c>
      <c r="R259" s="7" t="str">
        <f>IF(17&gt;=81,('Testes estatísticos'!$D$86+'Testes estatísticos'!$D$22)/2,"")</f>
        <v/>
      </c>
      <c r="S259" s="7" t="str">
        <f>IF(18&gt;=81,('Testes estatísticos'!$D$86+'Testes estatísticos'!$D$23)/2,"")</f>
        <v/>
      </c>
      <c r="T259" s="7" t="str">
        <f>IF(19&gt;=81,('Testes estatísticos'!$D$86+'Testes estatísticos'!$D$24)/2,"")</f>
        <v/>
      </c>
      <c r="U259" s="7" t="str">
        <f>IF(20&gt;=81,('Testes estatísticos'!$D$86+'Testes estatísticos'!$D$25)/2,"")</f>
        <v/>
      </c>
      <c r="V259" s="7" t="str">
        <f>IF(21&gt;=81,('Testes estatísticos'!$D$86+'Testes estatísticos'!$D$26)/2,"")</f>
        <v/>
      </c>
      <c r="W259" s="7" t="str">
        <f>IF(22&gt;=81,('Testes estatísticos'!$D$86+'Testes estatísticos'!$D$27)/2,"")</f>
        <v/>
      </c>
      <c r="X259" s="7" t="str">
        <f>IF(23&gt;=81,('Testes estatísticos'!$D$86+'Testes estatísticos'!$D$28)/2,"")</f>
        <v/>
      </c>
      <c r="Y259" s="7" t="str">
        <f>IF(24&gt;=81,('Testes estatísticos'!$D$86+'Testes estatísticos'!$D$29)/2,"")</f>
        <v/>
      </c>
      <c r="Z259" s="7" t="str">
        <f>IF(25&gt;=81,('Testes estatísticos'!$D$86+'Testes estatísticos'!$D$30)/2,"")</f>
        <v/>
      </c>
      <c r="AA259" s="7" t="str">
        <f>IF(26&gt;=81,('Testes estatísticos'!$D$86+'Testes estatísticos'!$D$31)/2,"")</f>
        <v/>
      </c>
      <c r="AB259" s="7" t="str">
        <f>IF(27&gt;=81,('Testes estatísticos'!$D$86+'Testes estatísticos'!$D$32)/2,"")</f>
        <v/>
      </c>
      <c r="AC259" s="7" t="str">
        <f>IF(28&gt;=81,('Testes estatísticos'!$D$86+'Testes estatísticos'!$D$33)/2,"")</f>
        <v/>
      </c>
      <c r="AD259" s="7" t="str">
        <f>IF(29&gt;=81,('Testes estatísticos'!$D$86+'Testes estatísticos'!$D$34)/2,"")</f>
        <v/>
      </c>
      <c r="AE259" s="7" t="str">
        <f>IF(30&gt;=81,('Testes estatísticos'!$D$86+'Testes estatísticos'!$D$35)/2,"")</f>
        <v/>
      </c>
      <c r="AF259" s="7" t="str">
        <f>IF(31&gt;=81,('Testes estatísticos'!$D$86+'Testes estatísticos'!$D$36)/2,"")</f>
        <v/>
      </c>
      <c r="AG259" s="7" t="str">
        <f>IF(32&gt;=81,('Testes estatísticos'!$D$86+'Testes estatísticos'!$D$37)/2,"")</f>
        <v/>
      </c>
      <c r="AH259" s="7" t="str">
        <f>IF(33&gt;=81,('Testes estatísticos'!$D$86+'Testes estatísticos'!$D$38)/2,"")</f>
        <v/>
      </c>
      <c r="AI259" s="7" t="str">
        <f>IF(34&gt;=81,('Testes estatísticos'!$D$86+'Testes estatísticos'!$D$39)/2,"")</f>
        <v/>
      </c>
      <c r="AJ259" s="7" t="str">
        <f>IF(35&gt;=81,('Testes estatísticos'!$D$86+'Testes estatísticos'!$D$40)/2,"")</f>
        <v/>
      </c>
      <c r="AK259" s="7" t="str">
        <f>IF(36&gt;=81,('Testes estatísticos'!$D$86+'Testes estatísticos'!$D$41)/2,"")</f>
        <v/>
      </c>
      <c r="AL259" s="7" t="str">
        <f>IF(37&gt;=81,('Testes estatísticos'!$D$86+'Testes estatísticos'!$D$42)/2,"")</f>
        <v/>
      </c>
      <c r="AM259" s="7" t="str">
        <f>IF(38&gt;=81,('Testes estatísticos'!$D$86+'Testes estatísticos'!$D$43)/2,"")</f>
        <v/>
      </c>
      <c r="AN259" s="7" t="str">
        <f>IF(39&gt;=81,('Testes estatísticos'!$D$86+'Testes estatísticos'!$D$44)/2,"")</f>
        <v/>
      </c>
      <c r="AO259" s="7" t="str">
        <f>IF(40&gt;=81,('Testes estatísticos'!$D$86+'Testes estatísticos'!$D$45)/2,"")</f>
        <v/>
      </c>
      <c r="AP259" s="7" t="str">
        <f>IF(41&gt;=81,('Testes estatísticos'!$D$86+'Testes estatísticos'!$D$46)/2,"")</f>
        <v/>
      </c>
      <c r="AQ259" s="7" t="str">
        <f>IF(42&gt;=81,('Testes estatísticos'!$D$86+'Testes estatísticos'!$D$47)/2,"")</f>
        <v/>
      </c>
      <c r="AR259" s="7" t="str">
        <f>IF(43&gt;=81,('Testes estatísticos'!$D$86+'Testes estatísticos'!$D$48)/2,"")</f>
        <v/>
      </c>
      <c r="AS259" s="7" t="str">
        <f>IF(44&gt;=81,('Testes estatísticos'!$D$86+'Testes estatísticos'!$D$49)/2,"")</f>
        <v/>
      </c>
      <c r="AT259" s="7" t="str">
        <f>IF(45&gt;=81,('Testes estatísticos'!$D$86+'Testes estatísticos'!$D$50)/2,"")</f>
        <v/>
      </c>
      <c r="AU259" s="7" t="str">
        <f>IF(46&gt;=81,('Testes estatísticos'!$D$86+'Testes estatísticos'!$D$51)/2,"")</f>
        <v/>
      </c>
      <c r="AV259" s="7" t="str">
        <f>IF(47&gt;=81,('Testes estatísticos'!$D$86+'Testes estatísticos'!$D$52)/2,"")</f>
        <v/>
      </c>
      <c r="AW259" s="7" t="str">
        <f>IF(48&gt;=81,('Testes estatísticos'!$D$86+'Testes estatísticos'!$D$53)/2,"")</f>
        <v/>
      </c>
      <c r="AX259" s="7" t="str">
        <f>IF(49&gt;=81,('Testes estatísticos'!$D$86+'Testes estatísticos'!$D$54)/2,"")</f>
        <v/>
      </c>
      <c r="AY259" s="7" t="str">
        <f>IF(50&gt;=81,('Testes estatísticos'!$D$86+'Testes estatísticos'!$D$55)/2,"")</f>
        <v/>
      </c>
      <c r="AZ259" s="7" t="str">
        <f>IF(51&gt;=81,('Testes estatísticos'!$D$86+'Testes estatísticos'!$D$56)/2,"")</f>
        <v/>
      </c>
      <c r="BA259" s="7" t="str">
        <f>IF(52&gt;=81,('Testes estatísticos'!$D$86+'Testes estatísticos'!$D$57)/2,"")</f>
        <v/>
      </c>
      <c r="BB259" s="7" t="str">
        <f>IF(53&gt;=81,('Testes estatísticos'!$D$86+'Testes estatísticos'!$D$58)/2,"")</f>
        <v/>
      </c>
      <c r="BC259" s="7" t="str">
        <f>IF(54&gt;=81,('Testes estatísticos'!$D$86+'Testes estatísticos'!$D$59)/2,"")</f>
        <v/>
      </c>
      <c r="BD259" s="7" t="str">
        <f>IF(55&gt;=81,('Testes estatísticos'!$D$86+'Testes estatísticos'!$D$60)/2,"")</f>
        <v/>
      </c>
      <c r="BE259" s="7" t="str">
        <f>IF(56&gt;=81,('Testes estatísticos'!$D$86+'Testes estatísticos'!$D$61)/2,"")</f>
        <v/>
      </c>
      <c r="BF259" s="7" t="str">
        <f>IF(57&gt;=81,('Testes estatísticos'!$D$86+'Testes estatísticos'!$D$62)/2,"")</f>
        <v/>
      </c>
      <c r="BG259" s="7" t="str">
        <f>IF(58&gt;=81,('Testes estatísticos'!$D$86+'Testes estatísticos'!$D$63)/2,"")</f>
        <v/>
      </c>
      <c r="BH259" s="7" t="str">
        <f>IF(59&gt;=81,('Testes estatísticos'!$D$86+'Testes estatísticos'!$D$64)/2,"")</f>
        <v/>
      </c>
      <c r="BI259" s="7" t="str">
        <f>IF(60&gt;=81,('Testes estatísticos'!$D$86+'Testes estatísticos'!$D$65)/2,"")</f>
        <v/>
      </c>
      <c r="BJ259" s="7" t="str">
        <f>IF(61&gt;=81,('Testes estatísticos'!$D$86+'Testes estatísticos'!$D$66)/2,"")</f>
        <v/>
      </c>
      <c r="BK259" s="7" t="str">
        <f>IF(62&gt;=81,('Testes estatísticos'!$D$86+'Testes estatísticos'!$D$67)/2,"")</f>
        <v/>
      </c>
      <c r="BL259" s="7" t="str">
        <f>IF(63&gt;=81,('Testes estatísticos'!$D$86+'Testes estatísticos'!$D$68)/2,"")</f>
        <v/>
      </c>
      <c r="BM259" s="7" t="str">
        <f>IF(64&gt;=81,('Testes estatísticos'!$D$86+'Testes estatísticos'!$D$69)/2,"")</f>
        <v/>
      </c>
      <c r="BN259" s="7" t="str">
        <f>IF(65&gt;=81,('Testes estatísticos'!$D$86+'Testes estatísticos'!$D$70)/2,"")</f>
        <v/>
      </c>
      <c r="BO259" s="7" t="str">
        <f>IF(66&gt;=81,('Testes estatísticos'!$D$86+'Testes estatísticos'!$D$71)/2,"")</f>
        <v/>
      </c>
      <c r="BP259" s="7" t="str">
        <f>IF(67&gt;=81,('Testes estatísticos'!$D$86+'Testes estatísticos'!$D$72)/2,"")</f>
        <v/>
      </c>
      <c r="BQ259" s="7" t="str">
        <f>IF(68&gt;=81,('Testes estatísticos'!$D$86+'Testes estatísticos'!$D$73)/2,"")</f>
        <v/>
      </c>
      <c r="BR259" s="7" t="str">
        <f>IF(69&gt;=81,('Testes estatísticos'!$D$86+'Testes estatísticos'!$D$74)/2,"")</f>
        <v/>
      </c>
      <c r="BS259" s="7" t="str">
        <f>IF(70&gt;=81,('Testes estatísticos'!$D$86+'Testes estatísticos'!$D$75)/2,"")</f>
        <v/>
      </c>
      <c r="BT259" s="7" t="str">
        <f>IF(71&gt;=81,('Testes estatísticos'!$D$86+'Testes estatísticos'!$D$76)/2,"")</f>
        <v/>
      </c>
      <c r="BU259" s="7" t="str">
        <f>IF(72&gt;=81,('Testes estatísticos'!$D$86+'Testes estatísticos'!$D$77)/2,"")</f>
        <v/>
      </c>
      <c r="BV259" s="7" t="str">
        <f>IF(73&gt;=81,('Testes estatísticos'!$D$86+'Testes estatísticos'!$D$78)/2,"")</f>
        <v/>
      </c>
      <c r="BW259" s="7" t="str">
        <f>IF(74&gt;=81,('Testes estatísticos'!$D$86+'Testes estatísticos'!$D$79)/2,"")</f>
        <v/>
      </c>
      <c r="BX259" s="7" t="str">
        <f>IF(75&gt;=81,('Testes estatísticos'!$D$86+'Testes estatísticos'!$D$80)/2,"")</f>
        <v/>
      </c>
      <c r="BY259" s="7" t="str">
        <f>IF(76&gt;=81,('Testes estatísticos'!$D$86+'Testes estatísticos'!$D$81)/2,"")</f>
        <v/>
      </c>
      <c r="BZ259" s="7" t="str">
        <f>IF(77&gt;=81,('Testes estatísticos'!$D$86+'Testes estatísticos'!$D$82)/2,"")</f>
        <v/>
      </c>
      <c r="CA259" s="7" t="str">
        <f>IF(78&gt;=81,('Testes estatísticos'!$D$86+'Testes estatísticos'!$D$83)/2,"")</f>
        <v/>
      </c>
      <c r="CB259" s="7" t="str">
        <f>IF(79&gt;=81,('Testes estatísticos'!$D$86+'Testes estatísticos'!$D$84)/2,"")</f>
        <v/>
      </c>
      <c r="CC259" s="7" t="str">
        <f>IF(80&gt;=81,('Testes estatísticos'!$D$86+'Testes estatísticos'!$D$85)/2,"")</f>
        <v/>
      </c>
      <c r="CD259" s="7">
        <f>IF(81&gt;=81,('Testes estatísticos'!$D$86+'Testes estatísticos'!$D$86)/2,"")</f>
        <v>-6.1723810000000014</v>
      </c>
      <c r="CE259" s="7">
        <f>IF(82&gt;=81,('Testes estatísticos'!$D$86+'Testes estatísticos'!$D$87)/2,"")</f>
        <v>-4.0945905000000025</v>
      </c>
      <c r="CF259" s="7">
        <f>IF(83&gt;=81,('Testes estatísticos'!$D$86+'Testes estatísticos'!$D$88)/2,"")</f>
        <v>-4.6233975000000029</v>
      </c>
      <c r="CG259" s="7">
        <f>IF(84&gt;=81,('Testes estatísticos'!$D$86+'Testes estatísticos'!$D$89)/2,"")</f>
        <v>-4.9553045000000004</v>
      </c>
      <c r="CH259" s="7">
        <f>IF(85&gt;=81,('Testes estatísticos'!$D$86+'Testes estatísticos'!$D$90)/2,"")</f>
        <v>-3.1397575000000018</v>
      </c>
      <c r="CI259" s="7">
        <f>IF(86&gt;=81,('Testes estatísticos'!$D$86+'Testes estatísticos'!$D$91)/2,"")</f>
        <v>-5.8299169999999982</v>
      </c>
      <c r="CJ259" s="7">
        <f>IF(87&gt;=81,('Testes estatísticos'!$D$86+'Testes estatísticos'!$D$92)/2,"")</f>
        <v>-4.5877105</v>
      </c>
      <c r="CK259" s="7">
        <f>IF(88&gt;=81,('Testes estatísticos'!$D$86+'Testes estatísticos'!$D$93)/2,"")</f>
        <v>-4.3436270000000015</v>
      </c>
      <c r="CL259" s="7">
        <f>IF(89&gt;=81,('Testes estatísticos'!$D$86+'Testes estatísticos'!$D$94)/2,"")</f>
        <v>-4.9552190000000031</v>
      </c>
      <c r="CM259" s="7">
        <f>IF(90&gt;=81,('Testes estatísticos'!$D$86+'Testes estatísticos'!$D$95)/2,"")</f>
        <v>-7.2893509999999999</v>
      </c>
      <c r="CN259" s="7">
        <f>IF(91&gt;=81,('Testes estatísticos'!$D$86+'Testes estatísticos'!$D$96)/2,"")</f>
        <v>-4.7508279999999985</v>
      </c>
      <c r="CO259" s="7">
        <f>IF(92&gt;=81,('Testes estatísticos'!$D$86+'Testes estatísticos'!$D$97)/2,"")</f>
        <v>-5.0973314999999992</v>
      </c>
      <c r="CP259" s="7">
        <f>IF(93&gt;=81,('Testes estatísticos'!$D$86+'Testes estatísticos'!$D$98)/2,"")</f>
        <v>-5.3020834999999984</v>
      </c>
      <c r="CQ259" s="7">
        <f>IF(94&gt;=81,('Testes estatísticos'!$D$86+'Testes estatísticos'!$D$99)/2,"")</f>
        <v>-3.120925500000002</v>
      </c>
      <c r="CR259" s="7">
        <f>IF(95&gt;=81,('Testes estatísticos'!$D$86+'Testes estatísticos'!$D$100)/2,"")</f>
        <v>-5.0267185000000012</v>
      </c>
      <c r="CS259" s="7">
        <f>IF(96&gt;=81,('Testes estatísticos'!$D$86+'Testes estatísticos'!$D$101)/2,"")</f>
        <v>-4.9827315000000034</v>
      </c>
      <c r="CT259" s="7">
        <f>IF(97&gt;=81,('Testes estatísticos'!$D$86+'Testes estatísticos'!$D$102)/2,"")</f>
        <v>-4.7496810000000025</v>
      </c>
      <c r="CU259" s="7">
        <f>IF(98&gt;=81,('Testes estatísticos'!$D$86+'Testes estatísticos'!$D$103)/2,"")</f>
        <v>-4.6923549999999992</v>
      </c>
      <c r="CV259" s="7">
        <f>IF(99&gt;=81,('Testes estatísticos'!$D$86+'Testes estatísticos'!$D$104)/2,"")</f>
        <v>-5.1271810000000002</v>
      </c>
      <c r="CW259" s="7">
        <f>IF(100&gt;=81,('Testes estatísticos'!$D$86+'Testes estatísticos'!$D$105)/2,"")</f>
        <v>-5.2266469999999998</v>
      </c>
      <c r="CX259" s="7">
        <f>IF(101&gt;=81,('Testes estatísticos'!$D$86+'Testes estatísticos'!$D$106)/2,"")</f>
        <v>-4.7037204999999993</v>
      </c>
      <c r="CY259" s="7">
        <f>IF(102&gt;=81,('Testes estatísticos'!$D$86+'Testes estatísticos'!$D$107)/2,"")</f>
        <v>-4.7593855000000005</v>
      </c>
      <c r="CZ259" s="7">
        <f>IF(103&gt;=81,('Testes estatísticos'!$D$86+'Testes estatísticos'!$D$108)/2,"")</f>
        <v>-5.2835520000000002</v>
      </c>
      <c r="DA259" s="7">
        <f>IF(104&gt;=81,('Testes estatísticos'!$D$86+'Testes estatísticos'!$D$109)/2,"")</f>
        <v>-5.0209179999999982</v>
      </c>
      <c r="DB259" s="7">
        <f>IF(105&gt;=81,('Testes estatísticos'!$D$86+'Testes estatísticos'!$D$110)/2,"")</f>
        <v>-4.9865870000000001</v>
      </c>
      <c r="DC259" s="7">
        <f>IF(106&gt;=81,('Testes estatísticos'!$D$86+'Testes estatísticos'!$D$111)/2,"")</f>
        <v>-4.243666000000001</v>
      </c>
      <c r="DD259" s="7">
        <f>IF(107&gt;=81,('Testes estatísticos'!$D$86+'Testes estatísticos'!$D$112)/2,"")</f>
        <v>-0.7504950000000008</v>
      </c>
      <c r="DE259" s="7">
        <f>IF(108&gt;=81,('Testes estatísticos'!$D$86+'Testes estatísticos'!$D$113)/2,"")</f>
        <v>-4.1731304999999992</v>
      </c>
      <c r="DF259" s="7">
        <f>IF(109&gt;=81,('Testes estatísticos'!$D$86+'Testes estatísticos'!$D$114)/2,"")</f>
        <v>-4.2093874999999983</v>
      </c>
      <c r="DG259" s="7">
        <f>IF(110&gt;=81,('Testes estatísticos'!$D$86+'Testes estatísticos'!$D$115)/2,"")</f>
        <v>-9.7565270000000019</v>
      </c>
      <c r="DH259" s="7">
        <f>IF(111&gt;=81,('Testes estatísticos'!$D$86+'Testes estatísticos'!$D$116)/2,"")</f>
        <v>-4.0756964999999994</v>
      </c>
      <c r="DI259" s="7">
        <f>IF(112&gt;=81,('Testes estatísticos'!$D$86+'Testes estatísticos'!$D$117)/2,"")</f>
        <v>1.352743499999999</v>
      </c>
      <c r="DJ259" s="7">
        <f>IF(113&gt;=81,('Testes estatísticos'!$D$86+'Testes estatísticos'!$D$118)/2,"")</f>
        <v>-4.1038135000000011</v>
      </c>
      <c r="DK259" s="7">
        <f>IF(114&gt;=81,('Testes estatísticos'!$D$86+'Testes estatísticos'!$D$119)/2,"")</f>
        <v>-4.2055635000000002</v>
      </c>
      <c r="DL259" s="7">
        <f>IF(115&gt;=81,('Testes estatísticos'!$D$86+'Testes estatísticos'!$D$120)/2,"")</f>
        <v>-4.1590859999999985</v>
      </c>
      <c r="DM259" s="7">
        <f>IF(116&gt;=81,('Testes estatísticos'!$D$86+'Testes estatísticos'!$D$121)/2,"")</f>
        <v>-4.1504835</v>
      </c>
      <c r="DN259" s="7">
        <f>IF(117&gt;=81,('Testes estatísticos'!$D$86+'Testes estatísticos'!$D$122)/2,"")</f>
        <v>-4.1274155000000015</v>
      </c>
      <c r="DO259" s="7">
        <f>IF(118&gt;=81,('Testes estatísticos'!$D$86+'Testes estatísticos'!$D$123)/2,"")</f>
        <v>-4.0775050000000022</v>
      </c>
      <c r="DP259" s="7">
        <f>IF(119&gt;=81,('Testes estatísticos'!$D$86+'Testes estatísticos'!$D$124)/2,"")</f>
        <v>-4.0987165000000019</v>
      </c>
      <c r="DQ259" s="7">
        <f>IF(120&gt;=81,('Testes estatísticos'!$D$86+'Testes estatísticos'!$D$125)/2,"")</f>
        <v>-1.0471019999999989</v>
      </c>
      <c r="DR259" s="7">
        <f>IF(121&gt;=81,('Testes estatísticos'!$D$86+'Testes estatísticos'!$D$126)/2,"")</f>
        <v>-3.8361185000000013</v>
      </c>
      <c r="DS259" s="7">
        <f>IF(122&gt;=81,('Testes estatísticos'!$D$86+'Testes estatísticos'!$D$127)/2,"")</f>
        <v>-4.901526999999998</v>
      </c>
      <c r="DT259" s="7">
        <f>IF(123&gt;=81,('Testes estatísticos'!$D$86+'Testes estatísticos'!$D$128)/2,"")</f>
        <v>1.1673424999999966</v>
      </c>
      <c r="DU259" s="7">
        <f>IF(124&gt;=81,('Testes estatísticos'!$D$86+'Testes estatísticos'!$D$129)/2,"")</f>
        <v>-3.728429000000002</v>
      </c>
      <c r="DV259" s="7">
        <f>IF(125&gt;=81,('Testes estatísticos'!$D$86+'Testes estatísticos'!$D$130)/2,"")</f>
        <v>-2.5701215000000026</v>
      </c>
      <c r="DW259" s="7">
        <f>IF(126&gt;=81,('Testes estatísticos'!$D$86+'Testes estatísticos'!$D$131)/2,"")</f>
        <v>-4.9735975000000003</v>
      </c>
      <c r="DX259" s="7">
        <f>IF(127&gt;=81,('Testes estatísticos'!$D$86+'Testes estatísticos'!$D$132)/2,"")</f>
        <v>-7.029789000000001</v>
      </c>
      <c r="DY259" s="7">
        <f>IF(128&gt;=81,('Testes estatísticos'!$D$86+'Testes estatísticos'!$D$133)/2,"")</f>
        <v>-7.3708784999999999</v>
      </c>
      <c r="DZ259" s="7">
        <f>IF(129&gt;=81,('Testes estatísticos'!$D$86+'Testes estatísticos'!$D$134)/2,"")</f>
        <v>-10.7946685</v>
      </c>
      <c r="EA259" s="7">
        <f>IF(130&gt;=81,('Testes estatísticos'!$D$86+'Testes estatísticos'!$D$135)/2,"")</f>
        <v>-5.0328984999999982</v>
      </c>
      <c r="EB259" s="7">
        <f>IF(131&gt;=81,('Testes estatísticos'!$D$86+'Testes estatísticos'!$D$136)/2,"")</f>
        <v>-4.9450255000000034</v>
      </c>
      <c r="EC259" s="7">
        <f>IF(132&gt;=81,('Testes estatísticos'!$D$86+'Testes estatísticos'!$D$137)/2,"")</f>
        <v>-6.4317620000000026</v>
      </c>
      <c r="ED259" s="7">
        <f>IF(133&gt;=81,('Testes estatísticos'!$D$86+'Testes estatísticos'!$D$138)/2,"")</f>
        <v>-4.2428245000000011</v>
      </c>
      <c r="EE259" s="7">
        <f>IF(134&gt;=81,('Testes estatísticos'!$D$86+'Testes estatísticos'!$D$139)/2,"")</f>
        <v>-6.5400150000000039</v>
      </c>
      <c r="EF259" s="7">
        <f>IF(135&gt;=81,('Testes estatísticos'!$D$86+'Testes estatísticos'!$D$140)/2,"")</f>
        <v>-3.3255824999999994</v>
      </c>
      <c r="EG259" s="7">
        <f>IF(136&gt;=81,('Testes estatísticos'!$D$86+'Testes estatísticos'!$D$141)/2,"")</f>
        <v>-5.0190725000000036</v>
      </c>
      <c r="EH259" s="7">
        <f>IF(137&gt;=81,('Testes estatísticos'!$D$86+'Testes estatísticos'!$D$142)/2,"")</f>
        <v>-3.3143325000000026</v>
      </c>
      <c r="EI259" s="7">
        <f>IF(138&gt;=81,('Testes estatísticos'!$D$86+'Testes estatísticos'!$D$143)/2,"")</f>
        <v>-4.9793479999999981</v>
      </c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</row>
    <row r="260" spans="2:151" x14ac:dyDescent="0.3">
      <c r="B260" s="7" t="str">
        <f>IF(1&gt;=82,('Testes estatísticos'!$D$87+'Testes estatísticos'!$D$6)/2,"")</f>
        <v/>
      </c>
      <c r="C260" s="7" t="str">
        <f>IF(2&gt;=82,('Testes estatísticos'!$D$87+'Testes estatísticos'!$D$7)/2,"")</f>
        <v/>
      </c>
      <c r="D260" s="7" t="str">
        <f>IF(3&gt;=82,('Testes estatísticos'!$D$87+'Testes estatísticos'!$D$8)/2,"")</f>
        <v/>
      </c>
      <c r="E260" s="7" t="str">
        <f>IF(4&gt;=82,('Testes estatísticos'!$D$87+'Testes estatísticos'!$D$9)/2,"")</f>
        <v/>
      </c>
      <c r="F260" s="7" t="str">
        <f>IF(5&gt;=82,('Testes estatísticos'!$D$87+'Testes estatísticos'!$D$10)/2,"")</f>
        <v/>
      </c>
      <c r="G260" s="7" t="str">
        <f>IF(6&gt;=82,('Testes estatísticos'!$D$87+'Testes estatísticos'!$D$11)/2,"")</f>
        <v/>
      </c>
      <c r="H260" s="7" t="str">
        <f>IF(7&gt;=82,('Testes estatísticos'!$D$87+'Testes estatísticos'!$D$12)/2,"")</f>
        <v/>
      </c>
      <c r="I260" s="7" t="str">
        <f>IF(8&gt;=82,('Testes estatísticos'!$D$87+'Testes estatísticos'!$D$13)/2,"")</f>
        <v/>
      </c>
      <c r="J260" s="7" t="str">
        <f>IF(9&gt;=82,('Testes estatísticos'!$D$87+'Testes estatísticos'!$D$14)/2,"")</f>
        <v/>
      </c>
      <c r="K260" s="7" t="str">
        <f>IF(10&gt;=82,('Testes estatísticos'!$D$87+'Testes estatísticos'!$D$15)/2,"")</f>
        <v/>
      </c>
      <c r="L260" s="7" t="str">
        <f>IF(11&gt;=82,('Testes estatísticos'!$D$87+'Testes estatísticos'!$D$16)/2,"")</f>
        <v/>
      </c>
      <c r="M260" s="7" t="str">
        <f>IF(12&gt;=82,('Testes estatísticos'!$D$87+'Testes estatísticos'!$D$17)/2,"")</f>
        <v/>
      </c>
      <c r="N260" s="7" t="str">
        <f>IF(13&gt;=82,('Testes estatísticos'!$D$87+'Testes estatísticos'!$D$18)/2,"")</f>
        <v/>
      </c>
      <c r="O260" s="7" t="str">
        <f>IF(14&gt;=82,('Testes estatísticos'!$D$87+'Testes estatísticos'!$D$19)/2,"")</f>
        <v/>
      </c>
      <c r="P260" s="7" t="str">
        <f>IF(15&gt;=82,('Testes estatísticos'!$D$87+'Testes estatísticos'!$D$20)/2,"")</f>
        <v/>
      </c>
      <c r="Q260" s="7" t="str">
        <f>IF(16&gt;=82,('Testes estatísticos'!$D$87+'Testes estatísticos'!$D$21)/2,"")</f>
        <v/>
      </c>
      <c r="R260" s="7" t="str">
        <f>IF(17&gt;=82,('Testes estatísticos'!$D$87+'Testes estatísticos'!$D$22)/2,"")</f>
        <v/>
      </c>
      <c r="S260" s="7" t="str">
        <f>IF(18&gt;=82,('Testes estatísticos'!$D$87+'Testes estatísticos'!$D$23)/2,"")</f>
        <v/>
      </c>
      <c r="T260" s="7" t="str">
        <f>IF(19&gt;=82,('Testes estatísticos'!$D$87+'Testes estatísticos'!$D$24)/2,"")</f>
        <v/>
      </c>
      <c r="U260" s="7" t="str">
        <f>IF(20&gt;=82,('Testes estatísticos'!$D$87+'Testes estatísticos'!$D$25)/2,"")</f>
        <v/>
      </c>
      <c r="V260" s="7" t="str">
        <f>IF(21&gt;=82,('Testes estatísticos'!$D$87+'Testes estatísticos'!$D$26)/2,"")</f>
        <v/>
      </c>
      <c r="W260" s="7" t="str">
        <f>IF(22&gt;=82,('Testes estatísticos'!$D$87+'Testes estatísticos'!$D$27)/2,"")</f>
        <v/>
      </c>
      <c r="X260" s="7" t="str">
        <f>IF(23&gt;=82,('Testes estatísticos'!$D$87+'Testes estatísticos'!$D$28)/2,"")</f>
        <v/>
      </c>
      <c r="Y260" s="7" t="str">
        <f>IF(24&gt;=82,('Testes estatísticos'!$D$87+'Testes estatísticos'!$D$29)/2,"")</f>
        <v/>
      </c>
      <c r="Z260" s="7" t="str">
        <f>IF(25&gt;=82,('Testes estatísticos'!$D$87+'Testes estatísticos'!$D$30)/2,"")</f>
        <v/>
      </c>
      <c r="AA260" s="7" t="str">
        <f>IF(26&gt;=82,('Testes estatísticos'!$D$87+'Testes estatísticos'!$D$31)/2,"")</f>
        <v/>
      </c>
      <c r="AB260" s="7" t="str">
        <f>IF(27&gt;=82,('Testes estatísticos'!$D$87+'Testes estatísticos'!$D$32)/2,"")</f>
        <v/>
      </c>
      <c r="AC260" s="7" t="str">
        <f>IF(28&gt;=82,('Testes estatísticos'!$D$87+'Testes estatísticos'!$D$33)/2,"")</f>
        <v/>
      </c>
      <c r="AD260" s="7" t="str">
        <f>IF(29&gt;=82,('Testes estatísticos'!$D$87+'Testes estatísticos'!$D$34)/2,"")</f>
        <v/>
      </c>
      <c r="AE260" s="7" t="str">
        <f>IF(30&gt;=82,('Testes estatísticos'!$D$87+'Testes estatísticos'!$D$35)/2,"")</f>
        <v/>
      </c>
      <c r="AF260" s="7" t="str">
        <f>IF(31&gt;=82,('Testes estatísticos'!$D$87+'Testes estatísticos'!$D$36)/2,"")</f>
        <v/>
      </c>
      <c r="AG260" s="7" t="str">
        <f>IF(32&gt;=82,('Testes estatísticos'!$D$87+'Testes estatísticos'!$D$37)/2,"")</f>
        <v/>
      </c>
      <c r="AH260" s="7" t="str">
        <f>IF(33&gt;=82,('Testes estatísticos'!$D$87+'Testes estatísticos'!$D$38)/2,"")</f>
        <v/>
      </c>
      <c r="AI260" s="7" t="str">
        <f>IF(34&gt;=82,('Testes estatísticos'!$D$87+'Testes estatísticos'!$D$39)/2,"")</f>
        <v/>
      </c>
      <c r="AJ260" s="7" t="str">
        <f>IF(35&gt;=82,('Testes estatísticos'!$D$87+'Testes estatísticos'!$D$40)/2,"")</f>
        <v/>
      </c>
      <c r="AK260" s="7" t="str">
        <f>IF(36&gt;=82,('Testes estatísticos'!$D$87+'Testes estatísticos'!$D$41)/2,"")</f>
        <v/>
      </c>
      <c r="AL260" s="7" t="str">
        <f>IF(37&gt;=82,('Testes estatísticos'!$D$87+'Testes estatísticos'!$D$42)/2,"")</f>
        <v/>
      </c>
      <c r="AM260" s="7" t="str">
        <f>IF(38&gt;=82,('Testes estatísticos'!$D$87+'Testes estatísticos'!$D$43)/2,"")</f>
        <v/>
      </c>
      <c r="AN260" s="7" t="str">
        <f>IF(39&gt;=82,('Testes estatísticos'!$D$87+'Testes estatísticos'!$D$44)/2,"")</f>
        <v/>
      </c>
      <c r="AO260" s="7" t="str">
        <f>IF(40&gt;=82,('Testes estatísticos'!$D$87+'Testes estatísticos'!$D$45)/2,"")</f>
        <v/>
      </c>
      <c r="AP260" s="7" t="str">
        <f>IF(41&gt;=82,('Testes estatísticos'!$D$87+'Testes estatísticos'!$D$46)/2,"")</f>
        <v/>
      </c>
      <c r="AQ260" s="7" t="str">
        <f>IF(42&gt;=82,('Testes estatísticos'!$D$87+'Testes estatísticos'!$D$47)/2,"")</f>
        <v/>
      </c>
      <c r="AR260" s="7" t="str">
        <f>IF(43&gt;=82,('Testes estatísticos'!$D$87+'Testes estatísticos'!$D$48)/2,"")</f>
        <v/>
      </c>
      <c r="AS260" s="7" t="str">
        <f>IF(44&gt;=82,('Testes estatísticos'!$D$87+'Testes estatísticos'!$D$49)/2,"")</f>
        <v/>
      </c>
      <c r="AT260" s="7" t="str">
        <f>IF(45&gt;=82,('Testes estatísticos'!$D$87+'Testes estatísticos'!$D$50)/2,"")</f>
        <v/>
      </c>
      <c r="AU260" s="7" t="str">
        <f>IF(46&gt;=82,('Testes estatísticos'!$D$87+'Testes estatísticos'!$D$51)/2,"")</f>
        <v/>
      </c>
      <c r="AV260" s="7" t="str">
        <f>IF(47&gt;=82,('Testes estatísticos'!$D$87+'Testes estatísticos'!$D$52)/2,"")</f>
        <v/>
      </c>
      <c r="AW260" s="7" t="str">
        <f>IF(48&gt;=82,('Testes estatísticos'!$D$87+'Testes estatísticos'!$D$53)/2,"")</f>
        <v/>
      </c>
      <c r="AX260" s="7" t="str">
        <f>IF(49&gt;=82,('Testes estatísticos'!$D$87+'Testes estatísticos'!$D$54)/2,"")</f>
        <v/>
      </c>
      <c r="AY260" s="7" t="str">
        <f>IF(50&gt;=82,('Testes estatísticos'!$D$87+'Testes estatísticos'!$D$55)/2,"")</f>
        <v/>
      </c>
      <c r="AZ260" s="7" t="str">
        <f>IF(51&gt;=82,('Testes estatísticos'!$D$87+'Testes estatísticos'!$D$56)/2,"")</f>
        <v/>
      </c>
      <c r="BA260" s="7" t="str">
        <f>IF(52&gt;=82,('Testes estatísticos'!$D$87+'Testes estatísticos'!$D$57)/2,"")</f>
        <v/>
      </c>
      <c r="BB260" s="7" t="str">
        <f>IF(53&gt;=82,('Testes estatísticos'!$D$87+'Testes estatísticos'!$D$58)/2,"")</f>
        <v/>
      </c>
      <c r="BC260" s="7" t="str">
        <f>IF(54&gt;=82,('Testes estatísticos'!$D$87+'Testes estatísticos'!$D$59)/2,"")</f>
        <v/>
      </c>
      <c r="BD260" s="7" t="str">
        <f>IF(55&gt;=82,('Testes estatísticos'!$D$87+'Testes estatísticos'!$D$60)/2,"")</f>
        <v/>
      </c>
      <c r="BE260" s="7" t="str">
        <f>IF(56&gt;=82,('Testes estatísticos'!$D$87+'Testes estatísticos'!$D$61)/2,"")</f>
        <v/>
      </c>
      <c r="BF260" s="7" t="str">
        <f>IF(57&gt;=82,('Testes estatísticos'!$D$87+'Testes estatísticos'!$D$62)/2,"")</f>
        <v/>
      </c>
      <c r="BG260" s="7" t="str">
        <f>IF(58&gt;=82,('Testes estatísticos'!$D$87+'Testes estatísticos'!$D$63)/2,"")</f>
        <v/>
      </c>
      <c r="BH260" s="7" t="str">
        <f>IF(59&gt;=82,('Testes estatísticos'!$D$87+'Testes estatísticos'!$D$64)/2,"")</f>
        <v/>
      </c>
      <c r="BI260" s="7" t="str">
        <f>IF(60&gt;=82,('Testes estatísticos'!$D$87+'Testes estatísticos'!$D$65)/2,"")</f>
        <v/>
      </c>
      <c r="BJ260" s="7" t="str">
        <f>IF(61&gt;=82,('Testes estatísticos'!$D$87+'Testes estatísticos'!$D$66)/2,"")</f>
        <v/>
      </c>
      <c r="BK260" s="7" t="str">
        <f>IF(62&gt;=82,('Testes estatísticos'!$D$87+'Testes estatísticos'!$D$67)/2,"")</f>
        <v/>
      </c>
      <c r="BL260" s="7" t="str">
        <f>IF(63&gt;=82,('Testes estatísticos'!$D$87+'Testes estatísticos'!$D$68)/2,"")</f>
        <v/>
      </c>
      <c r="BM260" s="7" t="str">
        <f>IF(64&gt;=82,('Testes estatísticos'!$D$87+'Testes estatísticos'!$D$69)/2,"")</f>
        <v/>
      </c>
      <c r="BN260" s="7" t="str">
        <f>IF(65&gt;=82,('Testes estatísticos'!$D$87+'Testes estatísticos'!$D$70)/2,"")</f>
        <v/>
      </c>
      <c r="BO260" s="7" t="str">
        <f>IF(66&gt;=82,('Testes estatísticos'!$D$87+'Testes estatísticos'!$D$71)/2,"")</f>
        <v/>
      </c>
      <c r="BP260" s="7" t="str">
        <f>IF(67&gt;=82,('Testes estatísticos'!$D$87+'Testes estatísticos'!$D$72)/2,"")</f>
        <v/>
      </c>
      <c r="BQ260" s="7" t="str">
        <f>IF(68&gt;=82,('Testes estatísticos'!$D$87+'Testes estatísticos'!$D$73)/2,"")</f>
        <v/>
      </c>
      <c r="BR260" s="7" t="str">
        <f>IF(69&gt;=82,('Testes estatísticos'!$D$87+'Testes estatísticos'!$D$74)/2,"")</f>
        <v/>
      </c>
      <c r="BS260" s="7" t="str">
        <f>IF(70&gt;=82,('Testes estatísticos'!$D$87+'Testes estatísticos'!$D$75)/2,"")</f>
        <v/>
      </c>
      <c r="BT260" s="7" t="str">
        <f>IF(71&gt;=82,('Testes estatísticos'!$D$87+'Testes estatísticos'!$D$76)/2,"")</f>
        <v/>
      </c>
      <c r="BU260" s="7" t="str">
        <f>IF(72&gt;=82,('Testes estatísticos'!$D$87+'Testes estatísticos'!$D$77)/2,"")</f>
        <v/>
      </c>
      <c r="BV260" s="7" t="str">
        <f>IF(73&gt;=82,('Testes estatísticos'!$D$87+'Testes estatísticos'!$D$78)/2,"")</f>
        <v/>
      </c>
      <c r="BW260" s="7" t="str">
        <f>IF(74&gt;=82,('Testes estatísticos'!$D$87+'Testes estatísticos'!$D$79)/2,"")</f>
        <v/>
      </c>
      <c r="BX260" s="7" t="str">
        <f>IF(75&gt;=82,('Testes estatísticos'!$D$87+'Testes estatísticos'!$D$80)/2,"")</f>
        <v/>
      </c>
      <c r="BY260" s="7" t="str">
        <f>IF(76&gt;=82,('Testes estatísticos'!$D$87+'Testes estatísticos'!$D$81)/2,"")</f>
        <v/>
      </c>
      <c r="BZ260" s="7" t="str">
        <f>IF(77&gt;=82,('Testes estatísticos'!$D$87+'Testes estatísticos'!$D$82)/2,"")</f>
        <v/>
      </c>
      <c r="CA260" s="7" t="str">
        <f>IF(78&gt;=82,('Testes estatísticos'!$D$87+'Testes estatísticos'!$D$83)/2,"")</f>
        <v/>
      </c>
      <c r="CB260" s="7" t="str">
        <f>IF(79&gt;=82,('Testes estatísticos'!$D$87+'Testes estatísticos'!$D$84)/2,"")</f>
        <v/>
      </c>
      <c r="CC260" s="7" t="str">
        <f>IF(80&gt;=82,('Testes estatísticos'!$D$87+'Testes estatísticos'!$D$85)/2,"")</f>
        <v/>
      </c>
      <c r="CD260" s="7" t="str">
        <f>IF(81&gt;=82,('Testes estatísticos'!$D$87+'Testes estatísticos'!$D$86)/2,"")</f>
        <v/>
      </c>
      <c r="CE260" s="7">
        <f>IF(82&gt;=82,('Testes estatísticos'!$D$87+'Testes estatísticos'!$D$87)/2,"")</f>
        <v>-2.0168000000000035</v>
      </c>
      <c r="CF260" s="7">
        <f>IF(83&gt;=82,('Testes estatísticos'!$D$87+'Testes estatísticos'!$D$88)/2,"")</f>
        <v>-2.5456070000000039</v>
      </c>
      <c r="CG260" s="7">
        <f>IF(84&gt;=82,('Testes estatísticos'!$D$87+'Testes estatísticos'!$D$89)/2,"")</f>
        <v>-2.8775140000000015</v>
      </c>
      <c r="CH260" s="7">
        <f>IF(85&gt;=82,('Testes estatísticos'!$D$87+'Testes estatísticos'!$D$90)/2,"")</f>
        <v>-1.0619670000000028</v>
      </c>
      <c r="CI260" s="7">
        <f>IF(86&gt;=82,('Testes estatísticos'!$D$87+'Testes estatísticos'!$D$91)/2,"")</f>
        <v>-3.7521264999999993</v>
      </c>
      <c r="CJ260" s="7">
        <f>IF(87&gt;=82,('Testes estatísticos'!$D$87+'Testes estatísticos'!$D$92)/2,"")</f>
        <v>-2.509920000000001</v>
      </c>
      <c r="CK260" s="7">
        <f>IF(88&gt;=82,('Testes estatísticos'!$D$87+'Testes estatísticos'!$D$93)/2,"")</f>
        <v>-2.2658365000000025</v>
      </c>
      <c r="CL260" s="7">
        <f>IF(89&gt;=82,('Testes estatísticos'!$D$87+'Testes estatísticos'!$D$94)/2,"")</f>
        <v>-2.8774285000000042</v>
      </c>
      <c r="CM260" s="7">
        <f>IF(90&gt;=82,('Testes estatísticos'!$D$87+'Testes estatísticos'!$D$95)/2,"")</f>
        <v>-5.2115605000000009</v>
      </c>
      <c r="CN260" s="7">
        <f>IF(91&gt;=82,('Testes estatísticos'!$D$87+'Testes estatísticos'!$D$96)/2,"")</f>
        <v>-2.6730374999999995</v>
      </c>
      <c r="CO260" s="7">
        <f>IF(92&gt;=82,('Testes estatísticos'!$D$87+'Testes estatísticos'!$D$97)/2,"")</f>
        <v>-3.0195410000000003</v>
      </c>
      <c r="CP260" s="7">
        <f>IF(93&gt;=82,('Testes estatísticos'!$D$87+'Testes estatísticos'!$D$98)/2,"")</f>
        <v>-3.2242929999999994</v>
      </c>
      <c r="CQ260" s="7">
        <f>IF(94&gt;=82,('Testes estatísticos'!$D$87+'Testes estatísticos'!$D$99)/2,"")</f>
        <v>-1.043135000000003</v>
      </c>
      <c r="CR260" s="7">
        <f>IF(95&gt;=82,('Testes estatísticos'!$D$87+'Testes estatísticos'!$D$100)/2,"")</f>
        <v>-2.9489280000000022</v>
      </c>
      <c r="CS260" s="7">
        <f>IF(96&gt;=82,('Testes estatísticos'!$D$87+'Testes estatísticos'!$D$101)/2,"")</f>
        <v>-2.9049410000000044</v>
      </c>
      <c r="CT260" s="7">
        <f>IF(97&gt;=82,('Testes estatísticos'!$D$87+'Testes estatísticos'!$D$102)/2,"")</f>
        <v>-2.6718905000000035</v>
      </c>
      <c r="CU260" s="7">
        <f>IF(98&gt;=82,('Testes estatísticos'!$D$87+'Testes estatísticos'!$D$103)/2,"")</f>
        <v>-2.6145645000000002</v>
      </c>
      <c r="CV260" s="7">
        <f>IF(99&gt;=82,('Testes estatísticos'!$D$87+'Testes estatísticos'!$D$104)/2,"")</f>
        <v>-3.0493905000000012</v>
      </c>
      <c r="CW260" s="7">
        <f>IF(100&gt;=82,('Testes estatísticos'!$D$87+'Testes estatísticos'!$D$105)/2,"")</f>
        <v>-3.1488565000000008</v>
      </c>
      <c r="CX260" s="7">
        <f>IF(101&gt;=82,('Testes estatísticos'!$D$87+'Testes estatísticos'!$D$106)/2,"")</f>
        <v>-2.6259300000000003</v>
      </c>
      <c r="CY260" s="7">
        <f>IF(102&gt;=82,('Testes estatísticos'!$D$87+'Testes estatísticos'!$D$107)/2,"")</f>
        <v>-2.6815950000000015</v>
      </c>
      <c r="CZ260" s="7">
        <f>IF(103&gt;=82,('Testes estatísticos'!$D$87+'Testes estatísticos'!$D$108)/2,"")</f>
        <v>-3.2057615000000013</v>
      </c>
      <c r="DA260" s="7">
        <f>IF(104&gt;=82,('Testes estatísticos'!$D$87+'Testes estatísticos'!$D$109)/2,"")</f>
        <v>-2.9431274999999992</v>
      </c>
      <c r="DB260" s="7">
        <f>IF(105&gt;=82,('Testes estatísticos'!$D$87+'Testes estatísticos'!$D$110)/2,"")</f>
        <v>-2.9087965000000011</v>
      </c>
      <c r="DC260" s="7">
        <f>IF(106&gt;=82,('Testes estatísticos'!$D$87+'Testes estatísticos'!$D$111)/2,"")</f>
        <v>-2.1658755000000021</v>
      </c>
      <c r="DD260" s="7">
        <f>IF(107&gt;=82,('Testes estatísticos'!$D$87+'Testes estatísticos'!$D$112)/2,"")</f>
        <v>1.3272954999999982</v>
      </c>
      <c r="DE260" s="7">
        <f>IF(108&gt;=82,('Testes estatísticos'!$D$87+'Testes estatísticos'!$D$113)/2,"")</f>
        <v>-2.0953400000000002</v>
      </c>
      <c r="DF260" s="7">
        <f>IF(109&gt;=82,('Testes estatísticos'!$D$87+'Testes estatísticos'!$D$114)/2,"")</f>
        <v>-2.1315969999999993</v>
      </c>
      <c r="DG260" s="7">
        <f>IF(110&gt;=82,('Testes estatísticos'!$D$87+'Testes estatísticos'!$D$115)/2,"")</f>
        <v>-7.678736500000003</v>
      </c>
      <c r="DH260" s="7">
        <f>IF(111&gt;=82,('Testes estatísticos'!$D$87+'Testes estatísticos'!$D$116)/2,"")</f>
        <v>-1.9979060000000004</v>
      </c>
      <c r="DI260" s="7">
        <f>IF(112&gt;=82,('Testes estatísticos'!$D$87+'Testes estatísticos'!$D$117)/2,"")</f>
        <v>3.430533999999998</v>
      </c>
      <c r="DJ260" s="7">
        <f>IF(113&gt;=82,('Testes estatísticos'!$D$87+'Testes estatísticos'!$D$118)/2,"")</f>
        <v>-2.0260230000000021</v>
      </c>
      <c r="DK260" s="7">
        <f>IF(114&gt;=82,('Testes estatísticos'!$D$87+'Testes estatísticos'!$D$119)/2,"")</f>
        <v>-2.1277730000000012</v>
      </c>
      <c r="DL260" s="7">
        <f>IF(115&gt;=82,('Testes estatísticos'!$D$87+'Testes estatísticos'!$D$120)/2,"")</f>
        <v>-2.0812954999999995</v>
      </c>
      <c r="DM260" s="7">
        <f>IF(116&gt;=82,('Testes estatísticos'!$D$87+'Testes estatísticos'!$D$121)/2,"")</f>
        <v>-2.072693000000001</v>
      </c>
      <c r="DN260" s="7">
        <f>IF(117&gt;=82,('Testes estatísticos'!$D$87+'Testes estatísticos'!$D$122)/2,"")</f>
        <v>-2.0496250000000025</v>
      </c>
      <c r="DO260" s="7">
        <f>IF(118&gt;=82,('Testes estatísticos'!$D$87+'Testes estatísticos'!$D$123)/2,"")</f>
        <v>-1.9997145000000032</v>
      </c>
      <c r="DP260" s="7">
        <f>IF(119&gt;=82,('Testes estatísticos'!$D$87+'Testes estatísticos'!$D$124)/2,"")</f>
        <v>-2.0209260000000029</v>
      </c>
      <c r="DQ260" s="7">
        <f>IF(120&gt;=82,('Testes estatísticos'!$D$87+'Testes estatísticos'!$D$125)/2,"")</f>
        <v>1.0306885000000001</v>
      </c>
      <c r="DR260" s="7">
        <f>IF(121&gt;=82,('Testes estatísticos'!$D$87+'Testes estatísticos'!$D$126)/2,"")</f>
        <v>-1.7583280000000023</v>
      </c>
      <c r="DS260" s="7">
        <f>IF(122&gt;=82,('Testes estatísticos'!$D$87+'Testes estatísticos'!$D$127)/2,"")</f>
        <v>-2.823736499999999</v>
      </c>
      <c r="DT260" s="7">
        <f>IF(123&gt;=82,('Testes estatísticos'!$D$87+'Testes estatísticos'!$D$128)/2,"")</f>
        <v>3.2451329999999956</v>
      </c>
      <c r="DU260" s="7">
        <f>IF(124&gt;=82,('Testes estatísticos'!$D$87+'Testes estatísticos'!$D$129)/2,"")</f>
        <v>-1.650638500000003</v>
      </c>
      <c r="DV260" s="7">
        <f>IF(125&gt;=82,('Testes estatísticos'!$D$87+'Testes estatísticos'!$D$130)/2,"")</f>
        <v>-0.49233100000000363</v>
      </c>
      <c r="DW260" s="7">
        <f>IF(126&gt;=82,('Testes estatísticos'!$D$87+'Testes estatísticos'!$D$131)/2,"")</f>
        <v>-2.8958070000000014</v>
      </c>
      <c r="DX260" s="7">
        <f>IF(127&gt;=82,('Testes estatísticos'!$D$87+'Testes estatísticos'!$D$132)/2,"")</f>
        <v>-4.951998500000002</v>
      </c>
      <c r="DY260" s="7">
        <f>IF(128&gt;=82,('Testes estatísticos'!$D$87+'Testes estatísticos'!$D$133)/2,"")</f>
        <v>-5.2930880000000009</v>
      </c>
      <c r="DZ260" s="7">
        <f>IF(129&gt;=82,('Testes estatísticos'!$D$87+'Testes estatísticos'!$D$134)/2,"")</f>
        <v>-8.7168780000000012</v>
      </c>
      <c r="EA260" s="7">
        <f>IF(130&gt;=82,('Testes estatísticos'!$D$87+'Testes estatísticos'!$D$135)/2,"")</f>
        <v>-2.9551079999999992</v>
      </c>
      <c r="EB260" s="7">
        <f>IF(131&gt;=82,('Testes estatísticos'!$D$87+'Testes estatísticos'!$D$136)/2,"")</f>
        <v>-2.8672350000000044</v>
      </c>
      <c r="EC260" s="7">
        <f>IF(132&gt;=82,('Testes estatísticos'!$D$87+'Testes estatísticos'!$D$137)/2,"")</f>
        <v>-4.3539715000000037</v>
      </c>
      <c r="ED260" s="7">
        <f>IF(133&gt;=82,('Testes estatísticos'!$D$87+'Testes estatísticos'!$D$138)/2,"")</f>
        <v>-2.1650340000000021</v>
      </c>
      <c r="EE260" s="7">
        <f>IF(134&gt;=82,('Testes estatísticos'!$D$87+'Testes estatísticos'!$D$139)/2,"")</f>
        <v>-4.4622245000000049</v>
      </c>
      <c r="EF260" s="7">
        <f>IF(135&gt;=82,('Testes estatísticos'!$D$87+'Testes estatísticos'!$D$140)/2,"")</f>
        <v>-1.2477920000000005</v>
      </c>
      <c r="EG260" s="7">
        <f>IF(136&gt;=82,('Testes estatísticos'!$D$87+'Testes estatísticos'!$D$141)/2,"")</f>
        <v>-2.9412820000000046</v>
      </c>
      <c r="EH260" s="7">
        <f>IF(137&gt;=82,('Testes estatísticos'!$D$87+'Testes estatísticos'!$D$142)/2,"")</f>
        <v>-1.2365420000000036</v>
      </c>
      <c r="EI260" s="7">
        <f>IF(138&gt;=82,('Testes estatísticos'!$D$87+'Testes estatísticos'!$D$143)/2,"")</f>
        <v>-2.9015574999999991</v>
      </c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</row>
    <row r="261" spans="2:151" x14ac:dyDescent="0.3">
      <c r="B261" s="7" t="str">
        <f>IF(1&gt;=83,('Testes estatísticos'!$D$88+'Testes estatísticos'!$D$6)/2,"")</f>
        <v/>
      </c>
      <c r="C261" s="7" t="str">
        <f>IF(2&gt;=83,('Testes estatísticos'!$D$88+'Testes estatísticos'!$D$7)/2,"")</f>
        <v/>
      </c>
      <c r="D261" s="7" t="str">
        <f>IF(3&gt;=83,('Testes estatísticos'!$D$88+'Testes estatísticos'!$D$8)/2,"")</f>
        <v/>
      </c>
      <c r="E261" s="7" t="str">
        <f>IF(4&gt;=83,('Testes estatísticos'!$D$88+'Testes estatísticos'!$D$9)/2,"")</f>
        <v/>
      </c>
      <c r="F261" s="7" t="str">
        <f>IF(5&gt;=83,('Testes estatísticos'!$D$88+'Testes estatísticos'!$D$10)/2,"")</f>
        <v/>
      </c>
      <c r="G261" s="7" t="str">
        <f>IF(6&gt;=83,('Testes estatísticos'!$D$88+'Testes estatísticos'!$D$11)/2,"")</f>
        <v/>
      </c>
      <c r="H261" s="7" t="str">
        <f>IF(7&gt;=83,('Testes estatísticos'!$D$88+'Testes estatísticos'!$D$12)/2,"")</f>
        <v/>
      </c>
      <c r="I261" s="7" t="str">
        <f>IF(8&gt;=83,('Testes estatísticos'!$D$88+'Testes estatísticos'!$D$13)/2,"")</f>
        <v/>
      </c>
      <c r="J261" s="7" t="str">
        <f>IF(9&gt;=83,('Testes estatísticos'!$D$88+'Testes estatísticos'!$D$14)/2,"")</f>
        <v/>
      </c>
      <c r="K261" s="7" t="str">
        <f>IF(10&gt;=83,('Testes estatísticos'!$D$88+'Testes estatísticos'!$D$15)/2,"")</f>
        <v/>
      </c>
      <c r="L261" s="7" t="str">
        <f>IF(11&gt;=83,('Testes estatísticos'!$D$88+'Testes estatísticos'!$D$16)/2,"")</f>
        <v/>
      </c>
      <c r="M261" s="7" t="str">
        <f>IF(12&gt;=83,('Testes estatísticos'!$D$88+'Testes estatísticos'!$D$17)/2,"")</f>
        <v/>
      </c>
      <c r="N261" s="7" t="str">
        <f>IF(13&gt;=83,('Testes estatísticos'!$D$88+'Testes estatísticos'!$D$18)/2,"")</f>
        <v/>
      </c>
      <c r="O261" s="7" t="str">
        <f>IF(14&gt;=83,('Testes estatísticos'!$D$88+'Testes estatísticos'!$D$19)/2,"")</f>
        <v/>
      </c>
      <c r="P261" s="7" t="str">
        <f>IF(15&gt;=83,('Testes estatísticos'!$D$88+'Testes estatísticos'!$D$20)/2,"")</f>
        <v/>
      </c>
      <c r="Q261" s="7" t="str">
        <f>IF(16&gt;=83,('Testes estatísticos'!$D$88+'Testes estatísticos'!$D$21)/2,"")</f>
        <v/>
      </c>
      <c r="R261" s="7" t="str">
        <f>IF(17&gt;=83,('Testes estatísticos'!$D$88+'Testes estatísticos'!$D$22)/2,"")</f>
        <v/>
      </c>
      <c r="S261" s="7" t="str">
        <f>IF(18&gt;=83,('Testes estatísticos'!$D$88+'Testes estatísticos'!$D$23)/2,"")</f>
        <v/>
      </c>
      <c r="T261" s="7" t="str">
        <f>IF(19&gt;=83,('Testes estatísticos'!$D$88+'Testes estatísticos'!$D$24)/2,"")</f>
        <v/>
      </c>
      <c r="U261" s="7" t="str">
        <f>IF(20&gt;=83,('Testes estatísticos'!$D$88+'Testes estatísticos'!$D$25)/2,"")</f>
        <v/>
      </c>
      <c r="V261" s="7" t="str">
        <f>IF(21&gt;=83,('Testes estatísticos'!$D$88+'Testes estatísticos'!$D$26)/2,"")</f>
        <v/>
      </c>
      <c r="W261" s="7" t="str">
        <f>IF(22&gt;=83,('Testes estatísticos'!$D$88+'Testes estatísticos'!$D$27)/2,"")</f>
        <v/>
      </c>
      <c r="X261" s="7" t="str">
        <f>IF(23&gt;=83,('Testes estatísticos'!$D$88+'Testes estatísticos'!$D$28)/2,"")</f>
        <v/>
      </c>
      <c r="Y261" s="7" t="str">
        <f>IF(24&gt;=83,('Testes estatísticos'!$D$88+'Testes estatísticos'!$D$29)/2,"")</f>
        <v/>
      </c>
      <c r="Z261" s="7" t="str">
        <f>IF(25&gt;=83,('Testes estatísticos'!$D$88+'Testes estatísticos'!$D$30)/2,"")</f>
        <v/>
      </c>
      <c r="AA261" s="7" t="str">
        <f>IF(26&gt;=83,('Testes estatísticos'!$D$88+'Testes estatísticos'!$D$31)/2,"")</f>
        <v/>
      </c>
      <c r="AB261" s="7" t="str">
        <f>IF(27&gt;=83,('Testes estatísticos'!$D$88+'Testes estatísticos'!$D$32)/2,"")</f>
        <v/>
      </c>
      <c r="AC261" s="7" t="str">
        <f>IF(28&gt;=83,('Testes estatísticos'!$D$88+'Testes estatísticos'!$D$33)/2,"")</f>
        <v/>
      </c>
      <c r="AD261" s="7" t="str">
        <f>IF(29&gt;=83,('Testes estatísticos'!$D$88+'Testes estatísticos'!$D$34)/2,"")</f>
        <v/>
      </c>
      <c r="AE261" s="7" t="str">
        <f>IF(30&gt;=83,('Testes estatísticos'!$D$88+'Testes estatísticos'!$D$35)/2,"")</f>
        <v/>
      </c>
      <c r="AF261" s="7" t="str">
        <f>IF(31&gt;=83,('Testes estatísticos'!$D$88+'Testes estatísticos'!$D$36)/2,"")</f>
        <v/>
      </c>
      <c r="AG261" s="7" t="str">
        <f>IF(32&gt;=83,('Testes estatísticos'!$D$88+'Testes estatísticos'!$D$37)/2,"")</f>
        <v/>
      </c>
      <c r="AH261" s="7" t="str">
        <f>IF(33&gt;=83,('Testes estatísticos'!$D$88+'Testes estatísticos'!$D$38)/2,"")</f>
        <v/>
      </c>
      <c r="AI261" s="7" t="str">
        <f>IF(34&gt;=83,('Testes estatísticos'!$D$88+'Testes estatísticos'!$D$39)/2,"")</f>
        <v/>
      </c>
      <c r="AJ261" s="7" t="str">
        <f>IF(35&gt;=83,('Testes estatísticos'!$D$88+'Testes estatísticos'!$D$40)/2,"")</f>
        <v/>
      </c>
      <c r="AK261" s="7" t="str">
        <f>IF(36&gt;=83,('Testes estatísticos'!$D$88+'Testes estatísticos'!$D$41)/2,"")</f>
        <v/>
      </c>
      <c r="AL261" s="7" t="str">
        <f>IF(37&gt;=83,('Testes estatísticos'!$D$88+'Testes estatísticos'!$D$42)/2,"")</f>
        <v/>
      </c>
      <c r="AM261" s="7" t="str">
        <f>IF(38&gt;=83,('Testes estatísticos'!$D$88+'Testes estatísticos'!$D$43)/2,"")</f>
        <v/>
      </c>
      <c r="AN261" s="7" t="str">
        <f>IF(39&gt;=83,('Testes estatísticos'!$D$88+'Testes estatísticos'!$D$44)/2,"")</f>
        <v/>
      </c>
      <c r="AO261" s="7" t="str">
        <f>IF(40&gt;=83,('Testes estatísticos'!$D$88+'Testes estatísticos'!$D$45)/2,"")</f>
        <v/>
      </c>
      <c r="AP261" s="7" t="str">
        <f>IF(41&gt;=83,('Testes estatísticos'!$D$88+'Testes estatísticos'!$D$46)/2,"")</f>
        <v/>
      </c>
      <c r="AQ261" s="7" t="str">
        <f>IF(42&gt;=83,('Testes estatísticos'!$D$88+'Testes estatísticos'!$D$47)/2,"")</f>
        <v/>
      </c>
      <c r="AR261" s="7" t="str">
        <f>IF(43&gt;=83,('Testes estatísticos'!$D$88+'Testes estatísticos'!$D$48)/2,"")</f>
        <v/>
      </c>
      <c r="AS261" s="7" t="str">
        <f>IF(44&gt;=83,('Testes estatísticos'!$D$88+'Testes estatísticos'!$D$49)/2,"")</f>
        <v/>
      </c>
      <c r="AT261" s="7" t="str">
        <f>IF(45&gt;=83,('Testes estatísticos'!$D$88+'Testes estatísticos'!$D$50)/2,"")</f>
        <v/>
      </c>
      <c r="AU261" s="7" t="str">
        <f>IF(46&gt;=83,('Testes estatísticos'!$D$88+'Testes estatísticos'!$D$51)/2,"")</f>
        <v/>
      </c>
      <c r="AV261" s="7" t="str">
        <f>IF(47&gt;=83,('Testes estatísticos'!$D$88+'Testes estatísticos'!$D$52)/2,"")</f>
        <v/>
      </c>
      <c r="AW261" s="7" t="str">
        <f>IF(48&gt;=83,('Testes estatísticos'!$D$88+'Testes estatísticos'!$D$53)/2,"")</f>
        <v/>
      </c>
      <c r="AX261" s="7" t="str">
        <f>IF(49&gt;=83,('Testes estatísticos'!$D$88+'Testes estatísticos'!$D$54)/2,"")</f>
        <v/>
      </c>
      <c r="AY261" s="7" t="str">
        <f>IF(50&gt;=83,('Testes estatísticos'!$D$88+'Testes estatísticos'!$D$55)/2,"")</f>
        <v/>
      </c>
      <c r="AZ261" s="7" t="str">
        <f>IF(51&gt;=83,('Testes estatísticos'!$D$88+'Testes estatísticos'!$D$56)/2,"")</f>
        <v/>
      </c>
      <c r="BA261" s="7" t="str">
        <f>IF(52&gt;=83,('Testes estatísticos'!$D$88+'Testes estatísticos'!$D$57)/2,"")</f>
        <v/>
      </c>
      <c r="BB261" s="7" t="str">
        <f>IF(53&gt;=83,('Testes estatísticos'!$D$88+'Testes estatísticos'!$D$58)/2,"")</f>
        <v/>
      </c>
      <c r="BC261" s="7" t="str">
        <f>IF(54&gt;=83,('Testes estatísticos'!$D$88+'Testes estatísticos'!$D$59)/2,"")</f>
        <v/>
      </c>
      <c r="BD261" s="7" t="str">
        <f>IF(55&gt;=83,('Testes estatísticos'!$D$88+'Testes estatísticos'!$D$60)/2,"")</f>
        <v/>
      </c>
      <c r="BE261" s="7" t="str">
        <f>IF(56&gt;=83,('Testes estatísticos'!$D$88+'Testes estatísticos'!$D$61)/2,"")</f>
        <v/>
      </c>
      <c r="BF261" s="7" t="str">
        <f>IF(57&gt;=83,('Testes estatísticos'!$D$88+'Testes estatísticos'!$D$62)/2,"")</f>
        <v/>
      </c>
      <c r="BG261" s="7" t="str">
        <f>IF(58&gt;=83,('Testes estatísticos'!$D$88+'Testes estatísticos'!$D$63)/2,"")</f>
        <v/>
      </c>
      <c r="BH261" s="7" t="str">
        <f>IF(59&gt;=83,('Testes estatísticos'!$D$88+'Testes estatísticos'!$D$64)/2,"")</f>
        <v/>
      </c>
      <c r="BI261" s="7" t="str">
        <f>IF(60&gt;=83,('Testes estatísticos'!$D$88+'Testes estatísticos'!$D$65)/2,"")</f>
        <v/>
      </c>
      <c r="BJ261" s="7" t="str">
        <f>IF(61&gt;=83,('Testes estatísticos'!$D$88+'Testes estatísticos'!$D$66)/2,"")</f>
        <v/>
      </c>
      <c r="BK261" s="7" t="str">
        <f>IF(62&gt;=83,('Testes estatísticos'!$D$88+'Testes estatísticos'!$D$67)/2,"")</f>
        <v/>
      </c>
      <c r="BL261" s="7" t="str">
        <f>IF(63&gt;=83,('Testes estatísticos'!$D$88+'Testes estatísticos'!$D$68)/2,"")</f>
        <v/>
      </c>
      <c r="BM261" s="7" t="str">
        <f>IF(64&gt;=83,('Testes estatísticos'!$D$88+'Testes estatísticos'!$D$69)/2,"")</f>
        <v/>
      </c>
      <c r="BN261" s="7" t="str">
        <f>IF(65&gt;=83,('Testes estatísticos'!$D$88+'Testes estatísticos'!$D$70)/2,"")</f>
        <v/>
      </c>
      <c r="BO261" s="7" t="str">
        <f>IF(66&gt;=83,('Testes estatísticos'!$D$88+'Testes estatísticos'!$D$71)/2,"")</f>
        <v/>
      </c>
      <c r="BP261" s="7" t="str">
        <f>IF(67&gt;=83,('Testes estatísticos'!$D$88+'Testes estatísticos'!$D$72)/2,"")</f>
        <v/>
      </c>
      <c r="BQ261" s="7" t="str">
        <f>IF(68&gt;=83,('Testes estatísticos'!$D$88+'Testes estatísticos'!$D$73)/2,"")</f>
        <v/>
      </c>
      <c r="BR261" s="7" t="str">
        <f>IF(69&gt;=83,('Testes estatísticos'!$D$88+'Testes estatísticos'!$D$74)/2,"")</f>
        <v/>
      </c>
      <c r="BS261" s="7" t="str">
        <f>IF(70&gt;=83,('Testes estatísticos'!$D$88+'Testes estatísticos'!$D$75)/2,"")</f>
        <v/>
      </c>
      <c r="BT261" s="7" t="str">
        <f>IF(71&gt;=83,('Testes estatísticos'!$D$88+'Testes estatísticos'!$D$76)/2,"")</f>
        <v/>
      </c>
      <c r="BU261" s="7" t="str">
        <f>IF(72&gt;=83,('Testes estatísticos'!$D$88+'Testes estatísticos'!$D$77)/2,"")</f>
        <v/>
      </c>
      <c r="BV261" s="7" t="str">
        <f>IF(73&gt;=83,('Testes estatísticos'!$D$88+'Testes estatísticos'!$D$78)/2,"")</f>
        <v/>
      </c>
      <c r="BW261" s="7" t="str">
        <f>IF(74&gt;=83,('Testes estatísticos'!$D$88+'Testes estatísticos'!$D$79)/2,"")</f>
        <v/>
      </c>
      <c r="BX261" s="7" t="str">
        <f>IF(75&gt;=83,('Testes estatísticos'!$D$88+'Testes estatísticos'!$D$80)/2,"")</f>
        <v/>
      </c>
      <c r="BY261" s="7" t="str">
        <f>IF(76&gt;=83,('Testes estatísticos'!$D$88+'Testes estatísticos'!$D$81)/2,"")</f>
        <v/>
      </c>
      <c r="BZ261" s="7" t="str">
        <f>IF(77&gt;=83,('Testes estatísticos'!$D$88+'Testes estatísticos'!$D$82)/2,"")</f>
        <v/>
      </c>
      <c r="CA261" s="7" t="str">
        <f>IF(78&gt;=83,('Testes estatísticos'!$D$88+'Testes estatísticos'!$D$83)/2,"")</f>
        <v/>
      </c>
      <c r="CB261" s="7" t="str">
        <f>IF(79&gt;=83,('Testes estatísticos'!$D$88+'Testes estatísticos'!$D$84)/2,"")</f>
        <v/>
      </c>
      <c r="CC261" s="7" t="str">
        <f>IF(80&gt;=83,('Testes estatísticos'!$D$88+'Testes estatísticos'!$D$85)/2,"")</f>
        <v/>
      </c>
      <c r="CD261" s="7" t="str">
        <f>IF(81&gt;=83,('Testes estatísticos'!$D$88+'Testes estatísticos'!$D$86)/2,"")</f>
        <v/>
      </c>
      <c r="CE261" s="7" t="str">
        <f>IF(82&gt;=83,('Testes estatísticos'!$D$88+'Testes estatísticos'!$D$87)/2,"")</f>
        <v/>
      </c>
      <c r="CF261" s="7">
        <f>IF(83&gt;=83,('Testes estatísticos'!$D$88+'Testes estatísticos'!$D$88)/2,"")</f>
        <v>-3.0744140000000044</v>
      </c>
      <c r="CG261" s="7">
        <f>IF(84&gt;=83,('Testes estatísticos'!$D$88+'Testes estatísticos'!$D$89)/2,"")</f>
        <v>-3.4063210000000019</v>
      </c>
      <c r="CH261" s="7">
        <f>IF(85&gt;=83,('Testes estatísticos'!$D$88+'Testes estatísticos'!$D$90)/2,"")</f>
        <v>-1.5907740000000032</v>
      </c>
      <c r="CI261" s="7">
        <f>IF(86&gt;=83,('Testes estatísticos'!$D$88+'Testes estatísticos'!$D$91)/2,"")</f>
        <v>-4.2809334999999997</v>
      </c>
      <c r="CJ261" s="7">
        <f>IF(87&gt;=83,('Testes estatísticos'!$D$88+'Testes estatísticos'!$D$92)/2,"")</f>
        <v>-3.0387270000000015</v>
      </c>
      <c r="CK261" s="7">
        <f>IF(88&gt;=83,('Testes estatísticos'!$D$88+'Testes estatísticos'!$D$93)/2,"")</f>
        <v>-2.7946435000000029</v>
      </c>
      <c r="CL261" s="7">
        <f>IF(89&gt;=83,('Testes estatísticos'!$D$88+'Testes estatísticos'!$D$94)/2,"")</f>
        <v>-3.4062355000000046</v>
      </c>
      <c r="CM261" s="7">
        <f>IF(90&gt;=83,('Testes estatísticos'!$D$88+'Testes estatísticos'!$D$95)/2,"")</f>
        <v>-5.7403675000000014</v>
      </c>
      <c r="CN261" s="7">
        <f>IF(91&gt;=83,('Testes estatísticos'!$D$88+'Testes estatísticos'!$D$96)/2,"")</f>
        <v>-3.2018445</v>
      </c>
      <c r="CO261" s="7">
        <f>IF(92&gt;=83,('Testes estatísticos'!$D$88+'Testes estatísticos'!$D$97)/2,"")</f>
        <v>-3.5483480000000007</v>
      </c>
      <c r="CP261" s="7">
        <f>IF(93&gt;=83,('Testes estatísticos'!$D$88+'Testes estatísticos'!$D$98)/2,"")</f>
        <v>-3.7530999999999999</v>
      </c>
      <c r="CQ261" s="7">
        <f>IF(94&gt;=83,('Testes estatísticos'!$D$88+'Testes estatísticos'!$D$99)/2,"")</f>
        <v>-1.5719420000000035</v>
      </c>
      <c r="CR261" s="7">
        <f>IF(95&gt;=83,('Testes estatísticos'!$D$88+'Testes estatísticos'!$D$100)/2,"")</f>
        <v>-3.4777350000000027</v>
      </c>
      <c r="CS261" s="7">
        <f>IF(96&gt;=83,('Testes estatísticos'!$D$88+'Testes estatísticos'!$D$101)/2,"")</f>
        <v>-3.4337480000000049</v>
      </c>
      <c r="CT261" s="7">
        <f>IF(97&gt;=83,('Testes estatísticos'!$D$88+'Testes estatísticos'!$D$102)/2,"")</f>
        <v>-3.200697500000004</v>
      </c>
      <c r="CU261" s="7">
        <f>IF(98&gt;=83,('Testes estatísticos'!$D$88+'Testes estatísticos'!$D$103)/2,"")</f>
        <v>-3.1433715000000007</v>
      </c>
      <c r="CV261" s="7">
        <f>IF(99&gt;=83,('Testes estatísticos'!$D$88+'Testes estatísticos'!$D$104)/2,"")</f>
        <v>-3.5781975000000017</v>
      </c>
      <c r="CW261" s="7">
        <f>IF(100&gt;=83,('Testes estatísticos'!$D$88+'Testes estatísticos'!$D$105)/2,"")</f>
        <v>-3.6776635000000013</v>
      </c>
      <c r="CX261" s="7">
        <f>IF(101&gt;=83,('Testes estatísticos'!$D$88+'Testes estatísticos'!$D$106)/2,"")</f>
        <v>-3.1547370000000008</v>
      </c>
      <c r="CY261" s="7">
        <f>IF(102&gt;=83,('Testes estatísticos'!$D$88+'Testes estatísticos'!$D$107)/2,"")</f>
        <v>-3.210402000000002</v>
      </c>
      <c r="CZ261" s="7">
        <f>IF(103&gt;=83,('Testes estatísticos'!$D$88+'Testes estatísticos'!$D$108)/2,"")</f>
        <v>-3.7345685000000017</v>
      </c>
      <c r="DA261" s="7">
        <f>IF(104&gt;=83,('Testes estatísticos'!$D$88+'Testes estatísticos'!$D$109)/2,"")</f>
        <v>-3.4719344999999997</v>
      </c>
      <c r="DB261" s="7">
        <f>IF(105&gt;=83,('Testes estatísticos'!$D$88+'Testes estatísticos'!$D$110)/2,"")</f>
        <v>-3.4376035000000016</v>
      </c>
      <c r="DC261" s="7">
        <f>IF(106&gt;=83,('Testes estatísticos'!$D$88+'Testes estatísticos'!$D$111)/2,"")</f>
        <v>-2.6946825000000025</v>
      </c>
      <c r="DD261" s="7">
        <f>IF(107&gt;=83,('Testes estatísticos'!$D$88+'Testes estatísticos'!$D$112)/2,"")</f>
        <v>0.79848849999999771</v>
      </c>
      <c r="DE261" s="7">
        <f>IF(108&gt;=83,('Testes estatísticos'!$D$88+'Testes estatísticos'!$D$113)/2,"")</f>
        <v>-2.6241470000000007</v>
      </c>
      <c r="DF261" s="7">
        <f>IF(109&gt;=83,('Testes estatísticos'!$D$88+'Testes estatísticos'!$D$114)/2,"")</f>
        <v>-2.6604039999999998</v>
      </c>
      <c r="DG261" s="7">
        <f>IF(110&gt;=83,('Testes estatísticos'!$D$88+'Testes estatísticos'!$D$115)/2,"")</f>
        <v>-8.2075435000000034</v>
      </c>
      <c r="DH261" s="7">
        <f>IF(111&gt;=83,('Testes estatísticos'!$D$88+'Testes estatísticos'!$D$116)/2,"")</f>
        <v>-2.5267130000000009</v>
      </c>
      <c r="DI261" s="7">
        <f>IF(112&gt;=83,('Testes estatísticos'!$D$88+'Testes estatísticos'!$D$117)/2,"")</f>
        <v>2.9017269999999975</v>
      </c>
      <c r="DJ261" s="7">
        <f>IF(113&gt;=83,('Testes estatísticos'!$D$88+'Testes estatísticos'!$D$118)/2,"")</f>
        <v>-2.5548300000000026</v>
      </c>
      <c r="DK261" s="7">
        <f>IF(114&gt;=83,('Testes estatísticos'!$D$88+'Testes estatísticos'!$D$119)/2,"")</f>
        <v>-2.6565800000000017</v>
      </c>
      <c r="DL261" s="7">
        <f>IF(115&gt;=83,('Testes estatísticos'!$D$88+'Testes estatísticos'!$D$120)/2,"")</f>
        <v>-2.6101025</v>
      </c>
      <c r="DM261" s="7">
        <f>IF(116&gt;=83,('Testes estatísticos'!$D$88+'Testes estatísticos'!$D$121)/2,"")</f>
        <v>-2.6015000000000015</v>
      </c>
      <c r="DN261" s="7">
        <f>IF(117&gt;=83,('Testes estatísticos'!$D$88+'Testes estatísticos'!$D$122)/2,"")</f>
        <v>-2.5784320000000029</v>
      </c>
      <c r="DO261" s="7">
        <f>IF(118&gt;=83,('Testes estatísticos'!$D$88+'Testes estatísticos'!$D$123)/2,"")</f>
        <v>-2.5285215000000036</v>
      </c>
      <c r="DP261" s="7">
        <f>IF(119&gt;=83,('Testes estatísticos'!$D$88+'Testes estatísticos'!$D$124)/2,"")</f>
        <v>-2.5497330000000034</v>
      </c>
      <c r="DQ261" s="7">
        <f>IF(120&gt;=83,('Testes estatísticos'!$D$88+'Testes estatísticos'!$D$125)/2,"")</f>
        <v>0.50188149999999965</v>
      </c>
      <c r="DR261" s="7">
        <f>IF(121&gt;=83,('Testes estatísticos'!$D$88+'Testes estatísticos'!$D$126)/2,"")</f>
        <v>-2.2871350000000028</v>
      </c>
      <c r="DS261" s="7">
        <f>IF(122&gt;=83,('Testes estatísticos'!$D$88+'Testes estatísticos'!$D$127)/2,"")</f>
        <v>-3.3525434999999995</v>
      </c>
      <c r="DT261" s="7">
        <f>IF(123&gt;=83,('Testes estatísticos'!$D$88+'Testes estatísticos'!$D$128)/2,"")</f>
        <v>2.7163259999999951</v>
      </c>
      <c r="DU261" s="7">
        <f>IF(124&gt;=83,('Testes estatísticos'!$D$88+'Testes estatísticos'!$D$129)/2,"")</f>
        <v>-2.1794455000000035</v>
      </c>
      <c r="DV261" s="7">
        <f>IF(125&gt;=83,('Testes estatísticos'!$D$88+'Testes estatísticos'!$D$130)/2,"")</f>
        <v>-1.0211380000000041</v>
      </c>
      <c r="DW261" s="7">
        <f>IF(126&gt;=83,('Testes estatísticos'!$D$88+'Testes estatísticos'!$D$131)/2,"")</f>
        <v>-3.4246140000000018</v>
      </c>
      <c r="DX261" s="7">
        <f>IF(127&gt;=83,('Testes estatísticos'!$D$88+'Testes estatísticos'!$D$132)/2,"")</f>
        <v>-5.4808055000000024</v>
      </c>
      <c r="DY261" s="7">
        <f>IF(128&gt;=83,('Testes estatísticos'!$D$88+'Testes estatísticos'!$D$133)/2,"")</f>
        <v>-5.8218950000000014</v>
      </c>
      <c r="DZ261" s="7">
        <f>IF(129&gt;=83,('Testes estatísticos'!$D$88+'Testes estatísticos'!$D$134)/2,"")</f>
        <v>-9.2456850000000017</v>
      </c>
      <c r="EA261" s="7">
        <f>IF(130&gt;=83,('Testes estatísticos'!$D$88+'Testes estatísticos'!$D$135)/2,"")</f>
        <v>-3.4839149999999997</v>
      </c>
      <c r="EB261" s="7">
        <f>IF(131&gt;=83,('Testes estatísticos'!$D$88+'Testes estatísticos'!$D$136)/2,"")</f>
        <v>-3.3960420000000049</v>
      </c>
      <c r="EC261" s="7">
        <f>IF(132&gt;=83,('Testes estatísticos'!$D$88+'Testes estatísticos'!$D$137)/2,"")</f>
        <v>-4.8827785000000041</v>
      </c>
      <c r="ED261" s="7">
        <f>IF(133&gt;=83,('Testes estatísticos'!$D$88+'Testes estatísticos'!$D$138)/2,"")</f>
        <v>-2.6938410000000026</v>
      </c>
      <c r="EE261" s="7">
        <f>IF(134&gt;=83,('Testes estatísticos'!$D$88+'Testes estatísticos'!$D$139)/2,"")</f>
        <v>-4.9910315000000054</v>
      </c>
      <c r="EF261" s="7">
        <f>IF(135&gt;=83,('Testes estatísticos'!$D$88+'Testes estatísticos'!$D$140)/2,"")</f>
        <v>-1.7765990000000009</v>
      </c>
      <c r="EG261" s="7">
        <f>IF(136&gt;=83,('Testes estatísticos'!$D$88+'Testes estatísticos'!$D$141)/2,"")</f>
        <v>-3.4700890000000051</v>
      </c>
      <c r="EH261" s="7">
        <f>IF(137&gt;=83,('Testes estatísticos'!$D$88+'Testes estatísticos'!$D$142)/2,"")</f>
        <v>-1.7653490000000041</v>
      </c>
      <c r="EI261" s="7">
        <f>IF(138&gt;=83,('Testes estatísticos'!$D$88+'Testes estatísticos'!$D$143)/2,"")</f>
        <v>-3.4303644999999996</v>
      </c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</row>
    <row r="262" spans="2:151" x14ac:dyDescent="0.3">
      <c r="B262" s="7" t="str">
        <f>IF(1&gt;=84,('Testes estatísticos'!$D$89+'Testes estatísticos'!$D$6)/2,"")</f>
        <v/>
      </c>
      <c r="C262" s="7" t="str">
        <f>IF(2&gt;=84,('Testes estatísticos'!$D$89+'Testes estatísticos'!$D$7)/2,"")</f>
        <v/>
      </c>
      <c r="D262" s="7" t="str">
        <f>IF(3&gt;=84,('Testes estatísticos'!$D$89+'Testes estatísticos'!$D$8)/2,"")</f>
        <v/>
      </c>
      <c r="E262" s="7" t="str">
        <f>IF(4&gt;=84,('Testes estatísticos'!$D$89+'Testes estatísticos'!$D$9)/2,"")</f>
        <v/>
      </c>
      <c r="F262" s="7" t="str">
        <f>IF(5&gt;=84,('Testes estatísticos'!$D$89+'Testes estatísticos'!$D$10)/2,"")</f>
        <v/>
      </c>
      <c r="G262" s="7" t="str">
        <f>IF(6&gt;=84,('Testes estatísticos'!$D$89+'Testes estatísticos'!$D$11)/2,"")</f>
        <v/>
      </c>
      <c r="H262" s="7" t="str">
        <f>IF(7&gt;=84,('Testes estatísticos'!$D$89+'Testes estatísticos'!$D$12)/2,"")</f>
        <v/>
      </c>
      <c r="I262" s="7" t="str">
        <f>IF(8&gt;=84,('Testes estatísticos'!$D$89+'Testes estatísticos'!$D$13)/2,"")</f>
        <v/>
      </c>
      <c r="J262" s="7" t="str">
        <f>IF(9&gt;=84,('Testes estatísticos'!$D$89+'Testes estatísticos'!$D$14)/2,"")</f>
        <v/>
      </c>
      <c r="K262" s="7" t="str">
        <f>IF(10&gt;=84,('Testes estatísticos'!$D$89+'Testes estatísticos'!$D$15)/2,"")</f>
        <v/>
      </c>
      <c r="L262" s="7" t="str">
        <f>IF(11&gt;=84,('Testes estatísticos'!$D$89+'Testes estatísticos'!$D$16)/2,"")</f>
        <v/>
      </c>
      <c r="M262" s="7" t="str">
        <f>IF(12&gt;=84,('Testes estatísticos'!$D$89+'Testes estatísticos'!$D$17)/2,"")</f>
        <v/>
      </c>
      <c r="N262" s="7" t="str">
        <f>IF(13&gt;=84,('Testes estatísticos'!$D$89+'Testes estatísticos'!$D$18)/2,"")</f>
        <v/>
      </c>
      <c r="O262" s="7" t="str">
        <f>IF(14&gt;=84,('Testes estatísticos'!$D$89+'Testes estatísticos'!$D$19)/2,"")</f>
        <v/>
      </c>
      <c r="P262" s="7" t="str">
        <f>IF(15&gt;=84,('Testes estatísticos'!$D$89+'Testes estatísticos'!$D$20)/2,"")</f>
        <v/>
      </c>
      <c r="Q262" s="7" t="str">
        <f>IF(16&gt;=84,('Testes estatísticos'!$D$89+'Testes estatísticos'!$D$21)/2,"")</f>
        <v/>
      </c>
      <c r="R262" s="7" t="str">
        <f>IF(17&gt;=84,('Testes estatísticos'!$D$89+'Testes estatísticos'!$D$22)/2,"")</f>
        <v/>
      </c>
      <c r="S262" s="7" t="str">
        <f>IF(18&gt;=84,('Testes estatísticos'!$D$89+'Testes estatísticos'!$D$23)/2,"")</f>
        <v/>
      </c>
      <c r="T262" s="7" t="str">
        <f>IF(19&gt;=84,('Testes estatísticos'!$D$89+'Testes estatísticos'!$D$24)/2,"")</f>
        <v/>
      </c>
      <c r="U262" s="7" t="str">
        <f>IF(20&gt;=84,('Testes estatísticos'!$D$89+'Testes estatísticos'!$D$25)/2,"")</f>
        <v/>
      </c>
      <c r="V262" s="7" t="str">
        <f>IF(21&gt;=84,('Testes estatísticos'!$D$89+'Testes estatísticos'!$D$26)/2,"")</f>
        <v/>
      </c>
      <c r="W262" s="7" t="str">
        <f>IF(22&gt;=84,('Testes estatísticos'!$D$89+'Testes estatísticos'!$D$27)/2,"")</f>
        <v/>
      </c>
      <c r="X262" s="7" t="str">
        <f>IF(23&gt;=84,('Testes estatísticos'!$D$89+'Testes estatísticos'!$D$28)/2,"")</f>
        <v/>
      </c>
      <c r="Y262" s="7" t="str">
        <f>IF(24&gt;=84,('Testes estatísticos'!$D$89+'Testes estatísticos'!$D$29)/2,"")</f>
        <v/>
      </c>
      <c r="Z262" s="7" t="str">
        <f>IF(25&gt;=84,('Testes estatísticos'!$D$89+'Testes estatísticos'!$D$30)/2,"")</f>
        <v/>
      </c>
      <c r="AA262" s="7" t="str">
        <f>IF(26&gt;=84,('Testes estatísticos'!$D$89+'Testes estatísticos'!$D$31)/2,"")</f>
        <v/>
      </c>
      <c r="AB262" s="7" t="str">
        <f>IF(27&gt;=84,('Testes estatísticos'!$D$89+'Testes estatísticos'!$D$32)/2,"")</f>
        <v/>
      </c>
      <c r="AC262" s="7" t="str">
        <f>IF(28&gt;=84,('Testes estatísticos'!$D$89+'Testes estatísticos'!$D$33)/2,"")</f>
        <v/>
      </c>
      <c r="AD262" s="7" t="str">
        <f>IF(29&gt;=84,('Testes estatísticos'!$D$89+'Testes estatísticos'!$D$34)/2,"")</f>
        <v/>
      </c>
      <c r="AE262" s="7" t="str">
        <f>IF(30&gt;=84,('Testes estatísticos'!$D$89+'Testes estatísticos'!$D$35)/2,"")</f>
        <v/>
      </c>
      <c r="AF262" s="7" t="str">
        <f>IF(31&gt;=84,('Testes estatísticos'!$D$89+'Testes estatísticos'!$D$36)/2,"")</f>
        <v/>
      </c>
      <c r="AG262" s="7" t="str">
        <f>IF(32&gt;=84,('Testes estatísticos'!$D$89+'Testes estatísticos'!$D$37)/2,"")</f>
        <v/>
      </c>
      <c r="AH262" s="7" t="str">
        <f>IF(33&gt;=84,('Testes estatísticos'!$D$89+'Testes estatísticos'!$D$38)/2,"")</f>
        <v/>
      </c>
      <c r="AI262" s="7" t="str">
        <f>IF(34&gt;=84,('Testes estatísticos'!$D$89+'Testes estatísticos'!$D$39)/2,"")</f>
        <v/>
      </c>
      <c r="AJ262" s="7" t="str">
        <f>IF(35&gt;=84,('Testes estatísticos'!$D$89+'Testes estatísticos'!$D$40)/2,"")</f>
        <v/>
      </c>
      <c r="AK262" s="7" t="str">
        <f>IF(36&gt;=84,('Testes estatísticos'!$D$89+'Testes estatísticos'!$D$41)/2,"")</f>
        <v/>
      </c>
      <c r="AL262" s="7" t="str">
        <f>IF(37&gt;=84,('Testes estatísticos'!$D$89+'Testes estatísticos'!$D$42)/2,"")</f>
        <v/>
      </c>
      <c r="AM262" s="7" t="str">
        <f>IF(38&gt;=84,('Testes estatísticos'!$D$89+'Testes estatísticos'!$D$43)/2,"")</f>
        <v/>
      </c>
      <c r="AN262" s="7" t="str">
        <f>IF(39&gt;=84,('Testes estatísticos'!$D$89+'Testes estatísticos'!$D$44)/2,"")</f>
        <v/>
      </c>
      <c r="AO262" s="7" t="str">
        <f>IF(40&gt;=84,('Testes estatísticos'!$D$89+'Testes estatísticos'!$D$45)/2,"")</f>
        <v/>
      </c>
      <c r="AP262" s="7" t="str">
        <f>IF(41&gt;=84,('Testes estatísticos'!$D$89+'Testes estatísticos'!$D$46)/2,"")</f>
        <v/>
      </c>
      <c r="AQ262" s="7" t="str">
        <f>IF(42&gt;=84,('Testes estatísticos'!$D$89+'Testes estatísticos'!$D$47)/2,"")</f>
        <v/>
      </c>
      <c r="AR262" s="7" t="str">
        <f>IF(43&gt;=84,('Testes estatísticos'!$D$89+'Testes estatísticos'!$D$48)/2,"")</f>
        <v/>
      </c>
      <c r="AS262" s="7" t="str">
        <f>IF(44&gt;=84,('Testes estatísticos'!$D$89+'Testes estatísticos'!$D$49)/2,"")</f>
        <v/>
      </c>
      <c r="AT262" s="7" t="str">
        <f>IF(45&gt;=84,('Testes estatísticos'!$D$89+'Testes estatísticos'!$D$50)/2,"")</f>
        <v/>
      </c>
      <c r="AU262" s="7" t="str">
        <f>IF(46&gt;=84,('Testes estatísticos'!$D$89+'Testes estatísticos'!$D$51)/2,"")</f>
        <v/>
      </c>
      <c r="AV262" s="7" t="str">
        <f>IF(47&gt;=84,('Testes estatísticos'!$D$89+'Testes estatísticos'!$D$52)/2,"")</f>
        <v/>
      </c>
      <c r="AW262" s="7" t="str">
        <f>IF(48&gt;=84,('Testes estatísticos'!$D$89+'Testes estatísticos'!$D$53)/2,"")</f>
        <v/>
      </c>
      <c r="AX262" s="7" t="str">
        <f>IF(49&gt;=84,('Testes estatísticos'!$D$89+'Testes estatísticos'!$D$54)/2,"")</f>
        <v/>
      </c>
      <c r="AY262" s="7" t="str">
        <f>IF(50&gt;=84,('Testes estatísticos'!$D$89+'Testes estatísticos'!$D$55)/2,"")</f>
        <v/>
      </c>
      <c r="AZ262" s="7" t="str">
        <f>IF(51&gt;=84,('Testes estatísticos'!$D$89+'Testes estatísticos'!$D$56)/2,"")</f>
        <v/>
      </c>
      <c r="BA262" s="7" t="str">
        <f>IF(52&gt;=84,('Testes estatísticos'!$D$89+'Testes estatísticos'!$D$57)/2,"")</f>
        <v/>
      </c>
      <c r="BB262" s="7" t="str">
        <f>IF(53&gt;=84,('Testes estatísticos'!$D$89+'Testes estatísticos'!$D$58)/2,"")</f>
        <v/>
      </c>
      <c r="BC262" s="7" t="str">
        <f>IF(54&gt;=84,('Testes estatísticos'!$D$89+'Testes estatísticos'!$D$59)/2,"")</f>
        <v/>
      </c>
      <c r="BD262" s="7" t="str">
        <f>IF(55&gt;=84,('Testes estatísticos'!$D$89+'Testes estatísticos'!$D$60)/2,"")</f>
        <v/>
      </c>
      <c r="BE262" s="7" t="str">
        <f>IF(56&gt;=84,('Testes estatísticos'!$D$89+'Testes estatísticos'!$D$61)/2,"")</f>
        <v/>
      </c>
      <c r="BF262" s="7" t="str">
        <f>IF(57&gt;=84,('Testes estatísticos'!$D$89+'Testes estatísticos'!$D$62)/2,"")</f>
        <v/>
      </c>
      <c r="BG262" s="7" t="str">
        <f>IF(58&gt;=84,('Testes estatísticos'!$D$89+'Testes estatísticos'!$D$63)/2,"")</f>
        <v/>
      </c>
      <c r="BH262" s="7" t="str">
        <f>IF(59&gt;=84,('Testes estatísticos'!$D$89+'Testes estatísticos'!$D$64)/2,"")</f>
        <v/>
      </c>
      <c r="BI262" s="7" t="str">
        <f>IF(60&gt;=84,('Testes estatísticos'!$D$89+'Testes estatísticos'!$D$65)/2,"")</f>
        <v/>
      </c>
      <c r="BJ262" s="7" t="str">
        <f>IF(61&gt;=84,('Testes estatísticos'!$D$89+'Testes estatísticos'!$D$66)/2,"")</f>
        <v/>
      </c>
      <c r="BK262" s="7" t="str">
        <f>IF(62&gt;=84,('Testes estatísticos'!$D$89+'Testes estatísticos'!$D$67)/2,"")</f>
        <v/>
      </c>
      <c r="BL262" s="7" t="str">
        <f>IF(63&gt;=84,('Testes estatísticos'!$D$89+'Testes estatísticos'!$D$68)/2,"")</f>
        <v/>
      </c>
      <c r="BM262" s="7" t="str">
        <f>IF(64&gt;=84,('Testes estatísticos'!$D$89+'Testes estatísticos'!$D$69)/2,"")</f>
        <v/>
      </c>
      <c r="BN262" s="7" t="str">
        <f>IF(65&gt;=84,('Testes estatísticos'!$D$89+'Testes estatísticos'!$D$70)/2,"")</f>
        <v/>
      </c>
      <c r="BO262" s="7" t="str">
        <f>IF(66&gt;=84,('Testes estatísticos'!$D$89+'Testes estatísticos'!$D$71)/2,"")</f>
        <v/>
      </c>
      <c r="BP262" s="7" t="str">
        <f>IF(67&gt;=84,('Testes estatísticos'!$D$89+'Testes estatísticos'!$D$72)/2,"")</f>
        <v/>
      </c>
      <c r="BQ262" s="7" t="str">
        <f>IF(68&gt;=84,('Testes estatísticos'!$D$89+'Testes estatísticos'!$D$73)/2,"")</f>
        <v/>
      </c>
      <c r="BR262" s="7" t="str">
        <f>IF(69&gt;=84,('Testes estatísticos'!$D$89+'Testes estatísticos'!$D$74)/2,"")</f>
        <v/>
      </c>
      <c r="BS262" s="7" t="str">
        <f>IF(70&gt;=84,('Testes estatísticos'!$D$89+'Testes estatísticos'!$D$75)/2,"")</f>
        <v/>
      </c>
      <c r="BT262" s="7" t="str">
        <f>IF(71&gt;=84,('Testes estatísticos'!$D$89+'Testes estatísticos'!$D$76)/2,"")</f>
        <v/>
      </c>
      <c r="BU262" s="7" t="str">
        <f>IF(72&gt;=84,('Testes estatísticos'!$D$89+'Testes estatísticos'!$D$77)/2,"")</f>
        <v/>
      </c>
      <c r="BV262" s="7" t="str">
        <f>IF(73&gt;=84,('Testes estatísticos'!$D$89+'Testes estatísticos'!$D$78)/2,"")</f>
        <v/>
      </c>
      <c r="BW262" s="7" t="str">
        <f>IF(74&gt;=84,('Testes estatísticos'!$D$89+'Testes estatísticos'!$D$79)/2,"")</f>
        <v/>
      </c>
      <c r="BX262" s="7" t="str">
        <f>IF(75&gt;=84,('Testes estatísticos'!$D$89+'Testes estatísticos'!$D$80)/2,"")</f>
        <v/>
      </c>
      <c r="BY262" s="7" t="str">
        <f>IF(76&gt;=84,('Testes estatísticos'!$D$89+'Testes estatísticos'!$D$81)/2,"")</f>
        <v/>
      </c>
      <c r="BZ262" s="7" t="str">
        <f>IF(77&gt;=84,('Testes estatísticos'!$D$89+'Testes estatísticos'!$D$82)/2,"")</f>
        <v/>
      </c>
      <c r="CA262" s="7" t="str">
        <f>IF(78&gt;=84,('Testes estatísticos'!$D$89+'Testes estatísticos'!$D$83)/2,"")</f>
        <v/>
      </c>
      <c r="CB262" s="7" t="str">
        <f>IF(79&gt;=84,('Testes estatísticos'!$D$89+'Testes estatísticos'!$D$84)/2,"")</f>
        <v/>
      </c>
      <c r="CC262" s="7" t="str">
        <f>IF(80&gt;=84,('Testes estatísticos'!$D$89+'Testes estatísticos'!$D$85)/2,"")</f>
        <v/>
      </c>
      <c r="CD262" s="7" t="str">
        <f>IF(81&gt;=84,('Testes estatísticos'!$D$89+'Testes estatísticos'!$D$86)/2,"")</f>
        <v/>
      </c>
      <c r="CE262" s="7" t="str">
        <f>IF(82&gt;=84,('Testes estatísticos'!$D$89+'Testes estatísticos'!$D$87)/2,"")</f>
        <v/>
      </c>
      <c r="CF262" s="7" t="str">
        <f>IF(83&gt;=84,('Testes estatísticos'!$D$89+'Testes estatísticos'!$D$88)/2,"")</f>
        <v/>
      </c>
      <c r="CG262" s="7">
        <f>IF(84&gt;=84,('Testes estatísticos'!$D$89+'Testes estatísticos'!$D$89)/2,"")</f>
        <v>-3.7382279999999994</v>
      </c>
      <c r="CH262" s="7">
        <f>IF(85&gt;=84,('Testes estatísticos'!$D$89+'Testes estatísticos'!$D$90)/2,"")</f>
        <v>-1.9226810000000008</v>
      </c>
      <c r="CI262" s="7">
        <f>IF(86&gt;=84,('Testes estatísticos'!$D$89+'Testes estatísticos'!$D$91)/2,"")</f>
        <v>-4.6128404999999972</v>
      </c>
      <c r="CJ262" s="7">
        <f>IF(87&gt;=84,('Testes estatísticos'!$D$89+'Testes estatísticos'!$D$92)/2,"")</f>
        <v>-3.370633999999999</v>
      </c>
      <c r="CK262" s="7">
        <f>IF(88&gt;=84,('Testes estatísticos'!$D$89+'Testes estatísticos'!$D$93)/2,"")</f>
        <v>-3.1265505000000005</v>
      </c>
      <c r="CL262" s="7">
        <f>IF(89&gt;=84,('Testes estatísticos'!$D$89+'Testes estatísticos'!$D$94)/2,"")</f>
        <v>-3.7381425000000021</v>
      </c>
      <c r="CM262" s="7">
        <f>IF(90&gt;=84,('Testes estatísticos'!$D$89+'Testes estatísticos'!$D$95)/2,"")</f>
        <v>-6.0722744999999989</v>
      </c>
      <c r="CN262" s="7">
        <f>IF(91&gt;=84,('Testes estatísticos'!$D$89+'Testes estatísticos'!$D$96)/2,"")</f>
        <v>-3.5337514999999975</v>
      </c>
      <c r="CO262" s="7">
        <f>IF(92&gt;=84,('Testes estatísticos'!$D$89+'Testes estatísticos'!$D$97)/2,"")</f>
        <v>-3.8802549999999982</v>
      </c>
      <c r="CP262" s="7">
        <f>IF(93&gt;=84,('Testes estatísticos'!$D$89+'Testes estatísticos'!$D$98)/2,"")</f>
        <v>-4.0850069999999974</v>
      </c>
      <c r="CQ262" s="7">
        <f>IF(94&gt;=84,('Testes estatísticos'!$D$89+'Testes estatísticos'!$D$99)/2,"")</f>
        <v>-1.903849000000001</v>
      </c>
      <c r="CR262" s="7">
        <f>IF(95&gt;=84,('Testes estatísticos'!$D$89+'Testes estatísticos'!$D$100)/2,"")</f>
        <v>-3.8096420000000002</v>
      </c>
      <c r="CS262" s="7">
        <f>IF(96&gt;=84,('Testes estatísticos'!$D$89+'Testes estatísticos'!$D$101)/2,"")</f>
        <v>-3.7656550000000024</v>
      </c>
      <c r="CT262" s="7">
        <f>IF(97&gt;=84,('Testes estatísticos'!$D$89+'Testes estatísticos'!$D$102)/2,"")</f>
        <v>-3.5326045000000015</v>
      </c>
      <c r="CU262" s="7">
        <f>IF(98&gt;=84,('Testes estatísticos'!$D$89+'Testes estatísticos'!$D$103)/2,"")</f>
        <v>-3.4752784999999982</v>
      </c>
      <c r="CV262" s="7">
        <f>IF(99&gt;=84,('Testes estatísticos'!$D$89+'Testes estatísticos'!$D$104)/2,"")</f>
        <v>-3.9101044999999992</v>
      </c>
      <c r="CW262" s="7">
        <f>IF(100&gt;=84,('Testes estatísticos'!$D$89+'Testes estatísticos'!$D$105)/2,"")</f>
        <v>-4.0095704999999988</v>
      </c>
      <c r="CX262" s="7">
        <f>IF(101&gt;=84,('Testes estatísticos'!$D$89+'Testes estatísticos'!$D$106)/2,"")</f>
        <v>-3.4866439999999983</v>
      </c>
      <c r="CY262" s="7">
        <f>IF(102&gt;=84,('Testes estatísticos'!$D$89+'Testes estatísticos'!$D$107)/2,"")</f>
        <v>-3.5423089999999995</v>
      </c>
      <c r="CZ262" s="7">
        <f>IF(103&gt;=84,('Testes estatísticos'!$D$89+'Testes estatísticos'!$D$108)/2,"")</f>
        <v>-4.0664754999999992</v>
      </c>
      <c r="DA262" s="7">
        <f>IF(104&gt;=84,('Testes estatísticos'!$D$89+'Testes estatísticos'!$D$109)/2,"")</f>
        <v>-3.8038414999999972</v>
      </c>
      <c r="DB262" s="7">
        <f>IF(105&gt;=84,('Testes estatísticos'!$D$89+'Testes estatísticos'!$D$110)/2,"")</f>
        <v>-3.7695104999999991</v>
      </c>
      <c r="DC262" s="7">
        <f>IF(106&gt;=84,('Testes estatísticos'!$D$89+'Testes estatísticos'!$D$111)/2,"")</f>
        <v>-3.0265895</v>
      </c>
      <c r="DD262" s="7">
        <f>IF(107&gt;=84,('Testes estatísticos'!$D$89+'Testes estatísticos'!$D$112)/2,"")</f>
        <v>0.4665815000000002</v>
      </c>
      <c r="DE262" s="7">
        <f>IF(108&gt;=84,('Testes estatísticos'!$D$89+'Testes estatísticos'!$D$113)/2,"")</f>
        <v>-2.9560539999999982</v>
      </c>
      <c r="DF262" s="7">
        <f>IF(109&gt;=84,('Testes estatísticos'!$D$89+'Testes estatísticos'!$D$114)/2,"")</f>
        <v>-2.9923109999999973</v>
      </c>
      <c r="DG262" s="7">
        <f>IF(110&gt;=84,('Testes estatísticos'!$D$89+'Testes estatísticos'!$D$115)/2,"")</f>
        <v>-8.5394505000000009</v>
      </c>
      <c r="DH262" s="7">
        <f>IF(111&gt;=84,('Testes estatísticos'!$D$89+'Testes estatísticos'!$D$116)/2,"")</f>
        <v>-2.8586199999999984</v>
      </c>
      <c r="DI262" s="7">
        <f>IF(112&gt;=84,('Testes estatísticos'!$D$89+'Testes estatísticos'!$D$117)/2,"")</f>
        <v>2.56982</v>
      </c>
      <c r="DJ262" s="7">
        <f>IF(113&gt;=84,('Testes estatísticos'!$D$89+'Testes estatísticos'!$D$118)/2,"")</f>
        <v>-2.8867370000000001</v>
      </c>
      <c r="DK262" s="7">
        <f>IF(114&gt;=84,('Testes estatísticos'!$D$89+'Testes estatísticos'!$D$119)/2,"")</f>
        <v>-2.9884869999999992</v>
      </c>
      <c r="DL262" s="7">
        <f>IF(115&gt;=84,('Testes estatísticos'!$D$89+'Testes estatísticos'!$D$120)/2,"")</f>
        <v>-2.9420094999999975</v>
      </c>
      <c r="DM262" s="7">
        <f>IF(116&gt;=84,('Testes estatísticos'!$D$89+'Testes estatísticos'!$D$121)/2,"")</f>
        <v>-2.933406999999999</v>
      </c>
      <c r="DN262" s="7">
        <f>IF(117&gt;=84,('Testes estatísticos'!$D$89+'Testes estatísticos'!$D$122)/2,"")</f>
        <v>-2.9103390000000005</v>
      </c>
      <c r="DO262" s="7">
        <f>IF(118&gt;=84,('Testes estatísticos'!$D$89+'Testes estatísticos'!$D$123)/2,"")</f>
        <v>-2.8604285000000012</v>
      </c>
      <c r="DP262" s="7">
        <f>IF(119&gt;=84,('Testes estatísticos'!$D$89+'Testes estatísticos'!$D$124)/2,"")</f>
        <v>-2.8816400000000009</v>
      </c>
      <c r="DQ262" s="7">
        <f>IF(120&gt;=84,('Testes estatísticos'!$D$89+'Testes estatísticos'!$D$125)/2,"")</f>
        <v>0.16997450000000214</v>
      </c>
      <c r="DR262" s="7">
        <f>IF(121&gt;=84,('Testes estatísticos'!$D$89+'Testes estatísticos'!$D$126)/2,"")</f>
        <v>-2.6190420000000003</v>
      </c>
      <c r="DS262" s="7">
        <f>IF(122&gt;=84,('Testes estatísticos'!$D$89+'Testes estatísticos'!$D$127)/2,"")</f>
        <v>-3.684450499999997</v>
      </c>
      <c r="DT262" s="7">
        <f>IF(123&gt;=84,('Testes estatísticos'!$D$89+'Testes estatísticos'!$D$128)/2,"")</f>
        <v>2.3844189999999976</v>
      </c>
      <c r="DU262" s="7">
        <f>IF(124&gt;=84,('Testes estatísticos'!$D$89+'Testes estatísticos'!$D$129)/2,"")</f>
        <v>-2.511352500000001</v>
      </c>
      <c r="DV262" s="7">
        <f>IF(125&gt;=84,('Testes estatísticos'!$D$89+'Testes estatísticos'!$D$130)/2,"")</f>
        <v>-1.3530450000000016</v>
      </c>
      <c r="DW262" s="7">
        <f>IF(126&gt;=84,('Testes estatísticos'!$D$89+'Testes estatísticos'!$D$131)/2,"")</f>
        <v>-3.7565209999999993</v>
      </c>
      <c r="DX262" s="7">
        <f>IF(127&gt;=84,('Testes estatísticos'!$D$89+'Testes estatísticos'!$D$132)/2,"")</f>
        <v>-5.8127124999999999</v>
      </c>
      <c r="DY262" s="7">
        <f>IF(128&gt;=84,('Testes estatísticos'!$D$89+'Testes estatísticos'!$D$133)/2,"")</f>
        <v>-6.1538019999999989</v>
      </c>
      <c r="DZ262" s="7">
        <f>IF(129&gt;=84,('Testes estatísticos'!$D$89+'Testes estatísticos'!$D$134)/2,"")</f>
        <v>-9.5775919999999992</v>
      </c>
      <c r="EA262" s="7">
        <f>IF(130&gt;=84,('Testes estatísticos'!$D$89+'Testes estatísticos'!$D$135)/2,"")</f>
        <v>-3.8158219999999972</v>
      </c>
      <c r="EB262" s="7">
        <f>IF(131&gt;=84,('Testes estatísticos'!$D$89+'Testes estatísticos'!$D$136)/2,"")</f>
        <v>-3.7279490000000024</v>
      </c>
      <c r="EC262" s="7">
        <f>IF(132&gt;=84,('Testes estatísticos'!$D$89+'Testes estatísticos'!$D$137)/2,"")</f>
        <v>-5.2146855000000016</v>
      </c>
      <c r="ED262" s="7">
        <f>IF(133&gt;=84,('Testes estatísticos'!$D$89+'Testes estatísticos'!$D$138)/2,"")</f>
        <v>-3.0257480000000001</v>
      </c>
      <c r="EE262" s="7">
        <f>IF(134&gt;=84,('Testes estatísticos'!$D$89+'Testes estatísticos'!$D$139)/2,"")</f>
        <v>-5.3229385000000029</v>
      </c>
      <c r="EF262" s="7">
        <f>IF(135&gt;=84,('Testes estatísticos'!$D$89+'Testes estatísticos'!$D$140)/2,"")</f>
        <v>-2.1085059999999984</v>
      </c>
      <c r="EG262" s="7">
        <f>IF(136&gt;=84,('Testes estatísticos'!$D$89+'Testes estatísticos'!$D$141)/2,"")</f>
        <v>-3.8019960000000026</v>
      </c>
      <c r="EH262" s="7">
        <f>IF(137&gt;=84,('Testes estatísticos'!$D$89+'Testes estatísticos'!$D$142)/2,"")</f>
        <v>-2.0972560000000016</v>
      </c>
      <c r="EI262" s="7">
        <f>IF(138&gt;=84,('Testes estatísticos'!$D$89+'Testes estatísticos'!$D$143)/2,"")</f>
        <v>-3.7622714999999971</v>
      </c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</row>
    <row r="263" spans="2:151" x14ac:dyDescent="0.3">
      <c r="B263" s="7" t="str">
        <f>IF(1&gt;=85,('Testes estatísticos'!$D$90+'Testes estatísticos'!$D$6)/2,"")</f>
        <v/>
      </c>
      <c r="C263" s="7" t="str">
        <f>IF(2&gt;=85,('Testes estatísticos'!$D$90+'Testes estatísticos'!$D$7)/2,"")</f>
        <v/>
      </c>
      <c r="D263" s="7" t="str">
        <f>IF(3&gt;=85,('Testes estatísticos'!$D$90+'Testes estatísticos'!$D$8)/2,"")</f>
        <v/>
      </c>
      <c r="E263" s="7" t="str">
        <f>IF(4&gt;=85,('Testes estatísticos'!$D$90+'Testes estatísticos'!$D$9)/2,"")</f>
        <v/>
      </c>
      <c r="F263" s="7" t="str">
        <f>IF(5&gt;=85,('Testes estatísticos'!$D$90+'Testes estatísticos'!$D$10)/2,"")</f>
        <v/>
      </c>
      <c r="G263" s="7" t="str">
        <f>IF(6&gt;=85,('Testes estatísticos'!$D$90+'Testes estatísticos'!$D$11)/2,"")</f>
        <v/>
      </c>
      <c r="H263" s="7" t="str">
        <f>IF(7&gt;=85,('Testes estatísticos'!$D$90+'Testes estatísticos'!$D$12)/2,"")</f>
        <v/>
      </c>
      <c r="I263" s="7" t="str">
        <f>IF(8&gt;=85,('Testes estatísticos'!$D$90+'Testes estatísticos'!$D$13)/2,"")</f>
        <v/>
      </c>
      <c r="J263" s="7" t="str">
        <f>IF(9&gt;=85,('Testes estatísticos'!$D$90+'Testes estatísticos'!$D$14)/2,"")</f>
        <v/>
      </c>
      <c r="K263" s="7" t="str">
        <f>IF(10&gt;=85,('Testes estatísticos'!$D$90+'Testes estatísticos'!$D$15)/2,"")</f>
        <v/>
      </c>
      <c r="L263" s="7" t="str">
        <f>IF(11&gt;=85,('Testes estatísticos'!$D$90+'Testes estatísticos'!$D$16)/2,"")</f>
        <v/>
      </c>
      <c r="M263" s="7" t="str">
        <f>IF(12&gt;=85,('Testes estatísticos'!$D$90+'Testes estatísticos'!$D$17)/2,"")</f>
        <v/>
      </c>
      <c r="N263" s="7" t="str">
        <f>IF(13&gt;=85,('Testes estatísticos'!$D$90+'Testes estatísticos'!$D$18)/2,"")</f>
        <v/>
      </c>
      <c r="O263" s="7" t="str">
        <f>IF(14&gt;=85,('Testes estatísticos'!$D$90+'Testes estatísticos'!$D$19)/2,"")</f>
        <v/>
      </c>
      <c r="P263" s="7" t="str">
        <f>IF(15&gt;=85,('Testes estatísticos'!$D$90+'Testes estatísticos'!$D$20)/2,"")</f>
        <v/>
      </c>
      <c r="Q263" s="7" t="str">
        <f>IF(16&gt;=85,('Testes estatísticos'!$D$90+'Testes estatísticos'!$D$21)/2,"")</f>
        <v/>
      </c>
      <c r="R263" s="7" t="str">
        <f>IF(17&gt;=85,('Testes estatísticos'!$D$90+'Testes estatísticos'!$D$22)/2,"")</f>
        <v/>
      </c>
      <c r="S263" s="7" t="str">
        <f>IF(18&gt;=85,('Testes estatísticos'!$D$90+'Testes estatísticos'!$D$23)/2,"")</f>
        <v/>
      </c>
      <c r="T263" s="7" t="str">
        <f>IF(19&gt;=85,('Testes estatísticos'!$D$90+'Testes estatísticos'!$D$24)/2,"")</f>
        <v/>
      </c>
      <c r="U263" s="7" t="str">
        <f>IF(20&gt;=85,('Testes estatísticos'!$D$90+'Testes estatísticos'!$D$25)/2,"")</f>
        <v/>
      </c>
      <c r="V263" s="7" t="str">
        <f>IF(21&gt;=85,('Testes estatísticos'!$D$90+'Testes estatísticos'!$D$26)/2,"")</f>
        <v/>
      </c>
      <c r="W263" s="7" t="str">
        <f>IF(22&gt;=85,('Testes estatísticos'!$D$90+'Testes estatísticos'!$D$27)/2,"")</f>
        <v/>
      </c>
      <c r="X263" s="7" t="str">
        <f>IF(23&gt;=85,('Testes estatísticos'!$D$90+'Testes estatísticos'!$D$28)/2,"")</f>
        <v/>
      </c>
      <c r="Y263" s="7" t="str">
        <f>IF(24&gt;=85,('Testes estatísticos'!$D$90+'Testes estatísticos'!$D$29)/2,"")</f>
        <v/>
      </c>
      <c r="Z263" s="7" t="str">
        <f>IF(25&gt;=85,('Testes estatísticos'!$D$90+'Testes estatísticos'!$D$30)/2,"")</f>
        <v/>
      </c>
      <c r="AA263" s="7" t="str">
        <f>IF(26&gt;=85,('Testes estatísticos'!$D$90+'Testes estatísticos'!$D$31)/2,"")</f>
        <v/>
      </c>
      <c r="AB263" s="7" t="str">
        <f>IF(27&gt;=85,('Testes estatísticos'!$D$90+'Testes estatísticos'!$D$32)/2,"")</f>
        <v/>
      </c>
      <c r="AC263" s="7" t="str">
        <f>IF(28&gt;=85,('Testes estatísticos'!$D$90+'Testes estatísticos'!$D$33)/2,"")</f>
        <v/>
      </c>
      <c r="AD263" s="7" t="str">
        <f>IF(29&gt;=85,('Testes estatísticos'!$D$90+'Testes estatísticos'!$D$34)/2,"")</f>
        <v/>
      </c>
      <c r="AE263" s="7" t="str">
        <f>IF(30&gt;=85,('Testes estatísticos'!$D$90+'Testes estatísticos'!$D$35)/2,"")</f>
        <v/>
      </c>
      <c r="AF263" s="7" t="str">
        <f>IF(31&gt;=85,('Testes estatísticos'!$D$90+'Testes estatísticos'!$D$36)/2,"")</f>
        <v/>
      </c>
      <c r="AG263" s="7" t="str">
        <f>IF(32&gt;=85,('Testes estatísticos'!$D$90+'Testes estatísticos'!$D$37)/2,"")</f>
        <v/>
      </c>
      <c r="AH263" s="7" t="str">
        <f>IF(33&gt;=85,('Testes estatísticos'!$D$90+'Testes estatísticos'!$D$38)/2,"")</f>
        <v/>
      </c>
      <c r="AI263" s="7" t="str">
        <f>IF(34&gt;=85,('Testes estatísticos'!$D$90+'Testes estatísticos'!$D$39)/2,"")</f>
        <v/>
      </c>
      <c r="AJ263" s="7" t="str">
        <f>IF(35&gt;=85,('Testes estatísticos'!$D$90+'Testes estatísticos'!$D$40)/2,"")</f>
        <v/>
      </c>
      <c r="AK263" s="7" t="str">
        <f>IF(36&gt;=85,('Testes estatísticos'!$D$90+'Testes estatísticos'!$D$41)/2,"")</f>
        <v/>
      </c>
      <c r="AL263" s="7" t="str">
        <f>IF(37&gt;=85,('Testes estatísticos'!$D$90+'Testes estatísticos'!$D$42)/2,"")</f>
        <v/>
      </c>
      <c r="AM263" s="7" t="str">
        <f>IF(38&gt;=85,('Testes estatísticos'!$D$90+'Testes estatísticos'!$D$43)/2,"")</f>
        <v/>
      </c>
      <c r="AN263" s="7" t="str">
        <f>IF(39&gt;=85,('Testes estatísticos'!$D$90+'Testes estatísticos'!$D$44)/2,"")</f>
        <v/>
      </c>
      <c r="AO263" s="7" t="str">
        <f>IF(40&gt;=85,('Testes estatísticos'!$D$90+'Testes estatísticos'!$D$45)/2,"")</f>
        <v/>
      </c>
      <c r="AP263" s="7" t="str">
        <f>IF(41&gt;=85,('Testes estatísticos'!$D$90+'Testes estatísticos'!$D$46)/2,"")</f>
        <v/>
      </c>
      <c r="AQ263" s="7" t="str">
        <f>IF(42&gt;=85,('Testes estatísticos'!$D$90+'Testes estatísticos'!$D$47)/2,"")</f>
        <v/>
      </c>
      <c r="AR263" s="7" t="str">
        <f>IF(43&gt;=85,('Testes estatísticos'!$D$90+'Testes estatísticos'!$D$48)/2,"")</f>
        <v/>
      </c>
      <c r="AS263" s="7" t="str">
        <f>IF(44&gt;=85,('Testes estatísticos'!$D$90+'Testes estatísticos'!$D$49)/2,"")</f>
        <v/>
      </c>
      <c r="AT263" s="7" t="str">
        <f>IF(45&gt;=85,('Testes estatísticos'!$D$90+'Testes estatísticos'!$D$50)/2,"")</f>
        <v/>
      </c>
      <c r="AU263" s="7" t="str">
        <f>IF(46&gt;=85,('Testes estatísticos'!$D$90+'Testes estatísticos'!$D$51)/2,"")</f>
        <v/>
      </c>
      <c r="AV263" s="7" t="str">
        <f>IF(47&gt;=85,('Testes estatísticos'!$D$90+'Testes estatísticos'!$D$52)/2,"")</f>
        <v/>
      </c>
      <c r="AW263" s="7" t="str">
        <f>IF(48&gt;=85,('Testes estatísticos'!$D$90+'Testes estatísticos'!$D$53)/2,"")</f>
        <v/>
      </c>
      <c r="AX263" s="7" t="str">
        <f>IF(49&gt;=85,('Testes estatísticos'!$D$90+'Testes estatísticos'!$D$54)/2,"")</f>
        <v/>
      </c>
      <c r="AY263" s="7" t="str">
        <f>IF(50&gt;=85,('Testes estatísticos'!$D$90+'Testes estatísticos'!$D$55)/2,"")</f>
        <v/>
      </c>
      <c r="AZ263" s="7" t="str">
        <f>IF(51&gt;=85,('Testes estatísticos'!$D$90+'Testes estatísticos'!$D$56)/2,"")</f>
        <v/>
      </c>
      <c r="BA263" s="7" t="str">
        <f>IF(52&gt;=85,('Testes estatísticos'!$D$90+'Testes estatísticos'!$D$57)/2,"")</f>
        <v/>
      </c>
      <c r="BB263" s="7" t="str">
        <f>IF(53&gt;=85,('Testes estatísticos'!$D$90+'Testes estatísticos'!$D$58)/2,"")</f>
        <v/>
      </c>
      <c r="BC263" s="7" t="str">
        <f>IF(54&gt;=85,('Testes estatísticos'!$D$90+'Testes estatísticos'!$D$59)/2,"")</f>
        <v/>
      </c>
      <c r="BD263" s="7" t="str">
        <f>IF(55&gt;=85,('Testes estatísticos'!$D$90+'Testes estatísticos'!$D$60)/2,"")</f>
        <v/>
      </c>
      <c r="BE263" s="7" t="str">
        <f>IF(56&gt;=85,('Testes estatísticos'!$D$90+'Testes estatísticos'!$D$61)/2,"")</f>
        <v/>
      </c>
      <c r="BF263" s="7" t="str">
        <f>IF(57&gt;=85,('Testes estatísticos'!$D$90+'Testes estatísticos'!$D$62)/2,"")</f>
        <v/>
      </c>
      <c r="BG263" s="7" t="str">
        <f>IF(58&gt;=85,('Testes estatísticos'!$D$90+'Testes estatísticos'!$D$63)/2,"")</f>
        <v/>
      </c>
      <c r="BH263" s="7" t="str">
        <f>IF(59&gt;=85,('Testes estatísticos'!$D$90+'Testes estatísticos'!$D$64)/2,"")</f>
        <v/>
      </c>
      <c r="BI263" s="7" t="str">
        <f>IF(60&gt;=85,('Testes estatísticos'!$D$90+'Testes estatísticos'!$D$65)/2,"")</f>
        <v/>
      </c>
      <c r="BJ263" s="7" t="str">
        <f>IF(61&gt;=85,('Testes estatísticos'!$D$90+'Testes estatísticos'!$D$66)/2,"")</f>
        <v/>
      </c>
      <c r="BK263" s="7" t="str">
        <f>IF(62&gt;=85,('Testes estatísticos'!$D$90+'Testes estatísticos'!$D$67)/2,"")</f>
        <v/>
      </c>
      <c r="BL263" s="7" t="str">
        <f>IF(63&gt;=85,('Testes estatísticos'!$D$90+'Testes estatísticos'!$D$68)/2,"")</f>
        <v/>
      </c>
      <c r="BM263" s="7" t="str">
        <f>IF(64&gt;=85,('Testes estatísticos'!$D$90+'Testes estatísticos'!$D$69)/2,"")</f>
        <v/>
      </c>
      <c r="BN263" s="7" t="str">
        <f>IF(65&gt;=85,('Testes estatísticos'!$D$90+'Testes estatísticos'!$D$70)/2,"")</f>
        <v/>
      </c>
      <c r="BO263" s="7" t="str">
        <f>IF(66&gt;=85,('Testes estatísticos'!$D$90+'Testes estatísticos'!$D$71)/2,"")</f>
        <v/>
      </c>
      <c r="BP263" s="7" t="str">
        <f>IF(67&gt;=85,('Testes estatísticos'!$D$90+'Testes estatísticos'!$D$72)/2,"")</f>
        <v/>
      </c>
      <c r="BQ263" s="7" t="str">
        <f>IF(68&gt;=85,('Testes estatísticos'!$D$90+'Testes estatísticos'!$D$73)/2,"")</f>
        <v/>
      </c>
      <c r="BR263" s="7" t="str">
        <f>IF(69&gt;=85,('Testes estatísticos'!$D$90+'Testes estatísticos'!$D$74)/2,"")</f>
        <v/>
      </c>
      <c r="BS263" s="7" t="str">
        <f>IF(70&gt;=85,('Testes estatísticos'!$D$90+'Testes estatísticos'!$D$75)/2,"")</f>
        <v/>
      </c>
      <c r="BT263" s="7" t="str">
        <f>IF(71&gt;=85,('Testes estatísticos'!$D$90+'Testes estatísticos'!$D$76)/2,"")</f>
        <v/>
      </c>
      <c r="BU263" s="7" t="str">
        <f>IF(72&gt;=85,('Testes estatísticos'!$D$90+'Testes estatísticos'!$D$77)/2,"")</f>
        <v/>
      </c>
      <c r="BV263" s="7" t="str">
        <f>IF(73&gt;=85,('Testes estatísticos'!$D$90+'Testes estatísticos'!$D$78)/2,"")</f>
        <v/>
      </c>
      <c r="BW263" s="7" t="str">
        <f>IF(74&gt;=85,('Testes estatísticos'!$D$90+'Testes estatísticos'!$D$79)/2,"")</f>
        <v/>
      </c>
      <c r="BX263" s="7" t="str">
        <f>IF(75&gt;=85,('Testes estatísticos'!$D$90+'Testes estatísticos'!$D$80)/2,"")</f>
        <v/>
      </c>
      <c r="BY263" s="7" t="str">
        <f>IF(76&gt;=85,('Testes estatísticos'!$D$90+'Testes estatísticos'!$D$81)/2,"")</f>
        <v/>
      </c>
      <c r="BZ263" s="7" t="str">
        <f>IF(77&gt;=85,('Testes estatísticos'!$D$90+'Testes estatísticos'!$D$82)/2,"")</f>
        <v/>
      </c>
      <c r="CA263" s="7" t="str">
        <f>IF(78&gt;=85,('Testes estatísticos'!$D$90+'Testes estatísticos'!$D$83)/2,"")</f>
        <v/>
      </c>
      <c r="CB263" s="7" t="str">
        <f>IF(79&gt;=85,('Testes estatísticos'!$D$90+'Testes estatísticos'!$D$84)/2,"")</f>
        <v/>
      </c>
      <c r="CC263" s="7" t="str">
        <f>IF(80&gt;=85,('Testes estatísticos'!$D$90+'Testes estatísticos'!$D$85)/2,"")</f>
        <v/>
      </c>
      <c r="CD263" s="7" t="str">
        <f>IF(81&gt;=85,('Testes estatísticos'!$D$90+'Testes estatísticos'!$D$86)/2,"")</f>
        <v/>
      </c>
      <c r="CE263" s="7" t="str">
        <f>IF(82&gt;=85,('Testes estatísticos'!$D$90+'Testes estatísticos'!$D$87)/2,"")</f>
        <v/>
      </c>
      <c r="CF263" s="7" t="str">
        <f>IF(83&gt;=85,('Testes estatísticos'!$D$90+'Testes estatísticos'!$D$88)/2,"")</f>
        <v/>
      </c>
      <c r="CG263" s="7" t="str">
        <f>IF(84&gt;=85,('Testes estatísticos'!$D$90+'Testes estatísticos'!$D$89)/2,"")</f>
        <v/>
      </c>
      <c r="CH263" s="7">
        <f>IF(85&gt;=85,('Testes estatísticos'!$D$90+'Testes estatísticos'!$D$90)/2,"")</f>
        <v>-0.10713400000000206</v>
      </c>
      <c r="CI263" s="7">
        <f>IF(86&gt;=85,('Testes estatísticos'!$D$90+'Testes estatísticos'!$D$91)/2,"")</f>
        <v>-2.7972934999999985</v>
      </c>
      <c r="CJ263" s="7">
        <f>IF(87&gt;=85,('Testes estatísticos'!$D$90+'Testes estatísticos'!$D$92)/2,"")</f>
        <v>-1.5550870000000003</v>
      </c>
      <c r="CK263" s="7">
        <f>IF(88&gt;=85,('Testes estatísticos'!$D$90+'Testes estatísticos'!$D$93)/2,"")</f>
        <v>-1.3110035000000018</v>
      </c>
      <c r="CL263" s="7">
        <f>IF(89&gt;=85,('Testes estatísticos'!$D$90+'Testes estatísticos'!$D$94)/2,"")</f>
        <v>-1.9225955000000035</v>
      </c>
      <c r="CM263" s="7">
        <f>IF(90&gt;=85,('Testes estatísticos'!$D$90+'Testes estatísticos'!$D$95)/2,"")</f>
        <v>-4.2567275000000002</v>
      </c>
      <c r="CN263" s="7">
        <f>IF(91&gt;=85,('Testes estatísticos'!$D$90+'Testes estatísticos'!$D$96)/2,"")</f>
        <v>-1.7182044999999988</v>
      </c>
      <c r="CO263" s="7">
        <f>IF(92&gt;=85,('Testes estatísticos'!$D$90+'Testes estatísticos'!$D$97)/2,"")</f>
        <v>-2.0647079999999995</v>
      </c>
      <c r="CP263" s="7">
        <f>IF(93&gt;=85,('Testes estatísticos'!$D$90+'Testes estatísticos'!$D$98)/2,"")</f>
        <v>-2.2694599999999987</v>
      </c>
      <c r="CQ263" s="7">
        <f>IF(94&gt;=85,('Testes estatísticos'!$D$90+'Testes estatísticos'!$D$99)/2,"")</f>
        <v>-8.8302000000002323E-2</v>
      </c>
      <c r="CR263" s="7">
        <f>IF(95&gt;=85,('Testes estatísticos'!$D$90+'Testes estatísticos'!$D$100)/2,"")</f>
        <v>-1.9940950000000015</v>
      </c>
      <c r="CS263" s="7">
        <f>IF(96&gt;=85,('Testes estatísticos'!$D$90+'Testes estatísticos'!$D$101)/2,"")</f>
        <v>-1.9501080000000037</v>
      </c>
      <c r="CT263" s="7">
        <f>IF(97&gt;=85,('Testes estatísticos'!$D$90+'Testes estatísticos'!$D$102)/2,"")</f>
        <v>-1.7170575000000028</v>
      </c>
      <c r="CU263" s="7">
        <f>IF(98&gt;=85,('Testes estatísticos'!$D$90+'Testes estatísticos'!$D$103)/2,"")</f>
        <v>-1.6597314999999995</v>
      </c>
      <c r="CV263" s="7">
        <f>IF(99&gt;=85,('Testes estatísticos'!$D$90+'Testes estatísticos'!$D$104)/2,"")</f>
        <v>-2.0945575000000005</v>
      </c>
      <c r="CW263" s="7">
        <f>IF(100&gt;=85,('Testes estatísticos'!$D$90+'Testes estatísticos'!$D$105)/2,"")</f>
        <v>-2.1940235000000001</v>
      </c>
      <c r="CX263" s="7">
        <f>IF(101&gt;=85,('Testes estatísticos'!$D$90+'Testes estatísticos'!$D$106)/2,"")</f>
        <v>-1.6710969999999996</v>
      </c>
      <c r="CY263" s="7">
        <f>IF(102&gt;=85,('Testes estatísticos'!$D$90+'Testes estatísticos'!$D$107)/2,"")</f>
        <v>-1.7267620000000008</v>
      </c>
      <c r="CZ263" s="7">
        <f>IF(103&gt;=85,('Testes estatísticos'!$D$90+'Testes estatísticos'!$D$108)/2,"")</f>
        <v>-2.2509285000000006</v>
      </c>
      <c r="DA263" s="7">
        <f>IF(104&gt;=85,('Testes estatísticos'!$D$90+'Testes estatísticos'!$D$109)/2,"")</f>
        <v>-1.9882944999999985</v>
      </c>
      <c r="DB263" s="7">
        <f>IF(105&gt;=85,('Testes estatísticos'!$D$90+'Testes estatísticos'!$D$110)/2,"")</f>
        <v>-1.9539635000000004</v>
      </c>
      <c r="DC263" s="7">
        <f>IF(106&gt;=85,('Testes estatísticos'!$D$90+'Testes estatísticos'!$D$111)/2,"")</f>
        <v>-1.2110425000000014</v>
      </c>
      <c r="DD263" s="7">
        <f>IF(107&gt;=85,('Testes estatísticos'!$D$90+'Testes estatísticos'!$D$112)/2,"")</f>
        <v>2.2821284999999989</v>
      </c>
      <c r="DE263" s="7">
        <f>IF(108&gt;=85,('Testes estatísticos'!$D$90+'Testes estatísticos'!$D$113)/2,"")</f>
        <v>-1.1405069999999995</v>
      </c>
      <c r="DF263" s="7">
        <f>IF(109&gt;=85,('Testes estatísticos'!$D$90+'Testes estatísticos'!$D$114)/2,"")</f>
        <v>-1.1767639999999986</v>
      </c>
      <c r="DG263" s="7">
        <f>IF(110&gt;=85,('Testes estatísticos'!$D$90+'Testes estatísticos'!$D$115)/2,"")</f>
        <v>-6.7239035000000023</v>
      </c>
      <c r="DH263" s="7">
        <f>IF(111&gt;=85,('Testes estatísticos'!$D$90+'Testes estatísticos'!$D$116)/2,"")</f>
        <v>-1.0430729999999997</v>
      </c>
      <c r="DI263" s="7">
        <f>IF(112&gt;=85,('Testes estatísticos'!$D$90+'Testes estatísticos'!$D$117)/2,"")</f>
        <v>4.3853669999999987</v>
      </c>
      <c r="DJ263" s="7">
        <f>IF(113&gt;=85,('Testes estatísticos'!$D$90+'Testes estatísticos'!$D$118)/2,"")</f>
        <v>-1.0711900000000014</v>
      </c>
      <c r="DK263" s="7">
        <f>IF(114&gt;=85,('Testes estatísticos'!$D$90+'Testes estatísticos'!$D$119)/2,"")</f>
        <v>-1.1729400000000005</v>
      </c>
      <c r="DL263" s="7">
        <f>IF(115&gt;=85,('Testes estatísticos'!$D$90+'Testes estatísticos'!$D$120)/2,"")</f>
        <v>-1.1264624999999988</v>
      </c>
      <c r="DM263" s="7">
        <f>IF(116&gt;=85,('Testes estatísticos'!$D$90+'Testes estatísticos'!$D$121)/2,"")</f>
        <v>-1.1178600000000003</v>
      </c>
      <c r="DN263" s="7">
        <f>IF(117&gt;=85,('Testes estatísticos'!$D$90+'Testes estatísticos'!$D$122)/2,"")</f>
        <v>-1.0947920000000018</v>
      </c>
      <c r="DO263" s="7">
        <f>IF(118&gt;=85,('Testes estatísticos'!$D$90+'Testes estatísticos'!$D$123)/2,"")</f>
        <v>-1.0448815000000025</v>
      </c>
      <c r="DP263" s="7">
        <f>IF(119&gt;=85,('Testes estatísticos'!$D$90+'Testes estatísticos'!$D$124)/2,"")</f>
        <v>-1.0660930000000022</v>
      </c>
      <c r="DQ263" s="7">
        <f>IF(120&gt;=85,('Testes estatísticos'!$D$90+'Testes estatísticos'!$D$125)/2,"")</f>
        <v>1.9855215000000008</v>
      </c>
      <c r="DR263" s="7">
        <f>IF(121&gt;=85,('Testes estatísticos'!$D$90+'Testes estatísticos'!$D$126)/2,"")</f>
        <v>-0.80349500000000162</v>
      </c>
      <c r="DS263" s="7">
        <f>IF(122&gt;=85,('Testes estatísticos'!$D$90+'Testes estatísticos'!$D$127)/2,"")</f>
        <v>-1.8689034999999983</v>
      </c>
      <c r="DT263" s="7">
        <f>IF(123&gt;=85,('Testes estatísticos'!$D$90+'Testes estatísticos'!$D$128)/2,"")</f>
        <v>4.1999659999999963</v>
      </c>
      <c r="DU263" s="7">
        <f>IF(124&gt;=85,('Testes estatísticos'!$D$90+'Testes estatísticos'!$D$129)/2,"")</f>
        <v>-0.6958055000000023</v>
      </c>
      <c r="DV263" s="7">
        <f>IF(125&gt;=85,('Testes estatísticos'!$D$90+'Testes estatísticos'!$D$130)/2,"")</f>
        <v>0.46250199999999708</v>
      </c>
      <c r="DW263" s="7">
        <f>IF(126&gt;=85,('Testes estatísticos'!$D$90+'Testes estatísticos'!$D$131)/2,"")</f>
        <v>-1.9409740000000006</v>
      </c>
      <c r="DX263" s="7">
        <f>IF(127&gt;=85,('Testes estatísticos'!$D$90+'Testes estatísticos'!$D$132)/2,"")</f>
        <v>-3.9971655000000013</v>
      </c>
      <c r="DY263" s="7">
        <f>IF(128&gt;=85,('Testes estatísticos'!$D$90+'Testes estatísticos'!$D$133)/2,"")</f>
        <v>-4.3382550000000002</v>
      </c>
      <c r="DZ263" s="7">
        <f>IF(129&gt;=85,('Testes estatísticos'!$D$90+'Testes estatísticos'!$D$134)/2,"")</f>
        <v>-7.7620450000000005</v>
      </c>
      <c r="EA263" s="7">
        <f>IF(130&gt;=85,('Testes estatísticos'!$D$90+'Testes estatísticos'!$D$135)/2,"")</f>
        <v>-2.0002749999999985</v>
      </c>
      <c r="EB263" s="7">
        <f>IF(131&gt;=85,('Testes estatísticos'!$D$90+'Testes estatísticos'!$D$136)/2,"")</f>
        <v>-1.9124020000000037</v>
      </c>
      <c r="EC263" s="7">
        <f>IF(132&gt;=85,('Testes estatísticos'!$D$90+'Testes estatísticos'!$D$137)/2,"")</f>
        <v>-3.3991385000000029</v>
      </c>
      <c r="ED263" s="7">
        <f>IF(133&gt;=85,('Testes estatísticos'!$D$90+'Testes estatísticos'!$D$138)/2,"")</f>
        <v>-1.2102010000000014</v>
      </c>
      <c r="EE263" s="7">
        <f>IF(134&gt;=85,('Testes estatísticos'!$D$90+'Testes estatísticos'!$D$139)/2,"")</f>
        <v>-3.5073915000000042</v>
      </c>
      <c r="EF263" s="7">
        <f>IF(135&gt;=85,('Testes estatísticos'!$D$90+'Testes estatísticos'!$D$140)/2,"")</f>
        <v>-0.29295899999999975</v>
      </c>
      <c r="EG263" s="7">
        <f>IF(136&gt;=85,('Testes estatísticos'!$D$90+'Testes estatísticos'!$D$141)/2,"")</f>
        <v>-1.9864490000000039</v>
      </c>
      <c r="EH263" s="7">
        <f>IF(137&gt;=85,('Testes estatísticos'!$D$90+'Testes estatísticos'!$D$142)/2,"")</f>
        <v>-0.28170900000000287</v>
      </c>
      <c r="EI263" s="7">
        <f>IF(138&gt;=85,('Testes estatísticos'!$D$90+'Testes estatísticos'!$D$143)/2,"")</f>
        <v>-1.9467244999999984</v>
      </c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</row>
    <row r="264" spans="2:151" x14ac:dyDescent="0.3">
      <c r="B264" s="7" t="str">
        <f>IF(1&gt;=86,('Testes estatísticos'!$D$91+'Testes estatísticos'!$D$6)/2,"")</f>
        <v/>
      </c>
      <c r="C264" s="7" t="str">
        <f>IF(2&gt;=86,('Testes estatísticos'!$D$91+'Testes estatísticos'!$D$7)/2,"")</f>
        <v/>
      </c>
      <c r="D264" s="7" t="str">
        <f>IF(3&gt;=86,('Testes estatísticos'!$D$91+'Testes estatísticos'!$D$8)/2,"")</f>
        <v/>
      </c>
      <c r="E264" s="7" t="str">
        <f>IF(4&gt;=86,('Testes estatísticos'!$D$91+'Testes estatísticos'!$D$9)/2,"")</f>
        <v/>
      </c>
      <c r="F264" s="7" t="str">
        <f>IF(5&gt;=86,('Testes estatísticos'!$D$91+'Testes estatísticos'!$D$10)/2,"")</f>
        <v/>
      </c>
      <c r="G264" s="7" t="str">
        <f>IF(6&gt;=86,('Testes estatísticos'!$D$91+'Testes estatísticos'!$D$11)/2,"")</f>
        <v/>
      </c>
      <c r="H264" s="7" t="str">
        <f>IF(7&gt;=86,('Testes estatísticos'!$D$91+'Testes estatísticos'!$D$12)/2,"")</f>
        <v/>
      </c>
      <c r="I264" s="7" t="str">
        <f>IF(8&gt;=86,('Testes estatísticos'!$D$91+'Testes estatísticos'!$D$13)/2,"")</f>
        <v/>
      </c>
      <c r="J264" s="7" t="str">
        <f>IF(9&gt;=86,('Testes estatísticos'!$D$91+'Testes estatísticos'!$D$14)/2,"")</f>
        <v/>
      </c>
      <c r="K264" s="7" t="str">
        <f>IF(10&gt;=86,('Testes estatísticos'!$D$91+'Testes estatísticos'!$D$15)/2,"")</f>
        <v/>
      </c>
      <c r="L264" s="7" t="str">
        <f>IF(11&gt;=86,('Testes estatísticos'!$D$91+'Testes estatísticos'!$D$16)/2,"")</f>
        <v/>
      </c>
      <c r="M264" s="7" t="str">
        <f>IF(12&gt;=86,('Testes estatísticos'!$D$91+'Testes estatísticos'!$D$17)/2,"")</f>
        <v/>
      </c>
      <c r="N264" s="7" t="str">
        <f>IF(13&gt;=86,('Testes estatísticos'!$D$91+'Testes estatísticos'!$D$18)/2,"")</f>
        <v/>
      </c>
      <c r="O264" s="7" t="str">
        <f>IF(14&gt;=86,('Testes estatísticos'!$D$91+'Testes estatísticos'!$D$19)/2,"")</f>
        <v/>
      </c>
      <c r="P264" s="7" t="str">
        <f>IF(15&gt;=86,('Testes estatísticos'!$D$91+'Testes estatísticos'!$D$20)/2,"")</f>
        <v/>
      </c>
      <c r="Q264" s="7" t="str">
        <f>IF(16&gt;=86,('Testes estatísticos'!$D$91+'Testes estatísticos'!$D$21)/2,"")</f>
        <v/>
      </c>
      <c r="R264" s="7" t="str">
        <f>IF(17&gt;=86,('Testes estatísticos'!$D$91+'Testes estatísticos'!$D$22)/2,"")</f>
        <v/>
      </c>
      <c r="S264" s="7" t="str">
        <f>IF(18&gt;=86,('Testes estatísticos'!$D$91+'Testes estatísticos'!$D$23)/2,"")</f>
        <v/>
      </c>
      <c r="T264" s="7" t="str">
        <f>IF(19&gt;=86,('Testes estatísticos'!$D$91+'Testes estatísticos'!$D$24)/2,"")</f>
        <v/>
      </c>
      <c r="U264" s="7" t="str">
        <f>IF(20&gt;=86,('Testes estatísticos'!$D$91+'Testes estatísticos'!$D$25)/2,"")</f>
        <v/>
      </c>
      <c r="V264" s="7" t="str">
        <f>IF(21&gt;=86,('Testes estatísticos'!$D$91+'Testes estatísticos'!$D$26)/2,"")</f>
        <v/>
      </c>
      <c r="W264" s="7" t="str">
        <f>IF(22&gt;=86,('Testes estatísticos'!$D$91+'Testes estatísticos'!$D$27)/2,"")</f>
        <v/>
      </c>
      <c r="X264" s="7" t="str">
        <f>IF(23&gt;=86,('Testes estatísticos'!$D$91+'Testes estatísticos'!$D$28)/2,"")</f>
        <v/>
      </c>
      <c r="Y264" s="7" t="str">
        <f>IF(24&gt;=86,('Testes estatísticos'!$D$91+'Testes estatísticos'!$D$29)/2,"")</f>
        <v/>
      </c>
      <c r="Z264" s="7" t="str">
        <f>IF(25&gt;=86,('Testes estatísticos'!$D$91+'Testes estatísticos'!$D$30)/2,"")</f>
        <v/>
      </c>
      <c r="AA264" s="7" t="str">
        <f>IF(26&gt;=86,('Testes estatísticos'!$D$91+'Testes estatísticos'!$D$31)/2,"")</f>
        <v/>
      </c>
      <c r="AB264" s="7" t="str">
        <f>IF(27&gt;=86,('Testes estatísticos'!$D$91+'Testes estatísticos'!$D$32)/2,"")</f>
        <v/>
      </c>
      <c r="AC264" s="7" t="str">
        <f>IF(28&gt;=86,('Testes estatísticos'!$D$91+'Testes estatísticos'!$D$33)/2,"")</f>
        <v/>
      </c>
      <c r="AD264" s="7" t="str">
        <f>IF(29&gt;=86,('Testes estatísticos'!$D$91+'Testes estatísticos'!$D$34)/2,"")</f>
        <v/>
      </c>
      <c r="AE264" s="7" t="str">
        <f>IF(30&gt;=86,('Testes estatísticos'!$D$91+'Testes estatísticos'!$D$35)/2,"")</f>
        <v/>
      </c>
      <c r="AF264" s="7" t="str">
        <f>IF(31&gt;=86,('Testes estatísticos'!$D$91+'Testes estatísticos'!$D$36)/2,"")</f>
        <v/>
      </c>
      <c r="AG264" s="7" t="str">
        <f>IF(32&gt;=86,('Testes estatísticos'!$D$91+'Testes estatísticos'!$D$37)/2,"")</f>
        <v/>
      </c>
      <c r="AH264" s="7" t="str">
        <f>IF(33&gt;=86,('Testes estatísticos'!$D$91+'Testes estatísticos'!$D$38)/2,"")</f>
        <v/>
      </c>
      <c r="AI264" s="7" t="str">
        <f>IF(34&gt;=86,('Testes estatísticos'!$D$91+'Testes estatísticos'!$D$39)/2,"")</f>
        <v/>
      </c>
      <c r="AJ264" s="7" t="str">
        <f>IF(35&gt;=86,('Testes estatísticos'!$D$91+'Testes estatísticos'!$D$40)/2,"")</f>
        <v/>
      </c>
      <c r="AK264" s="7" t="str">
        <f>IF(36&gt;=86,('Testes estatísticos'!$D$91+'Testes estatísticos'!$D$41)/2,"")</f>
        <v/>
      </c>
      <c r="AL264" s="7" t="str">
        <f>IF(37&gt;=86,('Testes estatísticos'!$D$91+'Testes estatísticos'!$D$42)/2,"")</f>
        <v/>
      </c>
      <c r="AM264" s="7" t="str">
        <f>IF(38&gt;=86,('Testes estatísticos'!$D$91+'Testes estatísticos'!$D$43)/2,"")</f>
        <v/>
      </c>
      <c r="AN264" s="7" t="str">
        <f>IF(39&gt;=86,('Testes estatísticos'!$D$91+'Testes estatísticos'!$D$44)/2,"")</f>
        <v/>
      </c>
      <c r="AO264" s="7" t="str">
        <f>IF(40&gt;=86,('Testes estatísticos'!$D$91+'Testes estatísticos'!$D$45)/2,"")</f>
        <v/>
      </c>
      <c r="AP264" s="7" t="str">
        <f>IF(41&gt;=86,('Testes estatísticos'!$D$91+'Testes estatísticos'!$D$46)/2,"")</f>
        <v/>
      </c>
      <c r="AQ264" s="7" t="str">
        <f>IF(42&gt;=86,('Testes estatísticos'!$D$91+'Testes estatísticos'!$D$47)/2,"")</f>
        <v/>
      </c>
      <c r="AR264" s="7" t="str">
        <f>IF(43&gt;=86,('Testes estatísticos'!$D$91+'Testes estatísticos'!$D$48)/2,"")</f>
        <v/>
      </c>
      <c r="AS264" s="7" t="str">
        <f>IF(44&gt;=86,('Testes estatísticos'!$D$91+'Testes estatísticos'!$D$49)/2,"")</f>
        <v/>
      </c>
      <c r="AT264" s="7" t="str">
        <f>IF(45&gt;=86,('Testes estatísticos'!$D$91+'Testes estatísticos'!$D$50)/2,"")</f>
        <v/>
      </c>
      <c r="AU264" s="7" t="str">
        <f>IF(46&gt;=86,('Testes estatísticos'!$D$91+'Testes estatísticos'!$D$51)/2,"")</f>
        <v/>
      </c>
      <c r="AV264" s="7" t="str">
        <f>IF(47&gt;=86,('Testes estatísticos'!$D$91+'Testes estatísticos'!$D$52)/2,"")</f>
        <v/>
      </c>
      <c r="AW264" s="7" t="str">
        <f>IF(48&gt;=86,('Testes estatísticos'!$D$91+'Testes estatísticos'!$D$53)/2,"")</f>
        <v/>
      </c>
      <c r="AX264" s="7" t="str">
        <f>IF(49&gt;=86,('Testes estatísticos'!$D$91+'Testes estatísticos'!$D$54)/2,"")</f>
        <v/>
      </c>
      <c r="AY264" s="7" t="str">
        <f>IF(50&gt;=86,('Testes estatísticos'!$D$91+'Testes estatísticos'!$D$55)/2,"")</f>
        <v/>
      </c>
      <c r="AZ264" s="7" t="str">
        <f>IF(51&gt;=86,('Testes estatísticos'!$D$91+'Testes estatísticos'!$D$56)/2,"")</f>
        <v/>
      </c>
      <c r="BA264" s="7" t="str">
        <f>IF(52&gt;=86,('Testes estatísticos'!$D$91+'Testes estatísticos'!$D$57)/2,"")</f>
        <v/>
      </c>
      <c r="BB264" s="7" t="str">
        <f>IF(53&gt;=86,('Testes estatísticos'!$D$91+'Testes estatísticos'!$D$58)/2,"")</f>
        <v/>
      </c>
      <c r="BC264" s="7" t="str">
        <f>IF(54&gt;=86,('Testes estatísticos'!$D$91+'Testes estatísticos'!$D$59)/2,"")</f>
        <v/>
      </c>
      <c r="BD264" s="7" t="str">
        <f>IF(55&gt;=86,('Testes estatísticos'!$D$91+'Testes estatísticos'!$D$60)/2,"")</f>
        <v/>
      </c>
      <c r="BE264" s="7" t="str">
        <f>IF(56&gt;=86,('Testes estatísticos'!$D$91+'Testes estatísticos'!$D$61)/2,"")</f>
        <v/>
      </c>
      <c r="BF264" s="7" t="str">
        <f>IF(57&gt;=86,('Testes estatísticos'!$D$91+'Testes estatísticos'!$D$62)/2,"")</f>
        <v/>
      </c>
      <c r="BG264" s="7" t="str">
        <f>IF(58&gt;=86,('Testes estatísticos'!$D$91+'Testes estatísticos'!$D$63)/2,"")</f>
        <v/>
      </c>
      <c r="BH264" s="7" t="str">
        <f>IF(59&gt;=86,('Testes estatísticos'!$D$91+'Testes estatísticos'!$D$64)/2,"")</f>
        <v/>
      </c>
      <c r="BI264" s="7" t="str">
        <f>IF(60&gt;=86,('Testes estatísticos'!$D$91+'Testes estatísticos'!$D$65)/2,"")</f>
        <v/>
      </c>
      <c r="BJ264" s="7" t="str">
        <f>IF(61&gt;=86,('Testes estatísticos'!$D$91+'Testes estatísticos'!$D$66)/2,"")</f>
        <v/>
      </c>
      <c r="BK264" s="7" t="str">
        <f>IF(62&gt;=86,('Testes estatísticos'!$D$91+'Testes estatísticos'!$D$67)/2,"")</f>
        <v/>
      </c>
      <c r="BL264" s="7" t="str">
        <f>IF(63&gt;=86,('Testes estatísticos'!$D$91+'Testes estatísticos'!$D$68)/2,"")</f>
        <v/>
      </c>
      <c r="BM264" s="7" t="str">
        <f>IF(64&gt;=86,('Testes estatísticos'!$D$91+'Testes estatísticos'!$D$69)/2,"")</f>
        <v/>
      </c>
      <c r="BN264" s="7" t="str">
        <f>IF(65&gt;=86,('Testes estatísticos'!$D$91+'Testes estatísticos'!$D$70)/2,"")</f>
        <v/>
      </c>
      <c r="BO264" s="7" t="str">
        <f>IF(66&gt;=86,('Testes estatísticos'!$D$91+'Testes estatísticos'!$D$71)/2,"")</f>
        <v/>
      </c>
      <c r="BP264" s="7" t="str">
        <f>IF(67&gt;=86,('Testes estatísticos'!$D$91+'Testes estatísticos'!$D$72)/2,"")</f>
        <v/>
      </c>
      <c r="BQ264" s="7" t="str">
        <f>IF(68&gt;=86,('Testes estatísticos'!$D$91+'Testes estatísticos'!$D$73)/2,"")</f>
        <v/>
      </c>
      <c r="BR264" s="7" t="str">
        <f>IF(69&gt;=86,('Testes estatísticos'!$D$91+'Testes estatísticos'!$D$74)/2,"")</f>
        <v/>
      </c>
      <c r="BS264" s="7" t="str">
        <f>IF(70&gt;=86,('Testes estatísticos'!$D$91+'Testes estatísticos'!$D$75)/2,"")</f>
        <v/>
      </c>
      <c r="BT264" s="7" t="str">
        <f>IF(71&gt;=86,('Testes estatísticos'!$D$91+'Testes estatísticos'!$D$76)/2,"")</f>
        <v/>
      </c>
      <c r="BU264" s="7" t="str">
        <f>IF(72&gt;=86,('Testes estatísticos'!$D$91+'Testes estatísticos'!$D$77)/2,"")</f>
        <v/>
      </c>
      <c r="BV264" s="7" t="str">
        <f>IF(73&gt;=86,('Testes estatísticos'!$D$91+'Testes estatísticos'!$D$78)/2,"")</f>
        <v/>
      </c>
      <c r="BW264" s="7" t="str">
        <f>IF(74&gt;=86,('Testes estatísticos'!$D$91+'Testes estatísticos'!$D$79)/2,"")</f>
        <v/>
      </c>
      <c r="BX264" s="7" t="str">
        <f>IF(75&gt;=86,('Testes estatísticos'!$D$91+'Testes estatísticos'!$D$80)/2,"")</f>
        <v/>
      </c>
      <c r="BY264" s="7" t="str">
        <f>IF(76&gt;=86,('Testes estatísticos'!$D$91+'Testes estatísticos'!$D$81)/2,"")</f>
        <v/>
      </c>
      <c r="BZ264" s="7" t="str">
        <f>IF(77&gt;=86,('Testes estatísticos'!$D$91+'Testes estatísticos'!$D$82)/2,"")</f>
        <v/>
      </c>
      <c r="CA264" s="7" t="str">
        <f>IF(78&gt;=86,('Testes estatísticos'!$D$91+'Testes estatísticos'!$D$83)/2,"")</f>
        <v/>
      </c>
      <c r="CB264" s="7" t="str">
        <f>IF(79&gt;=86,('Testes estatísticos'!$D$91+'Testes estatísticos'!$D$84)/2,"")</f>
        <v/>
      </c>
      <c r="CC264" s="7" t="str">
        <f>IF(80&gt;=86,('Testes estatísticos'!$D$91+'Testes estatísticos'!$D$85)/2,"")</f>
        <v/>
      </c>
      <c r="CD264" s="7" t="str">
        <f>IF(81&gt;=86,('Testes estatísticos'!$D$91+'Testes estatísticos'!$D$86)/2,"")</f>
        <v/>
      </c>
      <c r="CE264" s="7" t="str">
        <f>IF(82&gt;=86,('Testes estatísticos'!$D$91+'Testes estatísticos'!$D$87)/2,"")</f>
        <v/>
      </c>
      <c r="CF264" s="7" t="str">
        <f>IF(83&gt;=86,('Testes estatísticos'!$D$91+'Testes estatísticos'!$D$88)/2,"")</f>
        <v/>
      </c>
      <c r="CG264" s="7" t="str">
        <f>IF(84&gt;=86,('Testes estatísticos'!$D$91+'Testes estatísticos'!$D$89)/2,"")</f>
        <v/>
      </c>
      <c r="CH264" s="7" t="str">
        <f>IF(85&gt;=86,('Testes estatísticos'!$D$91+'Testes estatísticos'!$D$90)/2,"")</f>
        <v/>
      </c>
      <c r="CI264" s="7">
        <f>IF(86&gt;=86,('Testes estatísticos'!$D$91+'Testes estatísticos'!$D$91)/2,"")</f>
        <v>-5.487452999999995</v>
      </c>
      <c r="CJ264" s="7">
        <f>IF(87&gt;=86,('Testes estatísticos'!$D$91+'Testes estatísticos'!$D$92)/2,"")</f>
        <v>-4.2452464999999968</v>
      </c>
      <c r="CK264" s="7">
        <f>IF(88&gt;=86,('Testes estatísticos'!$D$91+'Testes estatísticos'!$D$93)/2,"")</f>
        <v>-4.0011629999999982</v>
      </c>
      <c r="CL264" s="7">
        <f>IF(89&gt;=86,('Testes estatísticos'!$D$91+'Testes estatísticos'!$D$94)/2,"")</f>
        <v>-4.6127549999999999</v>
      </c>
      <c r="CM264" s="7">
        <f>IF(90&gt;=86,('Testes estatísticos'!$D$91+'Testes estatísticos'!$D$95)/2,"")</f>
        <v>-6.9468869999999967</v>
      </c>
      <c r="CN264" s="7">
        <f>IF(91&gt;=86,('Testes estatísticos'!$D$91+'Testes estatísticos'!$D$96)/2,"")</f>
        <v>-4.4083639999999953</v>
      </c>
      <c r="CO264" s="7">
        <f>IF(92&gt;=86,('Testes estatísticos'!$D$91+'Testes estatísticos'!$D$97)/2,"")</f>
        <v>-4.754867499999996</v>
      </c>
      <c r="CP264" s="7">
        <f>IF(93&gt;=86,('Testes estatísticos'!$D$91+'Testes estatísticos'!$D$98)/2,"")</f>
        <v>-4.9596194999999952</v>
      </c>
      <c r="CQ264" s="7">
        <f>IF(94&gt;=86,('Testes estatísticos'!$D$91+'Testes estatísticos'!$D$99)/2,"")</f>
        <v>-2.7784614999999988</v>
      </c>
      <c r="CR264" s="7">
        <f>IF(95&gt;=86,('Testes estatísticos'!$D$91+'Testes estatísticos'!$D$100)/2,"")</f>
        <v>-4.684254499999998</v>
      </c>
      <c r="CS264" s="7">
        <f>IF(96&gt;=86,('Testes estatísticos'!$D$91+'Testes estatísticos'!$D$101)/2,"")</f>
        <v>-4.6402675000000002</v>
      </c>
      <c r="CT264" s="7">
        <f>IF(97&gt;=86,('Testes estatísticos'!$D$91+'Testes estatísticos'!$D$102)/2,"")</f>
        <v>-4.4072169999999993</v>
      </c>
      <c r="CU264" s="7">
        <f>IF(98&gt;=86,('Testes estatísticos'!$D$91+'Testes estatísticos'!$D$103)/2,"")</f>
        <v>-4.349890999999996</v>
      </c>
      <c r="CV264" s="7">
        <f>IF(99&gt;=86,('Testes estatísticos'!$D$91+'Testes estatísticos'!$D$104)/2,"")</f>
        <v>-4.784716999999997</v>
      </c>
      <c r="CW264" s="7">
        <f>IF(100&gt;=86,('Testes estatísticos'!$D$91+'Testes estatísticos'!$D$105)/2,"")</f>
        <v>-4.8841829999999966</v>
      </c>
      <c r="CX264" s="7">
        <f>IF(101&gt;=86,('Testes estatísticos'!$D$91+'Testes estatísticos'!$D$106)/2,"")</f>
        <v>-4.3612564999999961</v>
      </c>
      <c r="CY264" s="7">
        <f>IF(102&gt;=86,('Testes estatísticos'!$D$91+'Testes estatísticos'!$D$107)/2,"")</f>
        <v>-4.4169214999999973</v>
      </c>
      <c r="CZ264" s="7">
        <f>IF(103&gt;=86,('Testes estatísticos'!$D$91+'Testes estatísticos'!$D$108)/2,"")</f>
        <v>-4.941087999999997</v>
      </c>
      <c r="DA264" s="7">
        <f>IF(104&gt;=86,('Testes estatísticos'!$D$91+'Testes estatísticos'!$D$109)/2,"")</f>
        <v>-4.678453999999995</v>
      </c>
      <c r="DB264" s="7">
        <f>IF(105&gt;=86,('Testes estatísticos'!$D$91+'Testes estatísticos'!$D$110)/2,"")</f>
        <v>-4.6441229999999969</v>
      </c>
      <c r="DC264" s="7">
        <f>IF(106&gt;=86,('Testes estatísticos'!$D$91+'Testes estatísticos'!$D$111)/2,"")</f>
        <v>-3.9012019999999978</v>
      </c>
      <c r="DD264" s="7">
        <f>IF(107&gt;=86,('Testes estatísticos'!$D$91+'Testes estatísticos'!$D$112)/2,"")</f>
        <v>-0.40803099999999759</v>
      </c>
      <c r="DE264" s="7">
        <f>IF(108&gt;=86,('Testes estatísticos'!$D$91+'Testes estatísticos'!$D$113)/2,"")</f>
        <v>-3.830666499999996</v>
      </c>
      <c r="DF264" s="7">
        <f>IF(109&gt;=86,('Testes estatísticos'!$D$91+'Testes estatísticos'!$D$114)/2,"")</f>
        <v>-3.8669234999999951</v>
      </c>
      <c r="DG264" s="7">
        <f>IF(110&gt;=86,('Testes estatísticos'!$D$91+'Testes estatísticos'!$D$115)/2,"")</f>
        <v>-9.4140629999999987</v>
      </c>
      <c r="DH264" s="7">
        <f>IF(111&gt;=86,('Testes estatísticos'!$D$91+'Testes estatísticos'!$D$116)/2,"")</f>
        <v>-3.7332324999999962</v>
      </c>
      <c r="DI264" s="7">
        <f>IF(112&gt;=86,('Testes estatísticos'!$D$91+'Testes estatísticos'!$D$117)/2,"")</f>
        <v>1.6952075000000022</v>
      </c>
      <c r="DJ264" s="7">
        <f>IF(113&gt;=86,('Testes estatísticos'!$D$91+'Testes estatísticos'!$D$118)/2,"")</f>
        <v>-3.7613494999999979</v>
      </c>
      <c r="DK264" s="7">
        <f>IF(114&gt;=86,('Testes estatísticos'!$D$91+'Testes estatísticos'!$D$119)/2,"")</f>
        <v>-3.863099499999997</v>
      </c>
      <c r="DL264" s="7">
        <f>IF(115&gt;=86,('Testes estatísticos'!$D$91+'Testes estatísticos'!$D$120)/2,"")</f>
        <v>-3.8166219999999953</v>
      </c>
      <c r="DM264" s="7">
        <f>IF(116&gt;=86,('Testes estatísticos'!$D$91+'Testes estatísticos'!$D$121)/2,"")</f>
        <v>-3.8080194999999968</v>
      </c>
      <c r="DN264" s="7">
        <f>IF(117&gt;=86,('Testes estatísticos'!$D$91+'Testes estatísticos'!$D$122)/2,"")</f>
        <v>-3.7849514999999982</v>
      </c>
      <c r="DO264" s="7">
        <f>IF(118&gt;=86,('Testes estatísticos'!$D$91+'Testes estatísticos'!$D$123)/2,"")</f>
        <v>-3.7350409999999989</v>
      </c>
      <c r="DP264" s="7">
        <f>IF(119&gt;=86,('Testes estatísticos'!$D$91+'Testes estatísticos'!$D$124)/2,"")</f>
        <v>-3.7562524999999987</v>
      </c>
      <c r="DQ264" s="7">
        <f>IF(120&gt;=86,('Testes estatísticos'!$D$91+'Testes estatísticos'!$D$125)/2,"")</f>
        <v>-0.70463799999999566</v>
      </c>
      <c r="DR264" s="7">
        <f>IF(121&gt;=86,('Testes estatísticos'!$D$91+'Testes estatísticos'!$D$126)/2,"")</f>
        <v>-3.4936544999999981</v>
      </c>
      <c r="DS264" s="7">
        <f>IF(122&gt;=86,('Testes estatísticos'!$D$91+'Testes estatísticos'!$D$127)/2,"")</f>
        <v>-4.5590629999999948</v>
      </c>
      <c r="DT264" s="7">
        <f>IF(123&gt;=86,('Testes estatísticos'!$D$91+'Testes estatísticos'!$D$128)/2,"")</f>
        <v>1.5098064999999998</v>
      </c>
      <c r="DU264" s="7">
        <f>IF(124&gt;=86,('Testes estatísticos'!$D$91+'Testes estatísticos'!$D$129)/2,"")</f>
        <v>-3.3859649999999988</v>
      </c>
      <c r="DV264" s="7">
        <f>IF(125&gt;=86,('Testes estatísticos'!$D$91+'Testes estatísticos'!$D$130)/2,"")</f>
        <v>-2.2276574999999994</v>
      </c>
      <c r="DW264" s="7">
        <f>IF(126&gt;=86,('Testes estatísticos'!$D$91+'Testes estatísticos'!$D$131)/2,"")</f>
        <v>-4.6311334999999971</v>
      </c>
      <c r="DX264" s="7">
        <f>IF(127&gt;=86,('Testes estatísticos'!$D$91+'Testes estatísticos'!$D$132)/2,"")</f>
        <v>-6.6873249999999977</v>
      </c>
      <c r="DY264" s="7">
        <f>IF(128&gt;=86,('Testes estatísticos'!$D$91+'Testes estatísticos'!$D$133)/2,"")</f>
        <v>-7.0284144999999967</v>
      </c>
      <c r="DZ264" s="7">
        <f>IF(129&gt;=86,('Testes estatísticos'!$D$91+'Testes estatísticos'!$D$134)/2,"")</f>
        <v>-10.452204499999997</v>
      </c>
      <c r="EA264" s="7">
        <f>IF(130&gt;=86,('Testes estatísticos'!$D$91+'Testes estatísticos'!$D$135)/2,"")</f>
        <v>-4.690434499999995</v>
      </c>
      <c r="EB264" s="7">
        <f>IF(131&gt;=86,('Testes estatísticos'!$D$91+'Testes estatísticos'!$D$136)/2,"")</f>
        <v>-4.6025615000000002</v>
      </c>
      <c r="EC264" s="7">
        <f>IF(132&gt;=86,('Testes estatísticos'!$D$91+'Testes estatísticos'!$D$137)/2,"")</f>
        <v>-6.0892979999999994</v>
      </c>
      <c r="ED264" s="7">
        <f>IF(133&gt;=86,('Testes estatísticos'!$D$91+'Testes estatísticos'!$D$138)/2,"")</f>
        <v>-3.9003604999999979</v>
      </c>
      <c r="EE264" s="7">
        <f>IF(134&gt;=86,('Testes estatísticos'!$D$91+'Testes estatísticos'!$D$139)/2,"")</f>
        <v>-6.1975510000000007</v>
      </c>
      <c r="EF264" s="7">
        <f>IF(135&gt;=86,('Testes estatísticos'!$D$91+'Testes estatísticos'!$D$140)/2,"")</f>
        <v>-2.9831184999999962</v>
      </c>
      <c r="EG264" s="7">
        <f>IF(136&gt;=86,('Testes estatísticos'!$D$91+'Testes estatísticos'!$D$141)/2,"")</f>
        <v>-4.6766085000000004</v>
      </c>
      <c r="EH264" s="7">
        <f>IF(137&gt;=86,('Testes estatísticos'!$D$91+'Testes estatísticos'!$D$142)/2,"")</f>
        <v>-2.9718684999999994</v>
      </c>
      <c r="EI264" s="7">
        <f>IF(138&gt;=86,('Testes estatísticos'!$D$91+'Testes estatísticos'!$D$143)/2,"")</f>
        <v>-4.6368839999999949</v>
      </c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</row>
    <row r="265" spans="2:151" x14ac:dyDescent="0.3">
      <c r="B265" s="7" t="str">
        <f>IF(1&gt;=87,('Testes estatísticos'!$D$92+'Testes estatísticos'!$D$6)/2,"")</f>
        <v/>
      </c>
      <c r="C265" s="7" t="str">
        <f>IF(2&gt;=87,('Testes estatísticos'!$D$92+'Testes estatísticos'!$D$7)/2,"")</f>
        <v/>
      </c>
      <c r="D265" s="7" t="str">
        <f>IF(3&gt;=87,('Testes estatísticos'!$D$92+'Testes estatísticos'!$D$8)/2,"")</f>
        <v/>
      </c>
      <c r="E265" s="7" t="str">
        <f>IF(4&gt;=87,('Testes estatísticos'!$D$92+'Testes estatísticos'!$D$9)/2,"")</f>
        <v/>
      </c>
      <c r="F265" s="7" t="str">
        <f>IF(5&gt;=87,('Testes estatísticos'!$D$92+'Testes estatísticos'!$D$10)/2,"")</f>
        <v/>
      </c>
      <c r="G265" s="7" t="str">
        <f>IF(6&gt;=87,('Testes estatísticos'!$D$92+'Testes estatísticos'!$D$11)/2,"")</f>
        <v/>
      </c>
      <c r="H265" s="7" t="str">
        <f>IF(7&gt;=87,('Testes estatísticos'!$D$92+'Testes estatísticos'!$D$12)/2,"")</f>
        <v/>
      </c>
      <c r="I265" s="7" t="str">
        <f>IF(8&gt;=87,('Testes estatísticos'!$D$92+'Testes estatísticos'!$D$13)/2,"")</f>
        <v/>
      </c>
      <c r="J265" s="7" t="str">
        <f>IF(9&gt;=87,('Testes estatísticos'!$D$92+'Testes estatísticos'!$D$14)/2,"")</f>
        <v/>
      </c>
      <c r="K265" s="7" t="str">
        <f>IF(10&gt;=87,('Testes estatísticos'!$D$92+'Testes estatísticos'!$D$15)/2,"")</f>
        <v/>
      </c>
      <c r="L265" s="7" t="str">
        <f>IF(11&gt;=87,('Testes estatísticos'!$D$92+'Testes estatísticos'!$D$16)/2,"")</f>
        <v/>
      </c>
      <c r="M265" s="7" t="str">
        <f>IF(12&gt;=87,('Testes estatísticos'!$D$92+'Testes estatísticos'!$D$17)/2,"")</f>
        <v/>
      </c>
      <c r="N265" s="7" t="str">
        <f>IF(13&gt;=87,('Testes estatísticos'!$D$92+'Testes estatísticos'!$D$18)/2,"")</f>
        <v/>
      </c>
      <c r="O265" s="7" t="str">
        <f>IF(14&gt;=87,('Testes estatísticos'!$D$92+'Testes estatísticos'!$D$19)/2,"")</f>
        <v/>
      </c>
      <c r="P265" s="7" t="str">
        <f>IF(15&gt;=87,('Testes estatísticos'!$D$92+'Testes estatísticos'!$D$20)/2,"")</f>
        <v/>
      </c>
      <c r="Q265" s="7" t="str">
        <f>IF(16&gt;=87,('Testes estatísticos'!$D$92+'Testes estatísticos'!$D$21)/2,"")</f>
        <v/>
      </c>
      <c r="R265" s="7" t="str">
        <f>IF(17&gt;=87,('Testes estatísticos'!$D$92+'Testes estatísticos'!$D$22)/2,"")</f>
        <v/>
      </c>
      <c r="S265" s="7" t="str">
        <f>IF(18&gt;=87,('Testes estatísticos'!$D$92+'Testes estatísticos'!$D$23)/2,"")</f>
        <v/>
      </c>
      <c r="T265" s="7" t="str">
        <f>IF(19&gt;=87,('Testes estatísticos'!$D$92+'Testes estatísticos'!$D$24)/2,"")</f>
        <v/>
      </c>
      <c r="U265" s="7" t="str">
        <f>IF(20&gt;=87,('Testes estatísticos'!$D$92+'Testes estatísticos'!$D$25)/2,"")</f>
        <v/>
      </c>
      <c r="V265" s="7" t="str">
        <f>IF(21&gt;=87,('Testes estatísticos'!$D$92+'Testes estatísticos'!$D$26)/2,"")</f>
        <v/>
      </c>
      <c r="W265" s="7" t="str">
        <f>IF(22&gt;=87,('Testes estatísticos'!$D$92+'Testes estatísticos'!$D$27)/2,"")</f>
        <v/>
      </c>
      <c r="X265" s="7" t="str">
        <f>IF(23&gt;=87,('Testes estatísticos'!$D$92+'Testes estatísticos'!$D$28)/2,"")</f>
        <v/>
      </c>
      <c r="Y265" s="7" t="str">
        <f>IF(24&gt;=87,('Testes estatísticos'!$D$92+'Testes estatísticos'!$D$29)/2,"")</f>
        <v/>
      </c>
      <c r="Z265" s="7" t="str">
        <f>IF(25&gt;=87,('Testes estatísticos'!$D$92+'Testes estatísticos'!$D$30)/2,"")</f>
        <v/>
      </c>
      <c r="AA265" s="7" t="str">
        <f>IF(26&gt;=87,('Testes estatísticos'!$D$92+'Testes estatísticos'!$D$31)/2,"")</f>
        <v/>
      </c>
      <c r="AB265" s="7" t="str">
        <f>IF(27&gt;=87,('Testes estatísticos'!$D$92+'Testes estatísticos'!$D$32)/2,"")</f>
        <v/>
      </c>
      <c r="AC265" s="7" t="str">
        <f>IF(28&gt;=87,('Testes estatísticos'!$D$92+'Testes estatísticos'!$D$33)/2,"")</f>
        <v/>
      </c>
      <c r="AD265" s="7" t="str">
        <f>IF(29&gt;=87,('Testes estatísticos'!$D$92+'Testes estatísticos'!$D$34)/2,"")</f>
        <v/>
      </c>
      <c r="AE265" s="7" t="str">
        <f>IF(30&gt;=87,('Testes estatísticos'!$D$92+'Testes estatísticos'!$D$35)/2,"")</f>
        <v/>
      </c>
      <c r="AF265" s="7" t="str">
        <f>IF(31&gt;=87,('Testes estatísticos'!$D$92+'Testes estatísticos'!$D$36)/2,"")</f>
        <v/>
      </c>
      <c r="AG265" s="7" t="str">
        <f>IF(32&gt;=87,('Testes estatísticos'!$D$92+'Testes estatísticos'!$D$37)/2,"")</f>
        <v/>
      </c>
      <c r="AH265" s="7" t="str">
        <f>IF(33&gt;=87,('Testes estatísticos'!$D$92+'Testes estatísticos'!$D$38)/2,"")</f>
        <v/>
      </c>
      <c r="AI265" s="7" t="str">
        <f>IF(34&gt;=87,('Testes estatísticos'!$D$92+'Testes estatísticos'!$D$39)/2,"")</f>
        <v/>
      </c>
      <c r="AJ265" s="7" t="str">
        <f>IF(35&gt;=87,('Testes estatísticos'!$D$92+'Testes estatísticos'!$D$40)/2,"")</f>
        <v/>
      </c>
      <c r="AK265" s="7" t="str">
        <f>IF(36&gt;=87,('Testes estatísticos'!$D$92+'Testes estatísticos'!$D$41)/2,"")</f>
        <v/>
      </c>
      <c r="AL265" s="7" t="str">
        <f>IF(37&gt;=87,('Testes estatísticos'!$D$92+'Testes estatísticos'!$D$42)/2,"")</f>
        <v/>
      </c>
      <c r="AM265" s="7" t="str">
        <f>IF(38&gt;=87,('Testes estatísticos'!$D$92+'Testes estatísticos'!$D$43)/2,"")</f>
        <v/>
      </c>
      <c r="AN265" s="7" t="str">
        <f>IF(39&gt;=87,('Testes estatísticos'!$D$92+'Testes estatísticos'!$D$44)/2,"")</f>
        <v/>
      </c>
      <c r="AO265" s="7" t="str">
        <f>IF(40&gt;=87,('Testes estatísticos'!$D$92+'Testes estatísticos'!$D$45)/2,"")</f>
        <v/>
      </c>
      <c r="AP265" s="7" t="str">
        <f>IF(41&gt;=87,('Testes estatísticos'!$D$92+'Testes estatísticos'!$D$46)/2,"")</f>
        <v/>
      </c>
      <c r="AQ265" s="7" t="str">
        <f>IF(42&gt;=87,('Testes estatísticos'!$D$92+'Testes estatísticos'!$D$47)/2,"")</f>
        <v/>
      </c>
      <c r="AR265" s="7" t="str">
        <f>IF(43&gt;=87,('Testes estatísticos'!$D$92+'Testes estatísticos'!$D$48)/2,"")</f>
        <v/>
      </c>
      <c r="AS265" s="7" t="str">
        <f>IF(44&gt;=87,('Testes estatísticos'!$D$92+'Testes estatísticos'!$D$49)/2,"")</f>
        <v/>
      </c>
      <c r="AT265" s="7" t="str">
        <f>IF(45&gt;=87,('Testes estatísticos'!$D$92+'Testes estatísticos'!$D$50)/2,"")</f>
        <v/>
      </c>
      <c r="AU265" s="7" t="str">
        <f>IF(46&gt;=87,('Testes estatísticos'!$D$92+'Testes estatísticos'!$D$51)/2,"")</f>
        <v/>
      </c>
      <c r="AV265" s="7" t="str">
        <f>IF(47&gt;=87,('Testes estatísticos'!$D$92+'Testes estatísticos'!$D$52)/2,"")</f>
        <v/>
      </c>
      <c r="AW265" s="7" t="str">
        <f>IF(48&gt;=87,('Testes estatísticos'!$D$92+'Testes estatísticos'!$D$53)/2,"")</f>
        <v/>
      </c>
      <c r="AX265" s="7" t="str">
        <f>IF(49&gt;=87,('Testes estatísticos'!$D$92+'Testes estatísticos'!$D$54)/2,"")</f>
        <v/>
      </c>
      <c r="AY265" s="7" t="str">
        <f>IF(50&gt;=87,('Testes estatísticos'!$D$92+'Testes estatísticos'!$D$55)/2,"")</f>
        <v/>
      </c>
      <c r="AZ265" s="7" t="str">
        <f>IF(51&gt;=87,('Testes estatísticos'!$D$92+'Testes estatísticos'!$D$56)/2,"")</f>
        <v/>
      </c>
      <c r="BA265" s="7" t="str">
        <f>IF(52&gt;=87,('Testes estatísticos'!$D$92+'Testes estatísticos'!$D$57)/2,"")</f>
        <v/>
      </c>
      <c r="BB265" s="7" t="str">
        <f>IF(53&gt;=87,('Testes estatísticos'!$D$92+'Testes estatísticos'!$D$58)/2,"")</f>
        <v/>
      </c>
      <c r="BC265" s="7" t="str">
        <f>IF(54&gt;=87,('Testes estatísticos'!$D$92+'Testes estatísticos'!$D$59)/2,"")</f>
        <v/>
      </c>
      <c r="BD265" s="7" t="str">
        <f>IF(55&gt;=87,('Testes estatísticos'!$D$92+'Testes estatísticos'!$D$60)/2,"")</f>
        <v/>
      </c>
      <c r="BE265" s="7" t="str">
        <f>IF(56&gt;=87,('Testes estatísticos'!$D$92+'Testes estatísticos'!$D$61)/2,"")</f>
        <v/>
      </c>
      <c r="BF265" s="7" t="str">
        <f>IF(57&gt;=87,('Testes estatísticos'!$D$92+'Testes estatísticos'!$D$62)/2,"")</f>
        <v/>
      </c>
      <c r="BG265" s="7" t="str">
        <f>IF(58&gt;=87,('Testes estatísticos'!$D$92+'Testes estatísticos'!$D$63)/2,"")</f>
        <v/>
      </c>
      <c r="BH265" s="7" t="str">
        <f>IF(59&gt;=87,('Testes estatísticos'!$D$92+'Testes estatísticos'!$D$64)/2,"")</f>
        <v/>
      </c>
      <c r="BI265" s="7" t="str">
        <f>IF(60&gt;=87,('Testes estatísticos'!$D$92+'Testes estatísticos'!$D$65)/2,"")</f>
        <v/>
      </c>
      <c r="BJ265" s="7" t="str">
        <f>IF(61&gt;=87,('Testes estatísticos'!$D$92+'Testes estatísticos'!$D$66)/2,"")</f>
        <v/>
      </c>
      <c r="BK265" s="7" t="str">
        <f>IF(62&gt;=87,('Testes estatísticos'!$D$92+'Testes estatísticos'!$D$67)/2,"")</f>
        <v/>
      </c>
      <c r="BL265" s="7" t="str">
        <f>IF(63&gt;=87,('Testes estatísticos'!$D$92+'Testes estatísticos'!$D$68)/2,"")</f>
        <v/>
      </c>
      <c r="BM265" s="7" t="str">
        <f>IF(64&gt;=87,('Testes estatísticos'!$D$92+'Testes estatísticos'!$D$69)/2,"")</f>
        <v/>
      </c>
      <c r="BN265" s="7" t="str">
        <f>IF(65&gt;=87,('Testes estatísticos'!$D$92+'Testes estatísticos'!$D$70)/2,"")</f>
        <v/>
      </c>
      <c r="BO265" s="7" t="str">
        <f>IF(66&gt;=87,('Testes estatísticos'!$D$92+'Testes estatísticos'!$D$71)/2,"")</f>
        <v/>
      </c>
      <c r="BP265" s="7" t="str">
        <f>IF(67&gt;=87,('Testes estatísticos'!$D$92+'Testes estatísticos'!$D$72)/2,"")</f>
        <v/>
      </c>
      <c r="BQ265" s="7" t="str">
        <f>IF(68&gt;=87,('Testes estatísticos'!$D$92+'Testes estatísticos'!$D$73)/2,"")</f>
        <v/>
      </c>
      <c r="BR265" s="7" t="str">
        <f>IF(69&gt;=87,('Testes estatísticos'!$D$92+'Testes estatísticos'!$D$74)/2,"")</f>
        <v/>
      </c>
      <c r="BS265" s="7" t="str">
        <f>IF(70&gt;=87,('Testes estatísticos'!$D$92+'Testes estatísticos'!$D$75)/2,"")</f>
        <v/>
      </c>
      <c r="BT265" s="7" t="str">
        <f>IF(71&gt;=87,('Testes estatísticos'!$D$92+'Testes estatísticos'!$D$76)/2,"")</f>
        <v/>
      </c>
      <c r="BU265" s="7" t="str">
        <f>IF(72&gt;=87,('Testes estatísticos'!$D$92+'Testes estatísticos'!$D$77)/2,"")</f>
        <v/>
      </c>
      <c r="BV265" s="7" t="str">
        <f>IF(73&gt;=87,('Testes estatísticos'!$D$92+'Testes estatísticos'!$D$78)/2,"")</f>
        <v/>
      </c>
      <c r="BW265" s="7" t="str">
        <f>IF(74&gt;=87,('Testes estatísticos'!$D$92+'Testes estatísticos'!$D$79)/2,"")</f>
        <v/>
      </c>
      <c r="BX265" s="7" t="str">
        <f>IF(75&gt;=87,('Testes estatísticos'!$D$92+'Testes estatísticos'!$D$80)/2,"")</f>
        <v/>
      </c>
      <c r="BY265" s="7" t="str">
        <f>IF(76&gt;=87,('Testes estatísticos'!$D$92+'Testes estatísticos'!$D$81)/2,"")</f>
        <v/>
      </c>
      <c r="BZ265" s="7" t="str">
        <f>IF(77&gt;=87,('Testes estatísticos'!$D$92+'Testes estatísticos'!$D$82)/2,"")</f>
        <v/>
      </c>
      <c r="CA265" s="7" t="str">
        <f>IF(78&gt;=87,('Testes estatísticos'!$D$92+'Testes estatísticos'!$D$83)/2,"")</f>
        <v/>
      </c>
      <c r="CB265" s="7" t="str">
        <f>IF(79&gt;=87,('Testes estatísticos'!$D$92+'Testes estatísticos'!$D$84)/2,"")</f>
        <v/>
      </c>
      <c r="CC265" s="7" t="str">
        <f>IF(80&gt;=87,('Testes estatísticos'!$D$92+'Testes estatísticos'!$D$85)/2,"")</f>
        <v/>
      </c>
      <c r="CD265" s="7" t="str">
        <f>IF(81&gt;=87,('Testes estatísticos'!$D$92+'Testes estatísticos'!$D$86)/2,"")</f>
        <v/>
      </c>
      <c r="CE265" s="7" t="str">
        <f>IF(82&gt;=87,('Testes estatísticos'!$D$92+'Testes estatísticos'!$D$87)/2,"")</f>
        <v/>
      </c>
      <c r="CF265" s="7" t="str">
        <f>IF(83&gt;=87,('Testes estatísticos'!$D$92+'Testes estatísticos'!$D$88)/2,"")</f>
        <v/>
      </c>
      <c r="CG265" s="7" t="str">
        <f>IF(84&gt;=87,('Testes estatísticos'!$D$92+'Testes estatísticos'!$D$89)/2,"")</f>
        <v/>
      </c>
      <c r="CH265" s="7" t="str">
        <f>IF(85&gt;=87,('Testes estatísticos'!$D$92+'Testes estatísticos'!$D$90)/2,"")</f>
        <v/>
      </c>
      <c r="CI265" s="7" t="str">
        <f>IF(86&gt;=87,('Testes estatísticos'!$D$92+'Testes estatísticos'!$D$91)/2,"")</f>
        <v/>
      </c>
      <c r="CJ265" s="7">
        <f>IF(87&gt;=87,('Testes estatísticos'!$D$92+'Testes estatísticos'!$D$92)/2,"")</f>
        <v>-3.0030399999999986</v>
      </c>
      <c r="CK265" s="7">
        <f>IF(88&gt;=87,('Testes estatísticos'!$D$92+'Testes estatísticos'!$D$93)/2,"")</f>
        <v>-2.7589565</v>
      </c>
      <c r="CL265" s="7">
        <f>IF(89&gt;=87,('Testes estatísticos'!$D$92+'Testes estatísticos'!$D$94)/2,"")</f>
        <v>-3.3705485000000017</v>
      </c>
      <c r="CM265" s="7">
        <f>IF(90&gt;=87,('Testes estatísticos'!$D$92+'Testes estatísticos'!$D$95)/2,"")</f>
        <v>-5.7046804999999985</v>
      </c>
      <c r="CN265" s="7">
        <f>IF(91&gt;=87,('Testes estatísticos'!$D$92+'Testes estatísticos'!$D$96)/2,"")</f>
        <v>-3.1661574999999971</v>
      </c>
      <c r="CO265" s="7">
        <f>IF(92&gt;=87,('Testes estatísticos'!$D$92+'Testes estatísticos'!$D$97)/2,"")</f>
        <v>-3.5126609999999978</v>
      </c>
      <c r="CP265" s="7">
        <f>IF(93&gt;=87,('Testes estatísticos'!$D$92+'Testes estatísticos'!$D$98)/2,"")</f>
        <v>-3.717412999999997</v>
      </c>
      <c r="CQ265" s="7">
        <f>IF(94&gt;=87,('Testes estatísticos'!$D$92+'Testes estatísticos'!$D$99)/2,"")</f>
        <v>-1.5362550000000006</v>
      </c>
      <c r="CR265" s="7">
        <f>IF(95&gt;=87,('Testes estatísticos'!$D$92+'Testes estatísticos'!$D$100)/2,"")</f>
        <v>-3.4420479999999998</v>
      </c>
      <c r="CS265" s="7">
        <f>IF(96&gt;=87,('Testes estatísticos'!$D$92+'Testes estatísticos'!$D$101)/2,"")</f>
        <v>-3.398061000000002</v>
      </c>
      <c r="CT265" s="7">
        <f>IF(97&gt;=87,('Testes estatísticos'!$D$92+'Testes estatísticos'!$D$102)/2,"")</f>
        <v>-3.1650105000000011</v>
      </c>
      <c r="CU265" s="7">
        <f>IF(98&gt;=87,('Testes estatísticos'!$D$92+'Testes estatísticos'!$D$103)/2,"")</f>
        <v>-3.1076844999999977</v>
      </c>
      <c r="CV265" s="7">
        <f>IF(99&gt;=87,('Testes estatísticos'!$D$92+'Testes estatísticos'!$D$104)/2,"")</f>
        <v>-3.5425104999999988</v>
      </c>
      <c r="CW265" s="7">
        <f>IF(100&gt;=87,('Testes estatísticos'!$D$92+'Testes estatísticos'!$D$105)/2,"")</f>
        <v>-3.6419764999999984</v>
      </c>
      <c r="CX265" s="7">
        <f>IF(101&gt;=87,('Testes estatísticos'!$D$92+'Testes estatísticos'!$D$106)/2,"")</f>
        <v>-3.1190499999999979</v>
      </c>
      <c r="CY265" s="7">
        <f>IF(102&gt;=87,('Testes estatísticos'!$D$92+'Testes estatísticos'!$D$107)/2,"")</f>
        <v>-3.1747149999999991</v>
      </c>
      <c r="CZ265" s="7">
        <f>IF(103&gt;=87,('Testes estatísticos'!$D$92+'Testes estatísticos'!$D$108)/2,"")</f>
        <v>-3.6988814999999988</v>
      </c>
      <c r="DA265" s="7">
        <f>IF(104&gt;=87,('Testes estatísticos'!$D$92+'Testes estatísticos'!$D$109)/2,"")</f>
        <v>-3.4362474999999968</v>
      </c>
      <c r="DB265" s="7">
        <f>IF(105&gt;=87,('Testes estatísticos'!$D$92+'Testes estatísticos'!$D$110)/2,"")</f>
        <v>-3.4019164999999987</v>
      </c>
      <c r="DC265" s="7">
        <f>IF(106&gt;=87,('Testes estatísticos'!$D$92+'Testes estatísticos'!$D$111)/2,"")</f>
        <v>-2.6589954999999996</v>
      </c>
      <c r="DD265" s="7">
        <f>IF(107&gt;=87,('Testes estatísticos'!$D$92+'Testes estatísticos'!$D$112)/2,"")</f>
        <v>0.83417550000000062</v>
      </c>
      <c r="DE265" s="7">
        <f>IF(108&gt;=87,('Testes estatísticos'!$D$92+'Testes estatísticos'!$D$113)/2,"")</f>
        <v>-2.5884599999999978</v>
      </c>
      <c r="DF265" s="7">
        <f>IF(109&gt;=87,('Testes estatísticos'!$D$92+'Testes estatísticos'!$D$114)/2,"")</f>
        <v>-2.6247169999999969</v>
      </c>
      <c r="DG265" s="7">
        <f>IF(110&gt;=87,('Testes estatísticos'!$D$92+'Testes estatísticos'!$D$115)/2,"")</f>
        <v>-8.1718565000000005</v>
      </c>
      <c r="DH265" s="7">
        <f>IF(111&gt;=87,('Testes estatísticos'!$D$92+'Testes estatísticos'!$D$116)/2,"")</f>
        <v>-2.491025999999998</v>
      </c>
      <c r="DI265" s="7">
        <f>IF(112&gt;=87,('Testes estatísticos'!$D$92+'Testes estatísticos'!$D$117)/2,"")</f>
        <v>2.9374140000000004</v>
      </c>
      <c r="DJ265" s="7">
        <f>IF(113&gt;=87,('Testes estatísticos'!$D$92+'Testes estatísticos'!$D$118)/2,"")</f>
        <v>-2.5191429999999997</v>
      </c>
      <c r="DK265" s="7">
        <f>IF(114&gt;=87,('Testes estatísticos'!$D$92+'Testes estatísticos'!$D$119)/2,"")</f>
        <v>-2.6208929999999988</v>
      </c>
      <c r="DL265" s="7">
        <f>IF(115&gt;=87,('Testes estatísticos'!$D$92+'Testes estatísticos'!$D$120)/2,"")</f>
        <v>-2.5744154999999971</v>
      </c>
      <c r="DM265" s="7">
        <f>IF(116&gt;=87,('Testes estatísticos'!$D$92+'Testes estatísticos'!$D$121)/2,"")</f>
        <v>-2.5658129999999986</v>
      </c>
      <c r="DN265" s="7">
        <f>IF(117&gt;=87,('Testes estatísticos'!$D$92+'Testes estatísticos'!$D$122)/2,"")</f>
        <v>-2.542745</v>
      </c>
      <c r="DO265" s="7">
        <f>IF(118&gt;=87,('Testes estatísticos'!$D$92+'Testes estatísticos'!$D$123)/2,"")</f>
        <v>-2.4928345000000007</v>
      </c>
      <c r="DP265" s="7">
        <f>IF(119&gt;=87,('Testes estatísticos'!$D$92+'Testes estatísticos'!$D$124)/2,"")</f>
        <v>-2.5140460000000004</v>
      </c>
      <c r="DQ265" s="7">
        <f>IF(120&gt;=87,('Testes estatísticos'!$D$92+'Testes estatísticos'!$D$125)/2,"")</f>
        <v>0.53756850000000256</v>
      </c>
      <c r="DR265" s="7">
        <f>IF(121&gt;=87,('Testes estatísticos'!$D$92+'Testes estatísticos'!$D$126)/2,"")</f>
        <v>-2.2514479999999999</v>
      </c>
      <c r="DS265" s="7">
        <f>IF(122&gt;=87,('Testes estatísticos'!$D$92+'Testes estatísticos'!$D$127)/2,"")</f>
        <v>-3.3168564999999965</v>
      </c>
      <c r="DT265" s="7">
        <f>IF(123&gt;=87,('Testes estatísticos'!$D$92+'Testes estatísticos'!$D$128)/2,"")</f>
        <v>2.752012999999998</v>
      </c>
      <c r="DU265" s="7">
        <f>IF(124&gt;=87,('Testes estatísticos'!$D$92+'Testes estatísticos'!$D$129)/2,"")</f>
        <v>-2.1437585000000006</v>
      </c>
      <c r="DV265" s="7">
        <f>IF(125&gt;=87,('Testes estatísticos'!$D$92+'Testes estatísticos'!$D$130)/2,"")</f>
        <v>-0.98545100000000119</v>
      </c>
      <c r="DW265" s="7">
        <f>IF(126&gt;=87,('Testes estatísticos'!$D$92+'Testes estatísticos'!$D$131)/2,"")</f>
        <v>-3.3889269999999989</v>
      </c>
      <c r="DX265" s="7">
        <f>IF(127&gt;=87,('Testes estatísticos'!$D$92+'Testes estatísticos'!$D$132)/2,"")</f>
        <v>-5.4451184999999995</v>
      </c>
      <c r="DY265" s="7">
        <f>IF(128&gt;=87,('Testes estatísticos'!$D$92+'Testes estatísticos'!$D$133)/2,"")</f>
        <v>-5.7862079999999985</v>
      </c>
      <c r="DZ265" s="7">
        <f>IF(129&gt;=87,('Testes estatísticos'!$D$92+'Testes estatísticos'!$D$134)/2,"")</f>
        <v>-9.2099979999999988</v>
      </c>
      <c r="EA265" s="7">
        <f>IF(130&gt;=87,('Testes estatísticos'!$D$92+'Testes estatísticos'!$D$135)/2,"")</f>
        <v>-3.4482279999999967</v>
      </c>
      <c r="EB265" s="7">
        <f>IF(131&gt;=87,('Testes estatísticos'!$D$92+'Testes estatísticos'!$D$136)/2,"")</f>
        <v>-3.360355000000002</v>
      </c>
      <c r="EC265" s="7">
        <f>IF(132&gt;=87,('Testes estatísticos'!$D$92+'Testes estatísticos'!$D$137)/2,"")</f>
        <v>-4.8470915000000012</v>
      </c>
      <c r="ED265" s="7">
        <f>IF(133&gt;=87,('Testes estatísticos'!$D$92+'Testes estatísticos'!$D$138)/2,"")</f>
        <v>-2.6581539999999997</v>
      </c>
      <c r="EE265" s="7">
        <f>IF(134&gt;=87,('Testes estatísticos'!$D$92+'Testes estatísticos'!$D$139)/2,"")</f>
        <v>-4.9553445000000025</v>
      </c>
      <c r="EF265" s="7">
        <f>IF(135&gt;=87,('Testes estatísticos'!$D$92+'Testes estatísticos'!$D$140)/2,"")</f>
        <v>-1.740911999999998</v>
      </c>
      <c r="EG265" s="7">
        <f>IF(136&gt;=87,('Testes estatísticos'!$D$92+'Testes estatísticos'!$D$141)/2,"")</f>
        <v>-3.4344020000000022</v>
      </c>
      <c r="EH265" s="7">
        <f>IF(137&gt;=87,('Testes estatísticos'!$D$92+'Testes estatísticos'!$D$142)/2,"")</f>
        <v>-1.7296620000000011</v>
      </c>
      <c r="EI265" s="7">
        <f>IF(138&gt;=87,('Testes estatísticos'!$D$92+'Testes estatísticos'!$D$143)/2,"")</f>
        <v>-3.3946774999999967</v>
      </c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</row>
    <row r="266" spans="2:151" x14ac:dyDescent="0.3">
      <c r="B266" s="7" t="str">
        <f>IF(1&gt;=88,('Testes estatísticos'!$D$93+'Testes estatísticos'!$D$6)/2,"")</f>
        <v/>
      </c>
      <c r="C266" s="7" t="str">
        <f>IF(2&gt;=88,('Testes estatísticos'!$D$93+'Testes estatísticos'!$D$7)/2,"")</f>
        <v/>
      </c>
      <c r="D266" s="7" t="str">
        <f>IF(3&gt;=88,('Testes estatísticos'!$D$93+'Testes estatísticos'!$D$8)/2,"")</f>
        <v/>
      </c>
      <c r="E266" s="7" t="str">
        <f>IF(4&gt;=88,('Testes estatísticos'!$D$93+'Testes estatísticos'!$D$9)/2,"")</f>
        <v/>
      </c>
      <c r="F266" s="7" t="str">
        <f>IF(5&gt;=88,('Testes estatísticos'!$D$93+'Testes estatísticos'!$D$10)/2,"")</f>
        <v/>
      </c>
      <c r="G266" s="7" t="str">
        <f>IF(6&gt;=88,('Testes estatísticos'!$D$93+'Testes estatísticos'!$D$11)/2,"")</f>
        <v/>
      </c>
      <c r="H266" s="7" t="str">
        <f>IF(7&gt;=88,('Testes estatísticos'!$D$93+'Testes estatísticos'!$D$12)/2,"")</f>
        <v/>
      </c>
      <c r="I266" s="7" t="str">
        <f>IF(8&gt;=88,('Testes estatísticos'!$D$93+'Testes estatísticos'!$D$13)/2,"")</f>
        <v/>
      </c>
      <c r="J266" s="7" t="str">
        <f>IF(9&gt;=88,('Testes estatísticos'!$D$93+'Testes estatísticos'!$D$14)/2,"")</f>
        <v/>
      </c>
      <c r="K266" s="7" t="str">
        <f>IF(10&gt;=88,('Testes estatísticos'!$D$93+'Testes estatísticos'!$D$15)/2,"")</f>
        <v/>
      </c>
      <c r="L266" s="7" t="str">
        <f>IF(11&gt;=88,('Testes estatísticos'!$D$93+'Testes estatísticos'!$D$16)/2,"")</f>
        <v/>
      </c>
      <c r="M266" s="7" t="str">
        <f>IF(12&gt;=88,('Testes estatísticos'!$D$93+'Testes estatísticos'!$D$17)/2,"")</f>
        <v/>
      </c>
      <c r="N266" s="7" t="str">
        <f>IF(13&gt;=88,('Testes estatísticos'!$D$93+'Testes estatísticos'!$D$18)/2,"")</f>
        <v/>
      </c>
      <c r="O266" s="7" t="str">
        <f>IF(14&gt;=88,('Testes estatísticos'!$D$93+'Testes estatísticos'!$D$19)/2,"")</f>
        <v/>
      </c>
      <c r="P266" s="7" t="str">
        <f>IF(15&gt;=88,('Testes estatísticos'!$D$93+'Testes estatísticos'!$D$20)/2,"")</f>
        <v/>
      </c>
      <c r="Q266" s="7" t="str">
        <f>IF(16&gt;=88,('Testes estatísticos'!$D$93+'Testes estatísticos'!$D$21)/2,"")</f>
        <v/>
      </c>
      <c r="R266" s="7" t="str">
        <f>IF(17&gt;=88,('Testes estatísticos'!$D$93+'Testes estatísticos'!$D$22)/2,"")</f>
        <v/>
      </c>
      <c r="S266" s="7" t="str">
        <f>IF(18&gt;=88,('Testes estatísticos'!$D$93+'Testes estatísticos'!$D$23)/2,"")</f>
        <v/>
      </c>
      <c r="T266" s="7" t="str">
        <f>IF(19&gt;=88,('Testes estatísticos'!$D$93+'Testes estatísticos'!$D$24)/2,"")</f>
        <v/>
      </c>
      <c r="U266" s="7" t="str">
        <f>IF(20&gt;=88,('Testes estatísticos'!$D$93+'Testes estatísticos'!$D$25)/2,"")</f>
        <v/>
      </c>
      <c r="V266" s="7" t="str">
        <f>IF(21&gt;=88,('Testes estatísticos'!$D$93+'Testes estatísticos'!$D$26)/2,"")</f>
        <v/>
      </c>
      <c r="W266" s="7" t="str">
        <f>IF(22&gt;=88,('Testes estatísticos'!$D$93+'Testes estatísticos'!$D$27)/2,"")</f>
        <v/>
      </c>
      <c r="X266" s="7" t="str">
        <f>IF(23&gt;=88,('Testes estatísticos'!$D$93+'Testes estatísticos'!$D$28)/2,"")</f>
        <v/>
      </c>
      <c r="Y266" s="7" t="str">
        <f>IF(24&gt;=88,('Testes estatísticos'!$D$93+'Testes estatísticos'!$D$29)/2,"")</f>
        <v/>
      </c>
      <c r="Z266" s="7" t="str">
        <f>IF(25&gt;=88,('Testes estatísticos'!$D$93+'Testes estatísticos'!$D$30)/2,"")</f>
        <v/>
      </c>
      <c r="AA266" s="7" t="str">
        <f>IF(26&gt;=88,('Testes estatísticos'!$D$93+'Testes estatísticos'!$D$31)/2,"")</f>
        <v/>
      </c>
      <c r="AB266" s="7" t="str">
        <f>IF(27&gt;=88,('Testes estatísticos'!$D$93+'Testes estatísticos'!$D$32)/2,"")</f>
        <v/>
      </c>
      <c r="AC266" s="7" t="str">
        <f>IF(28&gt;=88,('Testes estatísticos'!$D$93+'Testes estatísticos'!$D$33)/2,"")</f>
        <v/>
      </c>
      <c r="AD266" s="7" t="str">
        <f>IF(29&gt;=88,('Testes estatísticos'!$D$93+'Testes estatísticos'!$D$34)/2,"")</f>
        <v/>
      </c>
      <c r="AE266" s="7" t="str">
        <f>IF(30&gt;=88,('Testes estatísticos'!$D$93+'Testes estatísticos'!$D$35)/2,"")</f>
        <v/>
      </c>
      <c r="AF266" s="7" t="str">
        <f>IF(31&gt;=88,('Testes estatísticos'!$D$93+'Testes estatísticos'!$D$36)/2,"")</f>
        <v/>
      </c>
      <c r="AG266" s="7" t="str">
        <f>IF(32&gt;=88,('Testes estatísticos'!$D$93+'Testes estatísticos'!$D$37)/2,"")</f>
        <v/>
      </c>
      <c r="AH266" s="7" t="str">
        <f>IF(33&gt;=88,('Testes estatísticos'!$D$93+'Testes estatísticos'!$D$38)/2,"")</f>
        <v/>
      </c>
      <c r="AI266" s="7" t="str">
        <f>IF(34&gt;=88,('Testes estatísticos'!$D$93+'Testes estatísticos'!$D$39)/2,"")</f>
        <v/>
      </c>
      <c r="AJ266" s="7" t="str">
        <f>IF(35&gt;=88,('Testes estatísticos'!$D$93+'Testes estatísticos'!$D$40)/2,"")</f>
        <v/>
      </c>
      <c r="AK266" s="7" t="str">
        <f>IF(36&gt;=88,('Testes estatísticos'!$D$93+'Testes estatísticos'!$D$41)/2,"")</f>
        <v/>
      </c>
      <c r="AL266" s="7" t="str">
        <f>IF(37&gt;=88,('Testes estatísticos'!$D$93+'Testes estatísticos'!$D$42)/2,"")</f>
        <v/>
      </c>
      <c r="AM266" s="7" t="str">
        <f>IF(38&gt;=88,('Testes estatísticos'!$D$93+'Testes estatísticos'!$D$43)/2,"")</f>
        <v/>
      </c>
      <c r="AN266" s="7" t="str">
        <f>IF(39&gt;=88,('Testes estatísticos'!$D$93+'Testes estatísticos'!$D$44)/2,"")</f>
        <v/>
      </c>
      <c r="AO266" s="7" t="str">
        <f>IF(40&gt;=88,('Testes estatísticos'!$D$93+'Testes estatísticos'!$D$45)/2,"")</f>
        <v/>
      </c>
      <c r="AP266" s="7" t="str">
        <f>IF(41&gt;=88,('Testes estatísticos'!$D$93+'Testes estatísticos'!$D$46)/2,"")</f>
        <v/>
      </c>
      <c r="AQ266" s="7" t="str">
        <f>IF(42&gt;=88,('Testes estatísticos'!$D$93+'Testes estatísticos'!$D$47)/2,"")</f>
        <v/>
      </c>
      <c r="AR266" s="7" t="str">
        <f>IF(43&gt;=88,('Testes estatísticos'!$D$93+'Testes estatísticos'!$D$48)/2,"")</f>
        <v/>
      </c>
      <c r="AS266" s="7" t="str">
        <f>IF(44&gt;=88,('Testes estatísticos'!$D$93+'Testes estatísticos'!$D$49)/2,"")</f>
        <v/>
      </c>
      <c r="AT266" s="7" t="str">
        <f>IF(45&gt;=88,('Testes estatísticos'!$D$93+'Testes estatísticos'!$D$50)/2,"")</f>
        <v/>
      </c>
      <c r="AU266" s="7" t="str">
        <f>IF(46&gt;=88,('Testes estatísticos'!$D$93+'Testes estatísticos'!$D$51)/2,"")</f>
        <v/>
      </c>
      <c r="AV266" s="7" t="str">
        <f>IF(47&gt;=88,('Testes estatísticos'!$D$93+'Testes estatísticos'!$D$52)/2,"")</f>
        <v/>
      </c>
      <c r="AW266" s="7" t="str">
        <f>IF(48&gt;=88,('Testes estatísticos'!$D$93+'Testes estatísticos'!$D$53)/2,"")</f>
        <v/>
      </c>
      <c r="AX266" s="7" t="str">
        <f>IF(49&gt;=88,('Testes estatísticos'!$D$93+'Testes estatísticos'!$D$54)/2,"")</f>
        <v/>
      </c>
      <c r="AY266" s="7" t="str">
        <f>IF(50&gt;=88,('Testes estatísticos'!$D$93+'Testes estatísticos'!$D$55)/2,"")</f>
        <v/>
      </c>
      <c r="AZ266" s="7" t="str">
        <f>IF(51&gt;=88,('Testes estatísticos'!$D$93+'Testes estatísticos'!$D$56)/2,"")</f>
        <v/>
      </c>
      <c r="BA266" s="7" t="str">
        <f>IF(52&gt;=88,('Testes estatísticos'!$D$93+'Testes estatísticos'!$D$57)/2,"")</f>
        <v/>
      </c>
      <c r="BB266" s="7" t="str">
        <f>IF(53&gt;=88,('Testes estatísticos'!$D$93+'Testes estatísticos'!$D$58)/2,"")</f>
        <v/>
      </c>
      <c r="BC266" s="7" t="str">
        <f>IF(54&gt;=88,('Testes estatísticos'!$D$93+'Testes estatísticos'!$D$59)/2,"")</f>
        <v/>
      </c>
      <c r="BD266" s="7" t="str">
        <f>IF(55&gt;=88,('Testes estatísticos'!$D$93+'Testes estatísticos'!$D$60)/2,"")</f>
        <v/>
      </c>
      <c r="BE266" s="7" t="str">
        <f>IF(56&gt;=88,('Testes estatísticos'!$D$93+'Testes estatísticos'!$D$61)/2,"")</f>
        <v/>
      </c>
      <c r="BF266" s="7" t="str">
        <f>IF(57&gt;=88,('Testes estatísticos'!$D$93+'Testes estatísticos'!$D$62)/2,"")</f>
        <v/>
      </c>
      <c r="BG266" s="7" t="str">
        <f>IF(58&gt;=88,('Testes estatísticos'!$D$93+'Testes estatísticos'!$D$63)/2,"")</f>
        <v/>
      </c>
      <c r="BH266" s="7" t="str">
        <f>IF(59&gt;=88,('Testes estatísticos'!$D$93+'Testes estatísticos'!$D$64)/2,"")</f>
        <v/>
      </c>
      <c r="BI266" s="7" t="str">
        <f>IF(60&gt;=88,('Testes estatísticos'!$D$93+'Testes estatísticos'!$D$65)/2,"")</f>
        <v/>
      </c>
      <c r="BJ266" s="7" t="str">
        <f>IF(61&gt;=88,('Testes estatísticos'!$D$93+'Testes estatísticos'!$D$66)/2,"")</f>
        <v/>
      </c>
      <c r="BK266" s="7" t="str">
        <f>IF(62&gt;=88,('Testes estatísticos'!$D$93+'Testes estatísticos'!$D$67)/2,"")</f>
        <v/>
      </c>
      <c r="BL266" s="7" t="str">
        <f>IF(63&gt;=88,('Testes estatísticos'!$D$93+'Testes estatísticos'!$D$68)/2,"")</f>
        <v/>
      </c>
      <c r="BM266" s="7" t="str">
        <f>IF(64&gt;=88,('Testes estatísticos'!$D$93+'Testes estatísticos'!$D$69)/2,"")</f>
        <v/>
      </c>
      <c r="BN266" s="7" t="str">
        <f>IF(65&gt;=88,('Testes estatísticos'!$D$93+'Testes estatísticos'!$D$70)/2,"")</f>
        <v/>
      </c>
      <c r="BO266" s="7" t="str">
        <f>IF(66&gt;=88,('Testes estatísticos'!$D$93+'Testes estatísticos'!$D$71)/2,"")</f>
        <v/>
      </c>
      <c r="BP266" s="7" t="str">
        <f>IF(67&gt;=88,('Testes estatísticos'!$D$93+'Testes estatísticos'!$D$72)/2,"")</f>
        <v/>
      </c>
      <c r="BQ266" s="7" t="str">
        <f>IF(68&gt;=88,('Testes estatísticos'!$D$93+'Testes estatísticos'!$D$73)/2,"")</f>
        <v/>
      </c>
      <c r="BR266" s="7" t="str">
        <f>IF(69&gt;=88,('Testes estatísticos'!$D$93+'Testes estatísticos'!$D$74)/2,"")</f>
        <v/>
      </c>
      <c r="BS266" s="7" t="str">
        <f>IF(70&gt;=88,('Testes estatísticos'!$D$93+'Testes estatísticos'!$D$75)/2,"")</f>
        <v/>
      </c>
      <c r="BT266" s="7" t="str">
        <f>IF(71&gt;=88,('Testes estatísticos'!$D$93+'Testes estatísticos'!$D$76)/2,"")</f>
        <v/>
      </c>
      <c r="BU266" s="7" t="str">
        <f>IF(72&gt;=88,('Testes estatísticos'!$D$93+'Testes estatísticos'!$D$77)/2,"")</f>
        <v/>
      </c>
      <c r="BV266" s="7" t="str">
        <f>IF(73&gt;=88,('Testes estatísticos'!$D$93+'Testes estatísticos'!$D$78)/2,"")</f>
        <v/>
      </c>
      <c r="BW266" s="7" t="str">
        <f>IF(74&gt;=88,('Testes estatísticos'!$D$93+'Testes estatísticos'!$D$79)/2,"")</f>
        <v/>
      </c>
      <c r="BX266" s="7" t="str">
        <f>IF(75&gt;=88,('Testes estatísticos'!$D$93+'Testes estatísticos'!$D$80)/2,"")</f>
        <v/>
      </c>
      <c r="BY266" s="7" t="str">
        <f>IF(76&gt;=88,('Testes estatísticos'!$D$93+'Testes estatísticos'!$D$81)/2,"")</f>
        <v/>
      </c>
      <c r="BZ266" s="7" t="str">
        <f>IF(77&gt;=88,('Testes estatísticos'!$D$93+'Testes estatísticos'!$D$82)/2,"")</f>
        <v/>
      </c>
      <c r="CA266" s="7" t="str">
        <f>IF(78&gt;=88,('Testes estatísticos'!$D$93+'Testes estatísticos'!$D$83)/2,"")</f>
        <v/>
      </c>
      <c r="CB266" s="7" t="str">
        <f>IF(79&gt;=88,('Testes estatísticos'!$D$93+'Testes estatísticos'!$D$84)/2,"")</f>
        <v/>
      </c>
      <c r="CC266" s="7" t="str">
        <f>IF(80&gt;=88,('Testes estatísticos'!$D$93+'Testes estatísticos'!$D$85)/2,"")</f>
        <v/>
      </c>
      <c r="CD266" s="7" t="str">
        <f>IF(81&gt;=88,('Testes estatísticos'!$D$93+'Testes estatísticos'!$D$86)/2,"")</f>
        <v/>
      </c>
      <c r="CE266" s="7" t="str">
        <f>IF(82&gt;=88,('Testes estatísticos'!$D$93+'Testes estatísticos'!$D$87)/2,"")</f>
        <v/>
      </c>
      <c r="CF266" s="7" t="str">
        <f>IF(83&gt;=88,('Testes estatísticos'!$D$93+'Testes estatísticos'!$D$88)/2,"")</f>
        <v/>
      </c>
      <c r="CG266" s="7" t="str">
        <f>IF(84&gt;=88,('Testes estatísticos'!$D$93+'Testes estatísticos'!$D$89)/2,"")</f>
        <v/>
      </c>
      <c r="CH266" s="7" t="str">
        <f>IF(85&gt;=88,('Testes estatísticos'!$D$93+'Testes estatísticos'!$D$90)/2,"")</f>
        <v/>
      </c>
      <c r="CI266" s="7" t="str">
        <f>IF(86&gt;=88,('Testes estatísticos'!$D$93+'Testes estatísticos'!$D$91)/2,"")</f>
        <v/>
      </c>
      <c r="CJ266" s="7" t="str">
        <f>IF(87&gt;=88,('Testes estatísticos'!$D$93+'Testes estatísticos'!$D$92)/2,"")</f>
        <v/>
      </c>
      <c r="CK266" s="7">
        <f>IF(88&gt;=88,('Testes estatísticos'!$D$93+'Testes estatísticos'!$D$93)/2,"")</f>
        <v>-2.5148730000000015</v>
      </c>
      <c r="CL266" s="7">
        <f>IF(89&gt;=88,('Testes estatísticos'!$D$93+'Testes estatísticos'!$D$94)/2,"")</f>
        <v>-3.1264650000000032</v>
      </c>
      <c r="CM266" s="7">
        <f>IF(90&gt;=88,('Testes estatísticos'!$D$93+'Testes estatísticos'!$D$95)/2,"")</f>
        <v>-5.4605969999999999</v>
      </c>
      <c r="CN266" s="7">
        <f>IF(91&gt;=88,('Testes estatísticos'!$D$93+'Testes estatísticos'!$D$96)/2,"")</f>
        <v>-2.9220739999999985</v>
      </c>
      <c r="CO266" s="7">
        <f>IF(92&gt;=88,('Testes estatísticos'!$D$93+'Testes estatísticos'!$D$97)/2,"")</f>
        <v>-3.2685774999999992</v>
      </c>
      <c r="CP266" s="7">
        <f>IF(93&gt;=88,('Testes estatísticos'!$D$93+'Testes estatísticos'!$D$98)/2,"")</f>
        <v>-3.4733294999999984</v>
      </c>
      <c r="CQ266" s="7">
        <f>IF(94&gt;=88,('Testes estatísticos'!$D$93+'Testes estatísticos'!$D$99)/2,"")</f>
        <v>-1.292171500000002</v>
      </c>
      <c r="CR266" s="7">
        <f>IF(95&gt;=88,('Testes estatísticos'!$D$93+'Testes estatísticos'!$D$100)/2,"")</f>
        <v>-3.1979645000000012</v>
      </c>
      <c r="CS266" s="7">
        <f>IF(96&gt;=88,('Testes estatísticos'!$D$93+'Testes estatísticos'!$D$101)/2,"")</f>
        <v>-3.1539775000000034</v>
      </c>
      <c r="CT266" s="7">
        <f>IF(97&gt;=88,('Testes estatísticos'!$D$93+'Testes estatísticos'!$D$102)/2,"")</f>
        <v>-2.9209270000000025</v>
      </c>
      <c r="CU266" s="7">
        <f>IF(98&gt;=88,('Testes estatísticos'!$D$93+'Testes estatísticos'!$D$103)/2,"")</f>
        <v>-2.8636009999999992</v>
      </c>
      <c r="CV266" s="7">
        <f>IF(99&gt;=88,('Testes estatísticos'!$D$93+'Testes estatísticos'!$D$104)/2,"")</f>
        <v>-3.2984270000000002</v>
      </c>
      <c r="CW266" s="7">
        <f>IF(100&gt;=88,('Testes estatísticos'!$D$93+'Testes estatísticos'!$D$105)/2,"")</f>
        <v>-3.3978929999999998</v>
      </c>
      <c r="CX266" s="7">
        <f>IF(101&gt;=88,('Testes estatísticos'!$D$93+'Testes estatísticos'!$D$106)/2,"")</f>
        <v>-2.8749664999999993</v>
      </c>
      <c r="CY266" s="7">
        <f>IF(102&gt;=88,('Testes estatísticos'!$D$93+'Testes estatísticos'!$D$107)/2,"")</f>
        <v>-2.9306315000000005</v>
      </c>
      <c r="CZ266" s="7">
        <f>IF(103&gt;=88,('Testes estatísticos'!$D$93+'Testes estatísticos'!$D$108)/2,"")</f>
        <v>-3.4547980000000003</v>
      </c>
      <c r="DA266" s="7">
        <f>IF(104&gt;=88,('Testes estatísticos'!$D$93+'Testes estatísticos'!$D$109)/2,"")</f>
        <v>-3.1921639999999982</v>
      </c>
      <c r="DB266" s="7">
        <f>IF(105&gt;=88,('Testes estatísticos'!$D$93+'Testes estatísticos'!$D$110)/2,"")</f>
        <v>-3.1578330000000001</v>
      </c>
      <c r="DC266" s="7">
        <f>IF(106&gt;=88,('Testes estatísticos'!$D$93+'Testes estatísticos'!$D$111)/2,"")</f>
        <v>-2.4149120000000011</v>
      </c>
      <c r="DD266" s="7">
        <f>IF(107&gt;=88,('Testes estatísticos'!$D$93+'Testes estatísticos'!$D$112)/2,"")</f>
        <v>1.0782589999999992</v>
      </c>
      <c r="DE266" s="7">
        <f>IF(108&gt;=88,('Testes estatísticos'!$D$93+'Testes estatísticos'!$D$113)/2,"")</f>
        <v>-2.3443764999999992</v>
      </c>
      <c r="DF266" s="7">
        <f>IF(109&gt;=88,('Testes estatísticos'!$D$93+'Testes estatísticos'!$D$114)/2,"")</f>
        <v>-2.3806334999999983</v>
      </c>
      <c r="DG266" s="7">
        <f>IF(110&gt;=88,('Testes estatísticos'!$D$93+'Testes estatísticos'!$D$115)/2,"")</f>
        <v>-7.927773000000002</v>
      </c>
      <c r="DH266" s="7">
        <f>IF(111&gt;=88,('Testes estatísticos'!$D$93+'Testes estatísticos'!$D$116)/2,"")</f>
        <v>-2.2469424999999994</v>
      </c>
      <c r="DI266" s="7">
        <f>IF(112&gt;=88,('Testes estatísticos'!$D$93+'Testes estatísticos'!$D$117)/2,"")</f>
        <v>3.181497499999999</v>
      </c>
      <c r="DJ266" s="7">
        <f>IF(113&gt;=88,('Testes estatísticos'!$D$93+'Testes estatísticos'!$D$118)/2,"")</f>
        <v>-2.2750595000000011</v>
      </c>
      <c r="DK266" s="7">
        <f>IF(114&gt;=88,('Testes estatísticos'!$D$93+'Testes estatísticos'!$D$119)/2,"")</f>
        <v>-2.3768095000000002</v>
      </c>
      <c r="DL266" s="7">
        <f>IF(115&gt;=88,('Testes estatísticos'!$D$93+'Testes estatísticos'!$D$120)/2,"")</f>
        <v>-2.3303319999999985</v>
      </c>
      <c r="DM266" s="7">
        <f>IF(116&gt;=88,('Testes estatísticos'!$D$93+'Testes estatísticos'!$D$121)/2,"")</f>
        <v>-2.3217295</v>
      </c>
      <c r="DN266" s="7">
        <f>IF(117&gt;=88,('Testes estatísticos'!$D$93+'Testes estatísticos'!$D$122)/2,"")</f>
        <v>-2.2986615000000015</v>
      </c>
      <c r="DO266" s="7">
        <f>IF(118&gt;=88,('Testes estatísticos'!$D$93+'Testes estatísticos'!$D$123)/2,"")</f>
        <v>-2.2487510000000022</v>
      </c>
      <c r="DP266" s="7">
        <f>IF(119&gt;=88,('Testes estatísticos'!$D$93+'Testes estatísticos'!$D$124)/2,"")</f>
        <v>-2.2699625000000019</v>
      </c>
      <c r="DQ266" s="7">
        <f>IF(120&gt;=88,('Testes estatísticos'!$D$93+'Testes estatísticos'!$D$125)/2,"")</f>
        <v>0.78165200000000112</v>
      </c>
      <c r="DR266" s="7">
        <f>IF(121&gt;=88,('Testes estatísticos'!$D$93+'Testes estatísticos'!$D$126)/2,"")</f>
        <v>-2.0073645000000013</v>
      </c>
      <c r="DS266" s="7">
        <f>IF(122&gt;=88,('Testes estatísticos'!$D$93+'Testes estatísticos'!$D$127)/2,"")</f>
        <v>-3.072772999999998</v>
      </c>
      <c r="DT266" s="7">
        <f>IF(123&gt;=88,('Testes estatísticos'!$D$93+'Testes estatísticos'!$D$128)/2,"")</f>
        <v>2.9960964999999966</v>
      </c>
      <c r="DU266" s="7">
        <f>IF(124&gt;=88,('Testes estatísticos'!$D$93+'Testes estatísticos'!$D$129)/2,"")</f>
        <v>-1.899675000000002</v>
      </c>
      <c r="DV266" s="7">
        <f>IF(125&gt;=88,('Testes estatísticos'!$D$93+'Testes estatísticos'!$D$130)/2,"")</f>
        <v>-0.74136750000000262</v>
      </c>
      <c r="DW266" s="7">
        <f>IF(126&gt;=88,('Testes estatísticos'!$D$93+'Testes estatísticos'!$D$131)/2,"")</f>
        <v>-3.1448435000000003</v>
      </c>
      <c r="DX266" s="7">
        <f>IF(127&gt;=88,('Testes estatísticos'!$D$93+'Testes estatísticos'!$D$132)/2,"")</f>
        <v>-5.201035000000001</v>
      </c>
      <c r="DY266" s="7">
        <f>IF(128&gt;=88,('Testes estatísticos'!$D$93+'Testes estatísticos'!$D$133)/2,"")</f>
        <v>-5.5421244999999999</v>
      </c>
      <c r="DZ266" s="7">
        <f>IF(129&gt;=88,('Testes estatísticos'!$D$93+'Testes estatísticos'!$D$134)/2,"")</f>
        <v>-8.9659145000000002</v>
      </c>
      <c r="EA266" s="7">
        <f>IF(130&gt;=88,('Testes estatísticos'!$D$93+'Testes estatísticos'!$D$135)/2,"")</f>
        <v>-3.2041444999999982</v>
      </c>
      <c r="EB266" s="7">
        <f>IF(131&gt;=88,('Testes estatísticos'!$D$93+'Testes estatísticos'!$D$136)/2,"")</f>
        <v>-3.1162715000000034</v>
      </c>
      <c r="EC266" s="7">
        <f>IF(132&gt;=88,('Testes estatísticos'!$D$93+'Testes estatísticos'!$D$137)/2,"")</f>
        <v>-4.6030080000000027</v>
      </c>
      <c r="ED266" s="7">
        <f>IF(133&gt;=88,('Testes estatísticos'!$D$93+'Testes estatísticos'!$D$138)/2,"")</f>
        <v>-2.4140705000000011</v>
      </c>
      <c r="EE266" s="7">
        <f>IF(134&gt;=88,('Testes estatísticos'!$D$93+'Testes estatísticos'!$D$139)/2,"")</f>
        <v>-4.7112610000000039</v>
      </c>
      <c r="EF266" s="7">
        <f>IF(135&gt;=88,('Testes estatísticos'!$D$93+'Testes estatísticos'!$D$140)/2,"")</f>
        <v>-1.4968284999999995</v>
      </c>
      <c r="EG266" s="7">
        <f>IF(136&gt;=88,('Testes estatísticos'!$D$93+'Testes estatísticos'!$D$141)/2,"")</f>
        <v>-3.1903185000000036</v>
      </c>
      <c r="EH266" s="7">
        <f>IF(137&gt;=88,('Testes estatísticos'!$D$93+'Testes estatísticos'!$D$142)/2,"")</f>
        <v>-1.4855785000000026</v>
      </c>
      <c r="EI266" s="7">
        <f>IF(138&gt;=88,('Testes estatísticos'!$D$93+'Testes estatísticos'!$D$143)/2,"")</f>
        <v>-3.1505939999999981</v>
      </c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</row>
    <row r="267" spans="2:151" x14ac:dyDescent="0.3">
      <c r="B267" s="7" t="str">
        <f>IF(1&gt;=89,('Testes estatísticos'!$D$94+'Testes estatísticos'!$D$6)/2,"")</f>
        <v/>
      </c>
      <c r="C267" s="7" t="str">
        <f>IF(2&gt;=89,('Testes estatísticos'!$D$94+'Testes estatísticos'!$D$7)/2,"")</f>
        <v/>
      </c>
      <c r="D267" s="7" t="str">
        <f>IF(3&gt;=89,('Testes estatísticos'!$D$94+'Testes estatísticos'!$D$8)/2,"")</f>
        <v/>
      </c>
      <c r="E267" s="7" t="str">
        <f>IF(4&gt;=89,('Testes estatísticos'!$D$94+'Testes estatísticos'!$D$9)/2,"")</f>
        <v/>
      </c>
      <c r="F267" s="7" t="str">
        <f>IF(5&gt;=89,('Testes estatísticos'!$D$94+'Testes estatísticos'!$D$10)/2,"")</f>
        <v/>
      </c>
      <c r="G267" s="7" t="str">
        <f>IF(6&gt;=89,('Testes estatísticos'!$D$94+'Testes estatísticos'!$D$11)/2,"")</f>
        <v/>
      </c>
      <c r="H267" s="7" t="str">
        <f>IF(7&gt;=89,('Testes estatísticos'!$D$94+'Testes estatísticos'!$D$12)/2,"")</f>
        <v/>
      </c>
      <c r="I267" s="7" t="str">
        <f>IF(8&gt;=89,('Testes estatísticos'!$D$94+'Testes estatísticos'!$D$13)/2,"")</f>
        <v/>
      </c>
      <c r="J267" s="7" t="str">
        <f>IF(9&gt;=89,('Testes estatísticos'!$D$94+'Testes estatísticos'!$D$14)/2,"")</f>
        <v/>
      </c>
      <c r="K267" s="7" t="str">
        <f>IF(10&gt;=89,('Testes estatísticos'!$D$94+'Testes estatísticos'!$D$15)/2,"")</f>
        <v/>
      </c>
      <c r="L267" s="7" t="str">
        <f>IF(11&gt;=89,('Testes estatísticos'!$D$94+'Testes estatísticos'!$D$16)/2,"")</f>
        <v/>
      </c>
      <c r="M267" s="7" t="str">
        <f>IF(12&gt;=89,('Testes estatísticos'!$D$94+'Testes estatísticos'!$D$17)/2,"")</f>
        <v/>
      </c>
      <c r="N267" s="7" t="str">
        <f>IF(13&gt;=89,('Testes estatísticos'!$D$94+'Testes estatísticos'!$D$18)/2,"")</f>
        <v/>
      </c>
      <c r="O267" s="7" t="str">
        <f>IF(14&gt;=89,('Testes estatísticos'!$D$94+'Testes estatísticos'!$D$19)/2,"")</f>
        <v/>
      </c>
      <c r="P267" s="7" t="str">
        <f>IF(15&gt;=89,('Testes estatísticos'!$D$94+'Testes estatísticos'!$D$20)/2,"")</f>
        <v/>
      </c>
      <c r="Q267" s="7" t="str">
        <f>IF(16&gt;=89,('Testes estatísticos'!$D$94+'Testes estatísticos'!$D$21)/2,"")</f>
        <v/>
      </c>
      <c r="R267" s="7" t="str">
        <f>IF(17&gt;=89,('Testes estatísticos'!$D$94+'Testes estatísticos'!$D$22)/2,"")</f>
        <v/>
      </c>
      <c r="S267" s="7" t="str">
        <f>IF(18&gt;=89,('Testes estatísticos'!$D$94+'Testes estatísticos'!$D$23)/2,"")</f>
        <v/>
      </c>
      <c r="T267" s="7" t="str">
        <f>IF(19&gt;=89,('Testes estatísticos'!$D$94+'Testes estatísticos'!$D$24)/2,"")</f>
        <v/>
      </c>
      <c r="U267" s="7" t="str">
        <f>IF(20&gt;=89,('Testes estatísticos'!$D$94+'Testes estatísticos'!$D$25)/2,"")</f>
        <v/>
      </c>
      <c r="V267" s="7" t="str">
        <f>IF(21&gt;=89,('Testes estatísticos'!$D$94+'Testes estatísticos'!$D$26)/2,"")</f>
        <v/>
      </c>
      <c r="W267" s="7" t="str">
        <f>IF(22&gt;=89,('Testes estatísticos'!$D$94+'Testes estatísticos'!$D$27)/2,"")</f>
        <v/>
      </c>
      <c r="X267" s="7" t="str">
        <f>IF(23&gt;=89,('Testes estatísticos'!$D$94+'Testes estatísticos'!$D$28)/2,"")</f>
        <v/>
      </c>
      <c r="Y267" s="7" t="str">
        <f>IF(24&gt;=89,('Testes estatísticos'!$D$94+'Testes estatísticos'!$D$29)/2,"")</f>
        <v/>
      </c>
      <c r="Z267" s="7" t="str">
        <f>IF(25&gt;=89,('Testes estatísticos'!$D$94+'Testes estatísticos'!$D$30)/2,"")</f>
        <v/>
      </c>
      <c r="AA267" s="7" t="str">
        <f>IF(26&gt;=89,('Testes estatísticos'!$D$94+'Testes estatísticos'!$D$31)/2,"")</f>
        <v/>
      </c>
      <c r="AB267" s="7" t="str">
        <f>IF(27&gt;=89,('Testes estatísticos'!$D$94+'Testes estatísticos'!$D$32)/2,"")</f>
        <v/>
      </c>
      <c r="AC267" s="7" t="str">
        <f>IF(28&gt;=89,('Testes estatísticos'!$D$94+'Testes estatísticos'!$D$33)/2,"")</f>
        <v/>
      </c>
      <c r="AD267" s="7" t="str">
        <f>IF(29&gt;=89,('Testes estatísticos'!$D$94+'Testes estatísticos'!$D$34)/2,"")</f>
        <v/>
      </c>
      <c r="AE267" s="7" t="str">
        <f>IF(30&gt;=89,('Testes estatísticos'!$D$94+'Testes estatísticos'!$D$35)/2,"")</f>
        <v/>
      </c>
      <c r="AF267" s="7" t="str">
        <f>IF(31&gt;=89,('Testes estatísticos'!$D$94+'Testes estatísticos'!$D$36)/2,"")</f>
        <v/>
      </c>
      <c r="AG267" s="7" t="str">
        <f>IF(32&gt;=89,('Testes estatísticos'!$D$94+'Testes estatísticos'!$D$37)/2,"")</f>
        <v/>
      </c>
      <c r="AH267" s="7" t="str">
        <f>IF(33&gt;=89,('Testes estatísticos'!$D$94+'Testes estatísticos'!$D$38)/2,"")</f>
        <v/>
      </c>
      <c r="AI267" s="7" t="str">
        <f>IF(34&gt;=89,('Testes estatísticos'!$D$94+'Testes estatísticos'!$D$39)/2,"")</f>
        <v/>
      </c>
      <c r="AJ267" s="7" t="str">
        <f>IF(35&gt;=89,('Testes estatísticos'!$D$94+'Testes estatísticos'!$D$40)/2,"")</f>
        <v/>
      </c>
      <c r="AK267" s="7" t="str">
        <f>IF(36&gt;=89,('Testes estatísticos'!$D$94+'Testes estatísticos'!$D$41)/2,"")</f>
        <v/>
      </c>
      <c r="AL267" s="7" t="str">
        <f>IF(37&gt;=89,('Testes estatísticos'!$D$94+'Testes estatísticos'!$D$42)/2,"")</f>
        <v/>
      </c>
      <c r="AM267" s="7" t="str">
        <f>IF(38&gt;=89,('Testes estatísticos'!$D$94+'Testes estatísticos'!$D$43)/2,"")</f>
        <v/>
      </c>
      <c r="AN267" s="7" t="str">
        <f>IF(39&gt;=89,('Testes estatísticos'!$D$94+'Testes estatísticos'!$D$44)/2,"")</f>
        <v/>
      </c>
      <c r="AO267" s="7" t="str">
        <f>IF(40&gt;=89,('Testes estatísticos'!$D$94+'Testes estatísticos'!$D$45)/2,"")</f>
        <v/>
      </c>
      <c r="AP267" s="7" t="str">
        <f>IF(41&gt;=89,('Testes estatísticos'!$D$94+'Testes estatísticos'!$D$46)/2,"")</f>
        <v/>
      </c>
      <c r="AQ267" s="7" t="str">
        <f>IF(42&gt;=89,('Testes estatísticos'!$D$94+'Testes estatísticos'!$D$47)/2,"")</f>
        <v/>
      </c>
      <c r="AR267" s="7" t="str">
        <f>IF(43&gt;=89,('Testes estatísticos'!$D$94+'Testes estatísticos'!$D$48)/2,"")</f>
        <v/>
      </c>
      <c r="AS267" s="7" t="str">
        <f>IF(44&gt;=89,('Testes estatísticos'!$D$94+'Testes estatísticos'!$D$49)/2,"")</f>
        <v/>
      </c>
      <c r="AT267" s="7" t="str">
        <f>IF(45&gt;=89,('Testes estatísticos'!$D$94+'Testes estatísticos'!$D$50)/2,"")</f>
        <v/>
      </c>
      <c r="AU267" s="7" t="str">
        <f>IF(46&gt;=89,('Testes estatísticos'!$D$94+'Testes estatísticos'!$D$51)/2,"")</f>
        <v/>
      </c>
      <c r="AV267" s="7" t="str">
        <f>IF(47&gt;=89,('Testes estatísticos'!$D$94+'Testes estatísticos'!$D$52)/2,"")</f>
        <v/>
      </c>
      <c r="AW267" s="7" t="str">
        <f>IF(48&gt;=89,('Testes estatísticos'!$D$94+'Testes estatísticos'!$D$53)/2,"")</f>
        <v/>
      </c>
      <c r="AX267" s="7" t="str">
        <f>IF(49&gt;=89,('Testes estatísticos'!$D$94+'Testes estatísticos'!$D$54)/2,"")</f>
        <v/>
      </c>
      <c r="AY267" s="7" t="str">
        <f>IF(50&gt;=89,('Testes estatísticos'!$D$94+'Testes estatísticos'!$D$55)/2,"")</f>
        <v/>
      </c>
      <c r="AZ267" s="7" t="str">
        <f>IF(51&gt;=89,('Testes estatísticos'!$D$94+'Testes estatísticos'!$D$56)/2,"")</f>
        <v/>
      </c>
      <c r="BA267" s="7" t="str">
        <f>IF(52&gt;=89,('Testes estatísticos'!$D$94+'Testes estatísticos'!$D$57)/2,"")</f>
        <v/>
      </c>
      <c r="BB267" s="7" t="str">
        <f>IF(53&gt;=89,('Testes estatísticos'!$D$94+'Testes estatísticos'!$D$58)/2,"")</f>
        <v/>
      </c>
      <c r="BC267" s="7" t="str">
        <f>IF(54&gt;=89,('Testes estatísticos'!$D$94+'Testes estatísticos'!$D$59)/2,"")</f>
        <v/>
      </c>
      <c r="BD267" s="7" t="str">
        <f>IF(55&gt;=89,('Testes estatísticos'!$D$94+'Testes estatísticos'!$D$60)/2,"")</f>
        <v/>
      </c>
      <c r="BE267" s="7" t="str">
        <f>IF(56&gt;=89,('Testes estatísticos'!$D$94+'Testes estatísticos'!$D$61)/2,"")</f>
        <v/>
      </c>
      <c r="BF267" s="7" t="str">
        <f>IF(57&gt;=89,('Testes estatísticos'!$D$94+'Testes estatísticos'!$D$62)/2,"")</f>
        <v/>
      </c>
      <c r="BG267" s="7" t="str">
        <f>IF(58&gt;=89,('Testes estatísticos'!$D$94+'Testes estatísticos'!$D$63)/2,"")</f>
        <v/>
      </c>
      <c r="BH267" s="7" t="str">
        <f>IF(59&gt;=89,('Testes estatísticos'!$D$94+'Testes estatísticos'!$D$64)/2,"")</f>
        <v/>
      </c>
      <c r="BI267" s="7" t="str">
        <f>IF(60&gt;=89,('Testes estatísticos'!$D$94+'Testes estatísticos'!$D$65)/2,"")</f>
        <v/>
      </c>
      <c r="BJ267" s="7" t="str">
        <f>IF(61&gt;=89,('Testes estatísticos'!$D$94+'Testes estatísticos'!$D$66)/2,"")</f>
        <v/>
      </c>
      <c r="BK267" s="7" t="str">
        <f>IF(62&gt;=89,('Testes estatísticos'!$D$94+'Testes estatísticos'!$D$67)/2,"")</f>
        <v/>
      </c>
      <c r="BL267" s="7" t="str">
        <f>IF(63&gt;=89,('Testes estatísticos'!$D$94+'Testes estatísticos'!$D$68)/2,"")</f>
        <v/>
      </c>
      <c r="BM267" s="7" t="str">
        <f>IF(64&gt;=89,('Testes estatísticos'!$D$94+'Testes estatísticos'!$D$69)/2,"")</f>
        <v/>
      </c>
      <c r="BN267" s="7" t="str">
        <f>IF(65&gt;=89,('Testes estatísticos'!$D$94+'Testes estatísticos'!$D$70)/2,"")</f>
        <v/>
      </c>
      <c r="BO267" s="7" t="str">
        <f>IF(66&gt;=89,('Testes estatísticos'!$D$94+'Testes estatísticos'!$D$71)/2,"")</f>
        <v/>
      </c>
      <c r="BP267" s="7" t="str">
        <f>IF(67&gt;=89,('Testes estatísticos'!$D$94+'Testes estatísticos'!$D$72)/2,"")</f>
        <v/>
      </c>
      <c r="BQ267" s="7" t="str">
        <f>IF(68&gt;=89,('Testes estatísticos'!$D$94+'Testes estatísticos'!$D$73)/2,"")</f>
        <v/>
      </c>
      <c r="BR267" s="7" t="str">
        <f>IF(69&gt;=89,('Testes estatísticos'!$D$94+'Testes estatísticos'!$D$74)/2,"")</f>
        <v/>
      </c>
      <c r="BS267" s="7" t="str">
        <f>IF(70&gt;=89,('Testes estatísticos'!$D$94+'Testes estatísticos'!$D$75)/2,"")</f>
        <v/>
      </c>
      <c r="BT267" s="7" t="str">
        <f>IF(71&gt;=89,('Testes estatísticos'!$D$94+'Testes estatísticos'!$D$76)/2,"")</f>
        <v/>
      </c>
      <c r="BU267" s="7" t="str">
        <f>IF(72&gt;=89,('Testes estatísticos'!$D$94+'Testes estatísticos'!$D$77)/2,"")</f>
        <v/>
      </c>
      <c r="BV267" s="7" t="str">
        <f>IF(73&gt;=89,('Testes estatísticos'!$D$94+'Testes estatísticos'!$D$78)/2,"")</f>
        <v/>
      </c>
      <c r="BW267" s="7" t="str">
        <f>IF(74&gt;=89,('Testes estatísticos'!$D$94+'Testes estatísticos'!$D$79)/2,"")</f>
        <v/>
      </c>
      <c r="BX267" s="7" t="str">
        <f>IF(75&gt;=89,('Testes estatísticos'!$D$94+'Testes estatísticos'!$D$80)/2,"")</f>
        <v/>
      </c>
      <c r="BY267" s="7" t="str">
        <f>IF(76&gt;=89,('Testes estatísticos'!$D$94+'Testes estatísticos'!$D$81)/2,"")</f>
        <v/>
      </c>
      <c r="BZ267" s="7" t="str">
        <f>IF(77&gt;=89,('Testes estatísticos'!$D$94+'Testes estatísticos'!$D$82)/2,"")</f>
        <v/>
      </c>
      <c r="CA267" s="7" t="str">
        <f>IF(78&gt;=89,('Testes estatísticos'!$D$94+'Testes estatísticos'!$D$83)/2,"")</f>
        <v/>
      </c>
      <c r="CB267" s="7" t="str">
        <f>IF(79&gt;=89,('Testes estatísticos'!$D$94+'Testes estatísticos'!$D$84)/2,"")</f>
        <v/>
      </c>
      <c r="CC267" s="7" t="str">
        <f>IF(80&gt;=89,('Testes estatísticos'!$D$94+'Testes estatísticos'!$D$85)/2,"")</f>
        <v/>
      </c>
      <c r="CD267" s="7" t="str">
        <f>IF(81&gt;=89,('Testes estatísticos'!$D$94+'Testes estatísticos'!$D$86)/2,"")</f>
        <v/>
      </c>
      <c r="CE267" s="7" t="str">
        <f>IF(82&gt;=89,('Testes estatísticos'!$D$94+'Testes estatísticos'!$D$87)/2,"")</f>
        <v/>
      </c>
      <c r="CF267" s="7" t="str">
        <f>IF(83&gt;=89,('Testes estatísticos'!$D$94+'Testes estatísticos'!$D$88)/2,"")</f>
        <v/>
      </c>
      <c r="CG267" s="7" t="str">
        <f>IF(84&gt;=89,('Testes estatísticos'!$D$94+'Testes estatísticos'!$D$89)/2,"")</f>
        <v/>
      </c>
      <c r="CH267" s="7" t="str">
        <f>IF(85&gt;=89,('Testes estatísticos'!$D$94+'Testes estatísticos'!$D$90)/2,"")</f>
        <v/>
      </c>
      <c r="CI267" s="7" t="str">
        <f>IF(86&gt;=89,('Testes estatísticos'!$D$94+'Testes estatísticos'!$D$91)/2,"")</f>
        <v/>
      </c>
      <c r="CJ267" s="7" t="str">
        <f>IF(87&gt;=89,('Testes estatísticos'!$D$94+'Testes estatísticos'!$D$92)/2,"")</f>
        <v/>
      </c>
      <c r="CK267" s="7" t="str">
        <f>IF(88&gt;=89,('Testes estatísticos'!$D$94+'Testes estatísticos'!$D$93)/2,"")</f>
        <v/>
      </c>
      <c r="CL267" s="7">
        <f>IF(89&gt;=89,('Testes estatísticos'!$D$94+'Testes estatísticos'!$D$94)/2,"")</f>
        <v>-3.7380570000000048</v>
      </c>
      <c r="CM267" s="7">
        <f>IF(90&gt;=89,('Testes estatísticos'!$D$94+'Testes estatísticos'!$D$95)/2,"")</f>
        <v>-6.0721890000000016</v>
      </c>
      <c r="CN267" s="7">
        <f>IF(91&gt;=89,('Testes estatísticos'!$D$94+'Testes estatísticos'!$D$96)/2,"")</f>
        <v>-3.5336660000000002</v>
      </c>
      <c r="CO267" s="7">
        <f>IF(92&gt;=89,('Testes estatísticos'!$D$94+'Testes estatísticos'!$D$97)/2,"")</f>
        <v>-3.8801695000000009</v>
      </c>
      <c r="CP267" s="7">
        <f>IF(93&gt;=89,('Testes estatísticos'!$D$94+'Testes estatísticos'!$D$98)/2,"")</f>
        <v>-4.0849215000000001</v>
      </c>
      <c r="CQ267" s="7">
        <f>IF(94&gt;=89,('Testes estatísticos'!$D$94+'Testes estatísticos'!$D$99)/2,"")</f>
        <v>-1.9037635000000037</v>
      </c>
      <c r="CR267" s="7">
        <f>IF(95&gt;=89,('Testes estatísticos'!$D$94+'Testes estatísticos'!$D$100)/2,"")</f>
        <v>-3.8095565000000029</v>
      </c>
      <c r="CS267" s="7">
        <f>IF(96&gt;=89,('Testes estatísticos'!$D$94+'Testes estatísticos'!$D$101)/2,"")</f>
        <v>-3.7655695000000051</v>
      </c>
      <c r="CT267" s="7">
        <f>IF(97&gt;=89,('Testes estatísticos'!$D$94+'Testes estatísticos'!$D$102)/2,"")</f>
        <v>-3.5325190000000042</v>
      </c>
      <c r="CU267" s="7">
        <f>IF(98&gt;=89,('Testes estatísticos'!$D$94+'Testes estatísticos'!$D$103)/2,"")</f>
        <v>-3.4751930000000009</v>
      </c>
      <c r="CV267" s="7">
        <f>IF(99&gt;=89,('Testes estatísticos'!$D$94+'Testes estatísticos'!$D$104)/2,"")</f>
        <v>-3.9100190000000019</v>
      </c>
      <c r="CW267" s="7">
        <f>IF(100&gt;=89,('Testes estatísticos'!$D$94+'Testes estatísticos'!$D$105)/2,"")</f>
        <v>-4.0094850000000015</v>
      </c>
      <c r="CX267" s="7">
        <f>IF(101&gt;=89,('Testes estatísticos'!$D$94+'Testes estatísticos'!$D$106)/2,"")</f>
        <v>-3.486558500000001</v>
      </c>
      <c r="CY267" s="7">
        <f>IF(102&gt;=89,('Testes estatísticos'!$D$94+'Testes estatísticos'!$D$107)/2,"")</f>
        <v>-3.5422235000000022</v>
      </c>
      <c r="CZ267" s="7">
        <f>IF(103&gt;=89,('Testes estatísticos'!$D$94+'Testes estatísticos'!$D$108)/2,"")</f>
        <v>-4.0663900000000019</v>
      </c>
      <c r="DA267" s="7">
        <f>IF(104&gt;=89,('Testes estatísticos'!$D$94+'Testes estatísticos'!$D$109)/2,"")</f>
        <v>-3.8037559999999999</v>
      </c>
      <c r="DB267" s="7">
        <f>IF(105&gt;=89,('Testes estatísticos'!$D$94+'Testes estatísticos'!$D$110)/2,"")</f>
        <v>-3.7694250000000018</v>
      </c>
      <c r="DC267" s="7">
        <f>IF(106&gt;=89,('Testes estatísticos'!$D$94+'Testes estatísticos'!$D$111)/2,"")</f>
        <v>-3.0265040000000027</v>
      </c>
      <c r="DD267" s="7">
        <f>IF(107&gt;=89,('Testes estatísticos'!$D$94+'Testes estatísticos'!$D$112)/2,"")</f>
        <v>0.4666669999999975</v>
      </c>
      <c r="DE267" s="7">
        <f>IF(108&gt;=89,('Testes estatísticos'!$D$94+'Testes estatísticos'!$D$113)/2,"")</f>
        <v>-2.9559685000000009</v>
      </c>
      <c r="DF267" s="7">
        <f>IF(109&gt;=89,('Testes estatísticos'!$D$94+'Testes estatísticos'!$D$114)/2,"")</f>
        <v>-2.9922255</v>
      </c>
      <c r="DG267" s="7">
        <f>IF(110&gt;=89,('Testes estatísticos'!$D$94+'Testes estatísticos'!$D$115)/2,"")</f>
        <v>-8.5393650000000036</v>
      </c>
      <c r="DH267" s="7">
        <f>IF(111&gt;=89,('Testes estatísticos'!$D$94+'Testes estatísticos'!$D$116)/2,"")</f>
        <v>-2.8585345000000011</v>
      </c>
      <c r="DI267" s="7">
        <f>IF(112&gt;=89,('Testes estatísticos'!$D$94+'Testes estatísticos'!$D$117)/2,"")</f>
        <v>2.5699054999999973</v>
      </c>
      <c r="DJ267" s="7">
        <f>IF(113&gt;=89,('Testes estatísticos'!$D$94+'Testes estatísticos'!$D$118)/2,"")</f>
        <v>-2.8866515000000028</v>
      </c>
      <c r="DK267" s="7">
        <f>IF(114&gt;=89,('Testes estatísticos'!$D$94+'Testes estatísticos'!$D$119)/2,"")</f>
        <v>-2.9884015000000019</v>
      </c>
      <c r="DL267" s="7">
        <f>IF(115&gt;=89,('Testes estatísticos'!$D$94+'Testes estatísticos'!$D$120)/2,"")</f>
        <v>-2.9419240000000002</v>
      </c>
      <c r="DM267" s="7">
        <f>IF(116&gt;=89,('Testes estatísticos'!$D$94+'Testes estatísticos'!$D$121)/2,"")</f>
        <v>-2.9333215000000017</v>
      </c>
      <c r="DN267" s="7">
        <f>IF(117&gt;=89,('Testes estatísticos'!$D$94+'Testes estatísticos'!$D$122)/2,"")</f>
        <v>-2.9102535000000032</v>
      </c>
      <c r="DO267" s="7">
        <f>IF(118&gt;=89,('Testes estatísticos'!$D$94+'Testes estatísticos'!$D$123)/2,"")</f>
        <v>-2.8603430000000039</v>
      </c>
      <c r="DP267" s="7">
        <f>IF(119&gt;=89,('Testes estatísticos'!$D$94+'Testes estatísticos'!$D$124)/2,"")</f>
        <v>-2.8815545000000036</v>
      </c>
      <c r="DQ267" s="7">
        <f>IF(120&gt;=89,('Testes estatísticos'!$D$94+'Testes estatísticos'!$D$125)/2,"")</f>
        <v>0.17005999999999943</v>
      </c>
      <c r="DR267" s="7">
        <f>IF(121&gt;=89,('Testes estatísticos'!$D$94+'Testes estatísticos'!$D$126)/2,"")</f>
        <v>-2.618956500000003</v>
      </c>
      <c r="DS267" s="7">
        <f>IF(122&gt;=89,('Testes estatísticos'!$D$94+'Testes estatísticos'!$D$127)/2,"")</f>
        <v>-3.6843649999999997</v>
      </c>
      <c r="DT267" s="7">
        <f>IF(123&gt;=89,('Testes estatísticos'!$D$94+'Testes estatísticos'!$D$128)/2,"")</f>
        <v>2.3845044999999949</v>
      </c>
      <c r="DU267" s="7">
        <f>IF(124&gt;=89,('Testes estatísticos'!$D$94+'Testes estatísticos'!$D$129)/2,"")</f>
        <v>-2.5112670000000037</v>
      </c>
      <c r="DV267" s="7">
        <f>IF(125&gt;=89,('Testes estatísticos'!$D$94+'Testes estatísticos'!$D$130)/2,"")</f>
        <v>-1.3529595000000043</v>
      </c>
      <c r="DW267" s="7">
        <f>IF(126&gt;=89,('Testes estatísticos'!$D$94+'Testes estatísticos'!$D$131)/2,"")</f>
        <v>-3.756435500000002</v>
      </c>
      <c r="DX267" s="7">
        <f>IF(127&gt;=89,('Testes estatísticos'!$D$94+'Testes estatísticos'!$D$132)/2,"")</f>
        <v>-5.8126270000000027</v>
      </c>
      <c r="DY267" s="7">
        <f>IF(128&gt;=89,('Testes estatísticos'!$D$94+'Testes estatísticos'!$D$133)/2,"")</f>
        <v>-6.1537165000000016</v>
      </c>
      <c r="DZ267" s="7">
        <f>IF(129&gt;=89,('Testes estatísticos'!$D$94+'Testes estatísticos'!$D$134)/2,"")</f>
        <v>-9.5775065000000019</v>
      </c>
      <c r="EA267" s="7">
        <f>IF(130&gt;=89,('Testes estatísticos'!$D$94+'Testes estatísticos'!$D$135)/2,"")</f>
        <v>-3.8157364999999999</v>
      </c>
      <c r="EB267" s="7">
        <f>IF(131&gt;=89,('Testes estatísticos'!$D$94+'Testes estatísticos'!$D$136)/2,"")</f>
        <v>-3.7278635000000051</v>
      </c>
      <c r="EC267" s="7">
        <f>IF(132&gt;=89,('Testes estatísticos'!$D$94+'Testes estatísticos'!$D$137)/2,"")</f>
        <v>-5.2146000000000043</v>
      </c>
      <c r="ED267" s="7">
        <f>IF(133&gt;=89,('Testes estatísticos'!$D$94+'Testes estatísticos'!$D$138)/2,"")</f>
        <v>-3.0256625000000028</v>
      </c>
      <c r="EE267" s="7">
        <f>IF(134&gt;=89,('Testes estatísticos'!$D$94+'Testes estatísticos'!$D$139)/2,"")</f>
        <v>-5.3228530000000056</v>
      </c>
      <c r="EF267" s="7">
        <f>IF(135&gt;=89,('Testes estatísticos'!$D$94+'Testes estatísticos'!$D$140)/2,"")</f>
        <v>-2.1084205000000011</v>
      </c>
      <c r="EG267" s="7">
        <f>IF(136&gt;=89,('Testes estatísticos'!$D$94+'Testes estatísticos'!$D$141)/2,"")</f>
        <v>-3.8019105000000053</v>
      </c>
      <c r="EH267" s="7">
        <f>IF(137&gt;=89,('Testes estatísticos'!$D$94+'Testes estatísticos'!$D$142)/2,"")</f>
        <v>-2.0971705000000043</v>
      </c>
      <c r="EI267" s="7">
        <f>IF(138&gt;=89,('Testes estatísticos'!$D$94+'Testes estatísticos'!$D$143)/2,"")</f>
        <v>-3.7621859999999998</v>
      </c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</row>
    <row r="268" spans="2:151" x14ac:dyDescent="0.3">
      <c r="B268" s="7" t="str">
        <f>IF(1&gt;=90,('Testes estatísticos'!$D$95+'Testes estatísticos'!$D$6)/2,"")</f>
        <v/>
      </c>
      <c r="C268" s="7" t="str">
        <f>IF(2&gt;=90,('Testes estatísticos'!$D$95+'Testes estatísticos'!$D$7)/2,"")</f>
        <v/>
      </c>
      <c r="D268" s="7" t="str">
        <f>IF(3&gt;=90,('Testes estatísticos'!$D$95+'Testes estatísticos'!$D$8)/2,"")</f>
        <v/>
      </c>
      <c r="E268" s="7" t="str">
        <f>IF(4&gt;=90,('Testes estatísticos'!$D$95+'Testes estatísticos'!$D$9)/2,"")</f>
        <v/>
      </c>
      <c r="F268" s="7" t="str">
        <f>IF(5&gt;=90,('Testes estatísticos'!$D$95+'Testes estatísticos'!$D$10)/2,"")</f>
        <v/>
      </c>
      <c r="G268" s="7" t="str">
        <f>IF(6&gt;=90,('Testes estatísticos'!$D$95+'Testes estatísticos'!$D$11)/2,"")</f>
        <v/>
      </c>
      <c r="H268" s="7" t="str">
        <f>IF(7&gt;=90,('Testes estatísticos'!$D$95+'Testes estatísticos'!$D$12)/2,"")</f>
        <v/>
      </c>
      <c r="I268" s="7" t="str">
        <f>IF(8&gt;=90,('Testes estatísticos'!$D$95+'Testes estatísticos'!$D$13)/2,"")</f>
        <v/>
      </c>
      <c r="J268" s="7" t="str">
        <f>IF(9&gt;=90,('Testes estatísticos'!$D$95+'Testes estatísticos'!$D$14)/2,"")</f>
        <v/>
      </c>
      <c r="K268" s="7" t="str">
        <f>IF(10&gt;=90,('Testes estatísticos'!$D$95+'Testes estatísticos'!$D$15)/2,"")</f>
        <v/>
      </c>
      <c r="L268" s="7" t="str">
        <f>IF(11&gt;=90,('Testes estatísticos'!$D$95+'Testes estatísticos'!$D$16)/2,"")</f>
        <v/>
      </c>
      <c r="M268" s="7" t="str">
        <f>IF(12&gt;=90,('Testes estatísticos'!$D$95+'Testes estatísticos'!$D$17)/2,"")</f>
        <v/>
      </c>
      <c r="N268" s="7" t="str">
        <f>IF(13&gt;=90,('Testes estatísticos'!$D$95+'Testes estatísticos'!$D$18)/2,"")</f>
        <v/>
      </c>
      <c r="O268" s="7" t="str">
        <f>IF(14&gt;=90,('Testes estatísticos'!$D$95+'Testes estatísticos'!$D$19)/2,"")</f>
        <v/>
      </c>
      <c r="P268" s="7" t="str">
        <f>IF(15&gt;=90,('Testes estatísticos'!$D$95+'Testes estatísticos'!$D$20)/2,"")</f>
        <v/>
      </c>
      <c r="Q268" s="7" t="str">
        <f>IF(16&gt;=90,('Testes estatísticos'!$D$95+'Testes estatísticos'!$D$21)/2,"")</f>
        <v/>
      </c>
      <c r="R268" s="7" t="str">
        <f>IF(17&gt;=90,('Testes estatísticos'!$D$95+'Testes estatísticos'!$D$22)/2,"")</f>
        <v/>
      </c>
      <c r="S268" s="7" t="str">
        <f>IF(18&gt;=90,('Testes estatísticos'!$D$95+'Testes estatísticos'!$D$23)/2,"")</f>
        <v/>
      </c>
      <c r="T268" s="7" t="str">
        <f>IF(19&gt;=90,('Testes estatísticos'!$D$95+'Testes estatísticos'!$D$24)/2,"")</f>
        <v/>
      </c>
      <c r="U268" s="7" t="str">
        <f>IF(20&gt;=90,('Testes estatísticos'!$D$95+'Testes estatísticos'!$D$25)/2,"")</f>
        <v/>
      </c>
      <c r="V268" s="7" t="str">
        <f>IF(21&gt;=90,('Testes estatísticos'!$D$95+'Testes estatísticos'!$D$26)/2,"")</f>
        <v/>
      </c>
      <c r="W268" s="7" t="str">
        <f>IF(22&gt;=90,('Testes estatísticos'!$D$95+'Testes estatísticos'!$D$27)/2,"")</f>
        <v/>
      </c>
      <c r="X268" s="7" t="str">
        <f>IF(23&gt;=90,('Testes estatísticos'!$D$95+'Testes estatísticos'!$D$28)/2,"")</f>
        <v/>
      </c>
      <c r="Y268" s="7" t="str">
        <f>IF(24&gt;=90,('Testes estatísticos'!$D$95+'Testes estatísticos'!$D$29)/2,"")</f>
        <v/>
      </c>
      <c r="Z268" s="7" t="str">
        <f>IF(25&gt;=90,('Testes estatísticos'!$D$95+'Testes estatísticos'!$D$30)/2,"")</f>
        <v/>
      </c>
      <c r="AA268" s="7" t="str">
        <f>IF(26&gt;=90,('Testes estatísticos'!$D$95+'Testes estatísticos'!$D$31)/2,"")</f>
        <v/>
      </c>
      <c r="AB268" s="7" t="str">
        <f>IF(27&gt;=90,('Testes estatísticos'!$D$95+'Testes estatísticos'!$D$32)/2,"")</f>
        <v/>
      </c>
      <c r="AC268" s="7" t="str">
        <f>IF(28&gt;=90,('Testes estatísticos'!$D$95+'Testes estatísticos'!$D$33)/2,"")</f>
        <v/>
      </c>
      <c r="AD268" s="7" t="str">
        <f>IF(29&gt;=90,('Testes estatísticos'!$D$95+'Testes estatísticos'!$D$34)/2,"")</f>
        <v/>
      </c>
      <c r="AE268" s="7" t="str">
        <f>IF(30&gt;=90,('Testes estatísticos'!$D$95+'Testes estatísticos'!$D$35)/2,"")</f>
        <v/>
      </c>
      <c r="AF268" s="7" t="str">
        <f>IF(31&gt;=90,('Testes estatísticos'!$D$95+'Testes estatísticos'!$D$36)/2,"")</f>
        <v/>
      </c>
      <c r="AG268" s="7" t="str">
        <f>IF(32&gt;=90,('Testes estatísticos'!$D$95+'Testes estatísticos'!$D$37)/2,"")</f>
        <v/>
      </c>
      <c r="AH268" s="7" t="str">
        <f>IF(33&gt;=90,('Testes estatísticos'!$D$95+'Testes estatísticos'!$D$38)/2,"")</f>
        <v/>
      </c>
      <c r="AI268" s="7" t="str">
        <f>IF(34&gt;=90,('Testes estatísticos'!$D$95+'Testes estatísticos'!$D$39)/2,"")</f>
        <v/>
      </c>
      <c r="AJ268" s="7" t="str">
        <f>IF(35&gt;=90,('Testes estatísticos'!$D$95+'Testes estatísticos'!$D$40)/2,"")</f>
        <v/>
      </c>
      <c r="AK268" s="7" t="str">
        <f>IF(36&gt;=90,('Testes estatísticos'!$D$95+'Testes estatísticos'!$D$41)/2,"")</f>
        <v/>
      </c>
      <c r="AL268" s="7" t="str">
        <f>IF(37&gt;=90,('Testes estatísticos'!$D$95+'Testes estatísticos'!$D$42)/2,"")</f>
        <v/>
      </c>
      <c r="AM268" s="7" t="str">
        <f>IF(38&gt;=90,('Testes estatísticos'!$D$95+'Testes estatísticos'!$D$43)/2,"")</f>
        <v/>
      </c>
      <c r="AN268" s="7" t="str">
        <f>IF(39&gt;=90,('Testes estatísticos'!$D$95+'Testes estatísticos'!$D$44)/2,"")</f>
        <v/>
      </c>
      <c r="AO268" s="7" t="str">
        <f>IF(40&gt;=90,('Testes estatísticos'!$D$95+'Testes estatísticos'!$D$45)/2,"")</f>
        <v/>
      </c>
      <c r="AP268" s="7" t="str">
        <f>IF(41&gt;=90,('Testes estatísticos'!$D$95+'Testes estatísticos'!$D$46)/2,"")</f>
        <v/>
      </c>
      <c r="AQ268" s="7" t="str">
        <f>IF(42&gt;=90,('Testes estatísticos'!$D$95+'Testes estatísticos'!$D$47)/2,"")</f>
        <v/>
      </c>
      <c r="AR268" s="7" t="str">
        <f>IF(43&gt;=90,('Testes estatísticos'!$D$95+'Testes estatísticos'!$D$48)/2,"")</f>
        <v/>
      </c>
      <c r="AS268" s="7" t="str">
        <f>IF(44&gt;=90,('Testes estatísticos'!$D$95+'Testes estatísticos'!$D$49)/2,"")</f>
        <v/>
      </c>
      <c r="AT268" s="7" t="str">
        <f>IF(45&gt;=90,('Testes estatísticos'!$D$95+'Testes estatísticos'!$D$50)/2,"")</f>
        <v/>
      </c>
      <c r="AU268" s="7" t="str">
        <f>IF(46&gt;=90,('Testes estatísticos'!$D$95+'Testes estatísticos'!$D$51)/2,"")</f>
        <v/>
      </c>
      <c r="AV268" s="7" t="str">
        <f>IF(47&gt;=90,('Testes estatísticos'!$D$95+'Testes estatísticos'!$D$52)/2,"")</f>
        <v/>
      </c>
      <c r="AW268" s="7" t="str">
        <f>IF(48&gt;=90,('Testes estatísticos'!$D$95+'Testes estatísticos'!$D$53)/2,"")</f>
        <v/>
      </c>
      <c r="AX268" s="7" t="str">
        <f>IF(49&gt;=90,('Testes estatísticos'!$D$95+'Testes estatísticos'!$D$54)/2,"")</f>
        <v/>
      </c>
      <c r="AY268" s="7" t="str">
        <f>IF(50&gt;=90,('Testes estatísticos'!$D$95+'Testes estatísticos'!$D$55)/2,"")</f>
        <v/>
      </c>
      <c r="AZ268" s="7" t="str">
        <f>IF(51&gt;=90,('Testes estatísticos'!$D$95+'Testes estatísticos'!$D$56)/2,"")</f>
        <v/>
      </c>
      <c r="BA268" s="7" t="str">
        <f>IF(52&gt;=90,('Testes estatísticos'!$D$95+'Testes estatísticos'!$D$57)/2,"")</f>
        <v/>
      </c>
      <c r="BB268" s="7" t="str">
        <f>IF(53&gt;=90,('Testes estatísticos'!$D$95+'Testes estatísticos'!$D$58)/2,"")</f>
        <v/>
      </c>
      <c r="BC268" s="7" t="str">
        <f>IF(54&gt;=90,('Testes estatísticos'!$D$95+'Testes estatísticos'!$D$59)/2,"")</f>
        <v/>
      </c>
      <c r="BD268" s="7" t="str">
        <f>IF(55&gt;=90,('Testes estatísticos'!$D$95+'Testes estatísticos'!$D$60)/2,"")</f>
        <v/>
      </c>
      <c r="BE268" s="7" t="str">
        <f>IF(56&gt;=90,('Testes estatísticos'!$D$95+'Testes estatísticos'!$D$61)/2,"")</f>
        <v/>
      </c>
      <c r="BF268" s="7" t="str">
        <f>IF(57&gt;=90,('Testes estatísticos'!$D$95+'Testes estatísticos'!$D$62)/2,"")</f>
        <v/>
      </c>
      <c r="BG268" s="7" t="str">
        <f>IF(58&gt;=90,('Testes estatísticos'!$D$95+'Testes estatísticos'!$D$63)/2,"")</f>
        <v/>
      </c>
      <c r="BH268" s="7" t="str">
        <f>IF(59&gt;=90,('Testes estatísticos'!$D$95+'Testes estatísticos'!$D$64)/2,"")</f>
        <v/>
      </c>
      <c r="BI268" s="7" t="str">
        <f>IF(60&gt;=90,('Testes estatísticos'!$D$95+'Testes estatísticos'!$D$65)/2,"")</f>
        <v/>
      </c>
      <c r="BJ268" s="7" t="str">
        <f>IF(61&gt;=90,('Testes estatísticos'!$D$95+'Testes estatísticos'!$D$66)/2,"")</f>
        <v/>
      </c>
      <c r="BK268" s="7" t="str">
        <f>IF(62&gt;=90,('Testes estatísticos'!$D$95+'Testes estatísticos'!$D$67)/2,"")</f>
        <v/>
      </c>
      <c r="BL268" s="7" t="str">
        <f>IF(63&gt;=90,('Testes estatísticos'!$D$95+'Testes estatísticos'!$D$68)/2,"")</f>
        <v/>
      </c>
      <c r="BM268" s="7" t="str">
        <f>IF(64&gt;=90,('Testes estatísticos'!$D$95+'Testes estatísticos'!$D$69)/2,"")</f>
        <v/>
      </c>
      <c r="BN268" s="7" t="str">
        <f>IF(65&gt;=90,('Testes estatísticos'!$D$95+'Testes estatísticos'!$D$70)/2,"")</f>
        <v/>
      </c>
      <c r="BO268" s="7" t="str">
        <f>IF(66&gt;=90,('Testes estatísticos'!$D$95+'Testes estatísticos'!$D$71)/2,"")</f>
        <v/>
      </c>
      <c r="BP268" s="7" t="str">
        <f>IF(67&gt;=90,('Testes estatísticos'!$D$95+'Testes estatísticos'!$D$72)/2,"")</f>
        <v/>
      </c>
      <c r="BQ268" s="7" t="str">
        <f>IF(68&gt;=90,('Testes estatísticos'!$D$95+'Testes estatísticos'!$D$73)/2,"")</f>
        <v/>
      </c>
      <c r="BR268" s="7" t="str">
        <f>IF(69&gt;=90,('Testes estatísticos'!$D$95+'Testes estatísticos'!$D$74)/2,"")</f>
        <v/>
      </c>
      <c r="BS268" s="7" t="str">
        <f>IF(70&gt;=90,('Testes estatísticos'!$D$95+'Testes estatísticos'!$D$75)/2,"")</f>
        <v/>
      </c>
      <c r="BT268" s="7" t="str">
        <f>IF(71&gt;=90,('Testes estatísticos'!$D$95+'Testes estatísticos'!$D$76)/2,"")</f>
        <v/>
      </c>
      <c r="BU268" s="7" t="str">
        <f>IF(72&gt;=90,('Testes estatísticos'!$D$95+'Testes estatísticos'!$D$77)/2,"")</f>
        <v/>
      </c>
      <c r="BV268" s="7" t="str">
        <f>IF(73&gt;=90,('Testes estatísticos'!$D$95+'Testes estatísticos'!$D$78)/2,"")</f>
        <v/>
      </c>
      <c r="BW268" s="7" t="str">
        <f>IF(74&gt;=90,('Testes estatísticos'!$D$95+'Testes estatísticos'!$D$79)/2,"")</f>
        <v/>
      </c>
      <c r="BX268" s="7" t="str">
        <f>IF(75&gt;=90,('Testes estatísticos'!$D$95+'Testes estatísticos'!$D$80)/2,"")</f>
        <v/>
      </c>
      <c r="BY268" s="7" t="str">
        <f>IF(76&gt;=90,('Testes estatísticos'!$D$95+'Testes estatísticos'!$D$81)/2,"")</f>
        <v/>
      </c>
      <c r="BZ268" s="7" t="str">
        <f>IF(77&gt;=90,('Testes estatísticos'!$D$95+'Testes estatísticos'!$D$82)/2,"")</f>
        <v/>
      </c>
      <c r="CA268" s="7" t="str">
        <f>IF(78&gt;=90,('Testes estatísticos'!$D$95+'Testes estatísticos'!$D$83)/2,"")</f>
        <v/>
      </c>
      <c r="CB268" s="7" t="str">
        <f>IF(79&gt;=90,('Testes estatísticos'!$D$95+'Testes estatísticos'!$D$84)/2,"")</f>
        <v/>
      </c>
      <c r="CC268" s="7" t="str">
        <f>IF(80&gt;=90,('Testes estatísticos'!$D$95+'Testes estatísticos'!$D$85)/2,"")</f>
        <v/>
      </c>
      <c r="CD268" s="7" t="str">
        <f>IF(81&gt;=90,('Testes estatísticos'!$D$95+'Testes estatísticos'!$D$86)/2,"")</f>
        <v/>
      </c>
      <c r="CE268" s="7" t="str">
        <f>IF(82&gt;=90,('Testes estatísticos'!$D$95+'Testes estatísticos'!$D$87)/2,"")</f>
        <v/>
      </c>
      <c r="CF268" s="7" t="str">
        <f>IF(83&gt;=90,('Testes estatísticos'!$D$95+'Testes estatísticos'!$D$88)/2,"")</f>
        <v/>
      </c>
      <c r="CG268" s="7" t="str">
        <f>IF(84&gt;=90,('Testes estatísticos'!$D$95+'Testes estatísticos'!$D$89)/2,"")</f>
        <v/>
      </c>
      <c r="CH268" s="7" t="str">
        <f>IF(85&gt;=90,('Testes estatísticos'!$D$95+'Testes estatísticos'!$D$90)/2,"")</f>
        <v/>
      </c>
      <c r="CI268" s="7" t="str">
        <f>IF(86&gt;=90,('Testes estatísticos'!$D$95+'Testes estatísticos'!$D$91)/2,"")</f>
        <v/>
      </c>
      <c r="CJ268" s="7" t="str">
        <f>IF(87&gt;=90,('Testes estatísticos'!$D$95+'Testes estatísticos'!$D$92)/2,"")</f>
        <v/>
      </c>
      <c r="CK268" s="7" t="str">
        <f>IF(88&gt;=90,('Testes estatísticos'!$D$95+'Testes estatísticos'!$D$93)/2,"")</f>
        <v/>
      </c>
      <c r="CL268" s="7" t="str">
        <f>IF(89&gt;=90,('Testes estatísticos'!$D$95+'Testes estatísticos'!$D$94)/2,"")</f>
        <v/>
      </c>
      <c r="CM268" s="7">
        <f>IF(90&gt;=90,('Testes estatísticos'!$D$95+'Testes estatísticos'!$D$95)/2,"")</f>
        <v>-8.4063209999999984</v>
      </c>
      <c r="CN268" s="7">
        <f>IF(91&gt;=90,('Testes estatísticos'!$D$95+'Testes estatísticos'!$D$96)/2,"")</f>
        <v>-5.867797999999997</v>
      </c>
      <c r="CO268" s="7">
        <f>IF(92&gt;=90,('Testes estatísticos'!$D$95+'Testes estatísticos'!$D$97)/2,"")</f>
        <v>-6.2143014999999977</v>
      </c>
      <c r="CP268" s="7">
        <f>IF(93&gt;=90,('Testes estatísticos'!$D$95+'Testes estatísticos'!$D$98)/2,"")</f>
        <v>-6.4190534999999969</v>
      </c>
      <c r="CQ268" s="7">
        <f>IF(94&gt;=90,('Testes estatísticos'!$D$95+'Testes estatísticos'!$D$99)/2,"")</f>
        <v>-4.2378955000000005</v>
      </c>
      <c r="CR268" s="7">
        <f>IF(95&gt;=90,('Testes estatísticos'!$D$95+'Testes estatísticos'!$D$100)/2,"")</f>
        <v>-6.1436884999999997</v>
      </c>
      <c r="CS268" s="7">
        <f>IF(96&gt;=90,('Testes estatísticos'!$D$95+'Testes estatísticos'!$D$101)/2,"")</f>
        <v>-6.0997015000000019</v>
      </c>
      <c r="CT268" s="7">
        <f>IF(97&gt;=90,('Testes estatísticos'!$D$95+'Testes estatísticos'!$D$102)/2,"")</f>
        <v>-5.8666510000000009</v>
      </c>
      <c r="CU268" s="7">
        <f>IF(98&gt;=90,('Testes estatísticos'!$D$95+'Testes estatísticos'!$D$103)/2,"")</f>
        <v>-5.8093249999999976</v>
      </c>
      <c r="CV268" s="7">
        <f>IF(99&gt;=90,('Testes estatísticos'!$D$95+'Testes estatísticos'!$D$104)/2,"")</f>
        <v>-6.2441509999999987</v>
      </c>
      <c r="CW268" s="7">
        <f>IF(100&gt;=90,('Testes estatísticos'!$D$95+'Testes estatísticos'!$D$105)/2,"")</f>
        <v>-6.3436169999999983</v>
      </c>
      <c r="CX268" s="7">
        <f>IF(101&gt;=90,('Testes estatísticos'!$D$95+'Testes estatísticos'!$D$106)/2,"")</f>
        <v>-5.8206904999999978</v>
      </c>
      <c r="CY268" s="7">
        <f>IF(102&gt;=90,('Testes estatísticos'!$D$95+'Testes estatísticos'!$D$107)/2,"")</f>
        <v>-5.876355499999999</v>
      </c>
      <c r="CZ268" s="7">
        <f>IF(103&gt;=90,('Testes estatísticos'!$D$95+'Testes estatísticos'!$D$108)/2,"")</f>
        <v>-6.4005219999999987</v>
      </c>
      <c r="DA268" s="7">
        <f>IF(104&gt;=90,('Testes estatísticos'!$D$95+'Testes estatísticos'!$D$109)/2,"")</f>
        <v>-6.1378879999999967</v>
      </c>
      <c r="DB268" s="7">
        <f>IF(105&gt;=90,('Testes estatísticos'!$D$95+'Testes estatísticos'!$D$110)/2,"")</f>
        <v>-6.1035569999999986</v>
      </c>
      <c r="DC268" s="7">
        <f>IF(106&gt;=90,('Testes estatísticos'!$D$95+'Testes estatísticos'!$D$111)/2,"")</f>
        <v>-5.3606359999999995</v>
      </c>
      <c r="DD268" s="7">
        <f>IF(107&gt;=90,('Testes estatísticos'!$D$95+'Testes estatísticos'!$D$112)/2,"")</f>
        <v>-1.8674649999999993</v>
      </c>
      <c r="DE268" s="7">
        <f>IF(108&gt;=90,('Testes estatísticos'!$D$95+'Testes estatísticos'!$D$113)/2,"")</f>
        <v>-5.2901004999999977</v>
      </c>
      <c r="DF268" s="7">
        <f>IF(109&gt;=90,('Testes estatísticos'!$D$95+'Testes estatísticos'!$D$114)/2,"")</f>
        <v>-5.3263574999999967</v>
      </c>
      <c r="DG268" s="7">
        <f>IF(110&gt;=90,('Testes estatísticos'!$D$95+'Testes estatísticos'!$D$115)/2,"")</f>
        <v>-10.873497</v>
      </c>
      <c r="DH268" s="7">
        <f>IF(111&gt;=90,('Testes estatísticos'!$D$95+'Testes estatísticos'!$D$116)/2,"")</f>
        <v>-5.1926664999999979</v>
      </c>
      <c r="DI268" s="7">
        <f>IF(112&gt;=90,('Testes estatísticos'!$D$95+'Testes estatísticos'!$D$117)/2,"")</f>
        <v>0.23577350000000052</v>
      </c>
      <c r="DJ268" s="7">
        <f>IF(113&gt;=90,('Testes estatísticos'!$D$95+'Testes estatísticos'!$D$118)/2,"")</f>
        <v>-5.2207834999999996</v>
      </c>
      <c r="DK268" s="7">
        <f>IF(114&gt;=90,('Testes estatísticos'!$D$95+'Testes estatísticos'!$D$119)/2,"")</f>
        <v>-5.3225334999999987</v>
      </c>
      <c r="DL268" s="7">
        <f>IF(115&gt;=90,('Testes estatísticos'!$D$95+'Testes estatísticos'!$D$120)/2,"")</f>
        <v>-5.276055999999997</v>
      </c>
      <c r="DM268" s="7">
        <f>IF(116&gt;=90,('Testes estatísticos'!$D$95+'Testes estatísticos'!$D$121)/2,"")</f>
        <v>-5.2674534999999985</v>
      </c>
      <c r="DN268" s="7">
        <f>IF(117&gt;=90,('Testes estatísticos'!$D$95+'Testes estatísticos'!$D$122)/2,"")</f>
        <v>-5.2443854999999999</v>
      </c>
      <c r="DO268" s="7">
        <f>IF(118&gt;=90,('Testes estatísticos'!$D$95+'Testes estatísticos'!$D$123)/2,"")</f>
        <v>-5.1944750000000006</v>
      </c>
      <c r="DP268" s="7">
        <f>IF(119&gt;=90,('Testes estatísticos'!$D$95+'Testes estatísticos'!$D$124)/2,"")</f>
        <v>-5.2156865000000003</v>
      </c>
      <c r="DQ268" s="7">
        <f>IF(120&gt;=90,('Testes estatísticos'!$D$95+'Testes estatísticos'!$D$125)/2,"")</f>
        <v>-2.1640719999999973</v>
      </c>
      <c r="DR268" s="7">
        <f>IF(121&gt;=90,('Testes estatísticos'!$D$95+'Testes estatísticos'!$D$126)/2,"")</f>
        <v>-4.9530884999999998</v>
      </c>
      <c r="DS268" s="7">
        <f>IF(122&gt;=90,('Testes estatísticos'!$D$95+'Testes estatísticos'!$D$127)/2,"")</f>
        <v>-6.0184969999999964</v>
      </c>
      <c r="DT268" s="7">
        <f>IF(123&gt;=90,('Testes estatísticos'!$D$95+'Testes estatísticos'!$D$128)/2,"")</f>
        <v>5.0372499999998155E-2</v>
      </c>
      <c r="DU268" s="7">
        <f>IF(124&gt;=90,('Testes estatísticos'!$D$95+'Testes estatísticos'!$D$129)/2,"")</f>
        <v>-4.8453990000000005</v>
      </c>
      <c r="DV268" s="7">
        <f>IF(125&gt;=90,('Testes estatísticos'!$D$95+'Testes estatísticos'!$D$130)/2,"")</f>
        <v>-3.6870915000000011</v>
      </c>
      <c r="DW268" s="7">
        <f>IF(126&gt;=90,('Testes estatísticos'!$D$95+'Testes estatísticos'!$D$131)/2,"")</f>
        <v>-6.0905674999999988</v>
      </c>
      <c r="DX268" s="7">
        <f>IF(127&gt;=90,('Testes estatísticos'!$D$95+'Testes estatísticos'!$D$132)/2,"")</f>
        <v>-8.1467589999999994</v>
      </c>
      <c r="DY268" s="7">
        <f>IF(128&gt;=90,('Testes estatísticos'!$D$95+'Testes estatísticos'!$D$133)/2,"")</f>
        <v>-8.4878484999999984</v>
      </c>
      <c r="DZ268" s="7">
        <f>IF(129&gt;=90,('Testes estatísticos'!$D$95+'Testes estatísticos'!$D$134)/2,"")</f>
        <v>-11.911638499999999</v>
      </c>
      <c r="EA268" s="7">
        <f>IF(130&gt;=90,('Testes estatísticos'!$D$95+'Testes estatísticos'!$D$135)/2,"")</f>
        <v>-6.1498684999999966</v>
      </c>
      <c r="EB268" s="7">
        <f>IF(131&gt;=90,('Testes estatísticos'!$D$95+'Testes estatísticos'!$D$136)/2,"")</f>
        <v>-6.0619955000000019</v>
      </c>
      <c r="EC268" s="7">
        <f>IF(132&gt;=90,('Testes estatísticos'!$D$95+'Testes estatísticos'!$D$137)/2,"")</f>
        <v>-7.5487320000000011</v>
      </c>
      <c r="ED268" s="7">
        <f>IF(133&gt;=90,('Testes estatísticos'!$D$95+'Testes estatísticos'!$D$138)/2,"")</f>
        <v>-5.3597944999999996</v>
      </c>
      <c r="EE268" s="7">
        <f>IF(134&gt;=90,('Testes estatísticos'!$D$95+'Testes estatísticos'!$D$139)/2,"")</f>
        <v>-7.6569850000000024</v>
      </c>
      <c r="EF268" s="7">
        <f>IF(135&gt;=90,('Testes estatísticos'!$D$95+'Testes estatísticos'!$D$140)/2,"")</f>
        <v>-4.4425524999999979</v>
      </c>
      <c r="EG268" s="7">
        <f>IF(136&gt;=90,('Testes estatísticos'!$D$95+'Testes estatísticos'!$D$141)/2,"")</f>
        <v>-6.1360425000000021</v>
      </c>
      <c r="EH268" s="7">
        <f>IF(137&gt;=90,('Testes estatísticos'!$D$95+'Testes estatísticos'!$D$142)/2,"")</f>
        <v>-4.431302500000001</v>
      </c>
      <c r="EI268" s="7">
        <f>IF(138&gt;=90,('Testes estatísticos'!$D$95+'Testes estatísticos'!$D$143)/2,"")</f>
        <v>-6.0963179999999966</v>
      </c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</row>
    <row r="269" spans="2:151" x14ac:dyDescent="0.3">
      <c r="B269" s="7" t="str">
        <f>IF(1&gt;=91,('Testes estatísticos'!$D$96+'Testes estatísticos'!$D$6)/2,"")</f>
        <v/>
      </c>
      <c r="C269" s="7" t="str">
        <f>IF(2&gt;=91,('Testes estatísticos'!$D$96+'Testes estatísticos'!$D$7)/2,"")</f>
        <v/>
      </c>
      <c r="D269" s="7" t="str">
        <f>IF(3&gt;=91,('Testes estatísticos'!$D$96+'Testes estatísticos'!$D$8)/2,"")</f>
        <v/>
      </c>
      <c r="E269" s="7" t="str">
        <f>IF(4&gt;=91,('Testes estatísticos'!$D$96+'Testes estatísticos'!$D$9)/2,"")</f>
        <v/>
      </c>
      <c r="F269" s="7" t="str">
        <f>IF(5&gt;=91,('Testes estatísticos'!$D$96+'Testes estatísticos'!$D$10)/2,"")</f>
        <v/>
      </c>
      <c r="G269" s="7" t="str">
        <f>IF(6&gt;=91,('Testes estatísticos'!$D$96+'Testes estatísticos'!$D$11)/2,"")</f>
        <v/>
      </c>
      <c r="H269" s="7" t="str">
        <f>IF(7&gt;=91,('Testes estatísticos'!$D$96+'Testes estatísticos'!$D$12)/2,"")</f>
        <v/>
      </c>
      <c r="I269" s="7" t="str">
        <f>IF(8&gt;=91,('Testes estatísticos'!$D$96+'Testes estatísticos'!$D$13)/2,"")</f>
        <v/>
      </c>
      <c r="J269" s="7" t="str">
        <f>IF(9&gt;=91,('Testes estatísticos'!$D$96+'Testes estatísticos'!$D$14)/2,"")</f>
        <v/>
      </c>
      <c r="K269" s="7" t="str">
        <f>IF(10&gt;=91,('Testes estatísticos'!$D$96+'Testes estatísticos'!$D$15)/2,"")</f>
        <v/>
      </c>
      <c r="L269" s="7" t="str">
        <f>IF(11&gt;=91,('Testes estatísticos'!$D$96+'Testes estatísticos'!$D$16)/2,"")</f>
        <v/>
      </c>
      <c r="M269" s="7" t="str">
        <f>IF(12&gt;=91,('Testes estatísticos'!$D$96+'Testes estatísticos'!$D$17)/2,"")</f>
        <v/>
      </c>
      <c r="N269" s="7" t="str">
        <f>IF(13&gt;=91,('Testes estatísticos'!$D$96+'Testes estatísticos'!$D$18)/2,"")</f>
        <v/>
      </c>
      <c r="O269" s="7" t="str">
        <f>IF(14&gt;=91,('Testes estatísticos'!$D$96+'Testes estatísticos'!$D$19)/2,"")</f>
        <v/>
      </c>
      <c r="P269" s="7" t="str">
        <f>IF(15&gt;=91,('Testes estatísticos'!$D$96+'Testes estatísticos'!$D$20)/2,"")</f>
        <v/>
      </c>
      <c r="Q269" s="7" t="str">
        <f>IF(16&gt;=91,('Testes estatísticos'!$D$96+'Testes estatísticos'!$D$21)/2,"")</f>
        <v/>
      </c>
      <c r="R269" s="7" t="str">
        <f>IF(17&gt;=91,('Testes estatísticos'!$D$96+'Testes estatísticos'!$D$22)/2,"")</f>
        <v/>
      </c>
      <c r="S269" s="7" t="str">
        <f>IF(18&gt;=91,('Testes estatísticos'!$D$96+'Testes estatísticos'!$D$23)/2,"")</f>
        <v/>
      </c>
      <c r="T269" s="7" t="str">
        <f>IF(19&gt;=91,('Testes estatísticos'!$D$96+'Testes estatísticos'!$D$24)/2,"")</f>
        <v/>
      </c>
      <c r="U269" s="7" t="str">
        <f>IF(20&gt;=91,('Testes estatísticos'!$D$96+'Testes estatísticos'!$D$25)/2,"")</f>
        <v/>
      </c>
      <c r="V269" s="7" t="str">
        <f>IF(21&gt;=91,('Testes estatísticos'!$D$96+'Testes estatísticos'!$D$26)/2,"")</f>
        <v/>
      </c>
      <c r="W269" s="7" t="str">
        <f>IF(22&gt;=91,('Testes estatísticos'!$D$96+'Testes estatísticos'!$D$27)/2,"")</f>
        <v/>
      </c>
      <c r="X269" s="7" t="str">
        <f>IF(23&gt;=91,('Testes estatísticos'!$D$96+'Testes estatísticos'!$D$28)/2,"")</f>
        <v/>
      </c>
      <c r="Y269" s="7" t="str">
        <f>IF(24&gt;=91,('Testes estatísticos'!$D$96+'Testes estatísticos'!$D$29)/2,"")</f>
        <v/>
      </c>
      <c r="Z269" s="7" t="str">
        <f>IF(25&gt;=91,('Testes estatísticos'!$D$96+'Testes estatísticos'!$D$30)/2,"")</f>
        <v/>
      </c>
      <c r="AA269" s="7" t="str">
        <f>IF(26&gt;=91,('Testes estatísticos'!$D$96+'Testes estatísticos'!$D$31)/2,"")</f>
        <v/>
      </c>
      <c r="AB269" s="7" t="str">
        <f>IF(27&gt;=91,('Testes estatísticos'!$D$96+'Testes estatísticos'!$D$32)/2,"")</f>
        <v/>
      </c>
      <c r="AC269" s="7" t="str">
        <f>IF(28&gt;=91,('Testes estatísticos'!$D$96+'Testes estatísticos'!$D$33)/2,"")</f>
        <v/>
      </c>
      <c r="AD269" s="7" t="str">
        <f>IF(29&gt;=91,('Testes estatísticos'!$D$96+'Testes estatísticos'!$D$34)/2,"")</f>
        <v/>
      </c>
      <c r="AE269" s="7" t="str">
        <f>IF(30&gt;=91,('Testes estatísticos'!$D$96+'Testes estatísticos'!$D$35)/2,"")</f>
        <v/>
      </c>
      <c r="AF269" s="7" t="str">
        <f>IF(31&gt;=91,('Testes estatísticos'!$D$96+'Testes estatísticos'!$D$36)/2,"")</f>
        <v/>
      </c>
      <c r="AG269" s="7" t="str">
        <f>IF(32&gt;=91,('Testes estatísticos'!$D$96+'Testes estatísticos'!$D$37)/2,"")</f>
        <v/>
      </c>
      <c r="AH269" s="7" t="str">
        <f>IF(33&gt;=91,('Testes estatísticos'!$D$96+'Testes estatísticos'!$D$38)/2,"")</f>
        <v/>
      </c>
      <c r="AI269" s="7" t="str">
        <f>IF(34&gt;=91,('Testes estatísticos'!$D$96+'Testes estatísticos'!$D$39)/2,"")</f>
        <v/>
      </c>
      <c r="AJ269" s="7" t="str">
        <f>IF(35&gt;=91,('Testes estatísticos'!$D$96+'Testes estatísticos'!$D$40)/2,"")</f>
        <v/>
      </c>
      <c r="AK269" s="7" t="str">
        <f>IF(36&gt;=91,('Testes estatísticos'!$D$96+'Testes estatísticos'!$D$41)/2,"")</f>
        <v/>
      </c>
      <c r="AL269" s="7" t="str">
        <f>IF(37&gt;=91,('Testes estatísticos'!$D$96+'Testes estatísticos'!$D$42)/2,"")</f>
        <v/>
      </c>
      <c r="AM269" s="7" t="str">
        <f>IF(38&gt;=91,('Testes estatísticos'!$D$96+'Testes estatísticos'!$D$43)/2,"")</f>
        <v/>
      </c>
      <c r="AN269" s="7" t="str">
        <f>IF(39&gt;=91,('Testes estatísticos'!$D$96+'Testes estatísticos'!$D$44)/2,"")</f>
        <v/>
      </c>
      <c r="AO269" s="7" t="str">
        <f>IF(40&gt;=91,('Testes estatísticos'!$D$96+'Testes estatísticos'!$D$45)/2,"")</f>
        <v/>
      </c>
      <c r="AP269" s="7" t="str">
        <f>IF(41&gt;=91,('Testes estatísticos'!$D$96+'Testes estatísticos'!$D$46)/2,"")</f>
        <v/>
      </c>
      <c r="AQ269" s="7" t="str">
        <f>IF(42&gt;=91,('Testes estatísticos'!$D$96+'Testes estatísticos'!$D$47)/2,"")</f>
        <v/>
      </c>
      <c r="AR269" s="7" t="str">
        <f>IF(43&gt;=91,('Testes estatísticos'!$D$96+'Testes estatísticos'!$D$48)/2,"")</f>
        <v/>
      </c>
      <c r="AS269" s="7" t="str">
        <f>IF(44&gt;=91,('Testes estatísticos'!$D$96+'Testes estatísticos'!$D$49)/2,"")</f>
        <v/>
      </c>
      <c r="AT269" s="7" t="str">
        <f>IF(45&gt;=91,('Testes estatísticos'!$D$96+'Testes estatísticos'!$D$50)/2,"")</f>
        <v/>
      </c>
      <c r="AU269" s="7" t="str">
        <f>IF(46&gt;=91,('Testes estatísticos'!$D$96+'Testes estatísticos'!$D$51)/2,"")</f>
        <v/>
      </c>
      <c r="AV269" s="7" t="str">
        <f>IF(47&gt;=91,('Testes estatísticos'!$D$96+'Testes estatísticos'!$D$52)/2,"")</f>
        <v/>
      </c>
      <c r="AW269" s="7" t="str">
        <f>IF(48&gt;=91,('Testes estatísticos'!$D$96+'Testes estatísticos'!$D$53)/2,"")</f>
        <v/>
      </c>
      <c r="AX269" s="7" t="str">
        <f>IF(49&gt;=91,('Testes estatísticos'!$D$96+'Testes estatísticos'!$D$54)/2,"")</f>
        <v/>
      </c>
      <c r="AY269" s="7" t="str">
        <f>IF(50&gt;=91,('Testes estatísticos'!$D$96+'Testes estatísticos'!$D$55)/2,"")</f>
        <v/>
      </c>
      <c r="AZ269" s="7" t="str">
        <f>IF(51&gt;=91,('Testes estatísticos'!$D$96+'Testes estatísticos'!$D$56)/2,"")</f>
        <v/>
      </c>
      <c r="BA269" s="7" t="str">
        <f>IF(52&gt;=91,('Testes estatísticos'!$D$96+'Testes estatísticos'!$D$57)/2,"")</f>
        <v/>
      </c>
      <c r="BB269" s="7" t="str">
        <f>IF(53&gt;=91,('Testes estatísticos'!$D$96+'Testes estatísticos'!$D$58)/2,"")</f>
        <v/>
      </c>
      <c r="BC269" s="7" t="str">
        <f>IF(54&gt;=91,('Testes estatísticos'!$D$96+'Testes estatísticos'!$D$59)/2,"")</f>
        <v/>
      </c>
      <c r="BD269" s="7" t="str">
        <f>IF(55&gt;=91,('Testes estatísticos'!$D$96+'Testes estatísticos'!$D$60)/2,"")</f>
        <v/>
      </c>
      <c r="BE269" s="7" t="str">
        <f>IF(56&gt;=91,('Testes estatísticos'!$D$96+'Testes estatísticos'!$D$61)/2,"")</f>
        <v/>
      </c>
      <c r="BF269" s="7" t="str">
        <f>IF(57&gt;=91,('Testes estatísticos'!$D$96+'Testes estatísticos'!$D$62)/2,"")</f>
        <v/>
      </c>
      <c r="BG269" s="7" t="str">
        <f>IF(58&gt;=91,('Testes estatísticos'!$D$96+'Testes estatísticos'!$D$63)/2,"")</f>
        <v/>
      </c>
      <c r="BH269" s="7" t="str">
        <f>IF(59&gt;=91,('Testes estatísticos'!$D$96+'Testes estatísticos'!$D$64)/2,"")</f>
        <v/>
      </c>
      <c r="BI269" s="7" t="str">
        <f>IF(60&gt;=91,('Testes estatísticos'!$D$96+'Testes estatísticos'!$D$65)/2,"")</f>
        <v/>
      </c>
      <c r="BJ269" s="7" t="str">
        <f>IF(61&gt;=91,('Testes estatísticos'!$D$96+'Testes estatísticos'!$D$66)/2,"")</f>
        <v/>
      </c>
      <c r="BK269" s="7" t="str">
        <f>IF(62&gt;=91,('Testes estatísticos'!$D$96+'Testes estatísticos'!$D$67)/2,"")</f>
        <v/>
      </c>
      <c r="BL269" s="7" t="str">
        <f>IF(63&gt;=91,('Testes estatísticos'!$D$96+'Testes estatísticos'!$D$68)/2,"")</f>
        <v/>
      </c>
      <c r="BM269" s="7" t="str">
        <f>IF(64&gt;=91,('Testes estatísticos'!$D$96+'Testes estatísticos'!$D$69)/2,"")</f>
        <v/>
      </c>
      <c r="BN269" s="7" t="str">
        <f>IF(65&gt;=91,('Testes estatísticos'!$D$96+'Testes estatísticos'!$D$70)/2,"")</f>
        <v/>
      </c>
      <c r="BO269" s="7" t="str">
        <f>IF(66&gt;=91,('Testes estatísticos'!$D$96+'Testes estatísticos'!$D$71)/2,"")</f>
        <v/>
      </c>
      <c r="BP269" s="7" t="str">
        <f>IF(67&gt;=91,('Testes estatísticos'!$D$96+'Testes estatísticos'!$D$72)/2,"")</f>
        <v/>
      </c>
      <c r="BQ269" s="7" t="str">
        <f>IF(68&gt;=91,('Testes estatísticos'!$D$96+'Testes estatísticos'!$D$73)/2,"")</f>
        <v/>
      </c>
      <c r="BR269" s="7" t="str">
        <f>IF(69&gt;=91,('Testes estatísticos'!$D$96+'Testes estatísticos'!$D$74)/2,"")</f>
        <v/>
      </c>
      <c r="BS269" s="7" t="str">
        <f>IF(70&gt;=91,('Testes estatísticos'!$D$96+'Testes estatísticos'!$D$75)/2,"")</f>
        <v/>
      </c>
      <c r="BT269" s="7" t="str">
        <f>IF(71&gt;=91,('Testes estatísticos'!$D$96+'Testes estatísticos'!$D$76)/2,"")</f>
        <v/>
      </c>
      <c r="BU269" s="7" t="str">
        <f>IF(72&gt;=91,('Testes estatísticos'!$D$96+'Testes estatísticos'!$D$77)/2,"")</f>
        <v/>
      </c>
      <c r="BV269" s="7" t="str">
        <f>IF(73&gt;=91,('Testes estatísticos'!$D$96+'Testes estatísticos'!$D$78)/2,"")</f>
        <v/>
      </c>
      <c r="BW269" s="7" t="str">
        <f>IF(74&gt;=91,('Testes estatísticos'!$D$96+'Testes estatísticos'!$D$79)/2,"")</f>
        <v/>
      </c>
      <c r="BX269" s="7" t="str">
        <f>IF(75&gt;=91,('Testes estatísticos'!$D$96+'Testes estatísticos'!$D$80)/2,"")</f>
        <v/>
      </c>
      <c r="BY269" s="7" t="str">
        <f>IF(76&gt;=91,('Testes estatísticos'!$D$96+'Testes estatísticos'!$D$81)/2,"")</f>
        <v/>
      </c>
      <c r="BZ269" s="7" t="str">
        <f>IF(77&gt;=91,('Testes estatísticos'!$D$96+'Testes estatísticos'!$D$82)/2,"")</f>
        <v/>
      </c>
      <c r="CA269" s="7" t="str">
        <f>IF(78&gt;=91,('Testes estatísticos'!$D$96+'Testes estatísticos'!$D$83)/2,"")</f>
        <v/>
      </c>
      <c r="CB269" s="7" t="str">
        <f>IF(79&gt;=91,('Testes estatísticos'!$D$96+'Testes estatísticos'!$D$84)/2,"")</f>
        <v/>
      </c>
      <c r="CC269" s="7" t="str">
        <f>IF(80&gt;=91,('Testes estatísticos'!$D$96+'Testes estatísticos'!$D$85)/2,"")</f>
        <v/>
      </c>
      <c r="CD269" s="7" t="str">
        <f>IF(81&gt;=91,('Testes estatísticos'!$D$96+'Testes estatísticos'!$D$86)/2,"")</f>
        <v/>
      </c>
      <c r="CE269" s="7" t="str">
        <f>IF(82&gt;=91,('Testes estatísticos'!$D$96+'Testes estatísticos'!$D$87)/2,"")</f>
        <v/>
      </c>
      <c r="CF269" s="7" t="str">
        <f>IF(83&gt;=91,('Testes estatísticos'!$D$96+'Testes estatísticos'!$D$88)/2,"")</f>
        <v/>
      </c>
      <c r="CG269" s="7" t="str">
        <f>IF(84&gt;=91,('Testes estatísticos'!$D$96+'Testes estatísticos'!$D$89)/2,"")</f>
        <v/>
      </c>
      <c r="CH269" s="7" t="str">
        <f>IF(85&gt;=91,('Testes estatísticos'!$D$96+'Testes estatísticos'!$D$90)/2,"")</f>
        <v/>
      </c>
      <c r="CI269" s="7" t="str">
        <f>IF(86&gt;=91,('Testes estatísticos'!$D$96+'Testes estatísticos'!$D$91)/2,"")</f>
        <v/>
      </c>
      <c r="CJ269" s="7" t="str">
        <f>IF(87&gt;=91,('Testes estatísticos'!$D$96+'Testes estatísticos'!$D$92)/2,"")</f>
        <v/>
      </c>
      <c r="CK269" s="7" t="str">
        <f>IF(88&gt;=91,('Testes estatísticos'!$D$96+'Testes estatísticos'!$D$93)/2,"")</f>
        <v/>
      </c>
      <c r="CL269" s="7" t="str">
        <f>IF(89&gt;=91,('Testes estatísticos'!$D$96+'Testes estatísticos'!$D$94)/2,"")</f>
        <v/>
      </c>
      <c r="CM269" s="7" t="str">
        <f>IF(90&gt;=91,('Testes estatísticos'!$D$96+'Testes estatísticos'!$D$95)/2,"")</f>
        <v/>
      </c>
      <c r="CN269" s="7">
        <f>IF(91&gt;=91,('Testes estatísticos'!$D$96+'Testes estatísticos'!$D$96)/2,"")</f>
        <v>-3.3292749999999955</v>
      </c>
      <c r="CO269" s="7">
        <f>IF(92&gt;=91,('Testes estatísticos'!$D$96+'Testes estatísticos'!$D$97)/2,"")</f>
        <v>-3.6757784999999963</v>
      </c>
      <c r="CP269" s="7">
        <f>IF(93&gt;=91,('Testes estatísticos'!$D$96+'Testes estatísticos'!$D$98)/2,"")</f>
        <v>-3.8805304999999954</v>
      </c>
      <c r="CQ269" s="7">
        <f>IF(94&gt;=91,('Testes estatísticos'!$D$96+'Testes estatísticos'!$D$99)/2,"")</f>
        <v>-1.6993724999999991</v>
      </c>
      <c r="CR269" s="7">
        <f>IF(95&gt;=91,('Testes estatísticos'!$D$96+'Testes estatísticos'!$D$100)/2,"")</f>
        <v>-3.6051654999999982</v>
      </c>
      <c r="CS269" s="7">
        <f>IF(96&gt;=91,('Testes estatísticos'!$D$96+'Testes estatísticos'!$D$101)/2,"")</f>
        <v>-3.5611785000000005</v>
      </c>
      <c r="CT269" s="7">
        <f>IF(97&gt;=91,('Testes estatísticos'!$D$96+'Testes estatísticos'!$D$102)/2,"")</f>
        <v>-3.3281279999999995</v>
      </c>
      <c r="CU269" s="7">
        <f>IF(98&gt;=91,('Testes estatísticos'!$D$96+'Testes estatísticos'!$D$103)/2,"")</f>
        <v>-3.2708019999999962</v>
      </c>
      <c r="CV269" s="7">
        <f>IF(99&gt;=91,('Testes estatísticos'!$D$96+'Testes estatísticos'!$D$104)/2,"")</f>
        <v>-3.7056279999999973</v>
      </c>
      <c r="CW269" s="7">
        <f>IF(100&gt;=91,('Testes estatísticos'!$D$96+'Testes estatísticos'!$D$105)/2,"")</f>
        <v>-3.8050939999999969</v>
      </c>
      <c r="CX269" s="7">
        <f>IF(101&gt;=91,('Testes estatísticos'!$D$96+'Testes estatísticos'!$D$106)/2,"")</f>
        <v>-3.2821674999999964</v>
      </c>
      <c r="CY269" s="7">
        <f>IF(102&gt;=91,('Testes estatísticos'!$D$96+'Testes estatísticos'!$D$107)/2,"")</f>
        <v>-3.3378324999999975</v>
      </c>
      <c r="CZ269" s="7">
        <f>IF(103&gt;=91,('Testes estatísticos'!$D$96+'Testes estatísticos'!$D$108)/2,"")</f>
        <v>-3.8619989999999973</v>
      </c>
      <c r="DA269" s="7">
        <f>IF(104&gt;=91,('Testes estatísticos'!$D$96+'Testes estatísticos'!$D$109)/2,"")</f>
        <v>-3.5993649999999953</v>
      </c>
      <c r="DB269" s="7">
        <f>IF(105&gt;=91,('Testes estatísticos'!$D$96+'Testes estatísticos'!$D$110)/2,"")</f>
        <v>-3.5650339999999971</v>
      </c>
      <c r="DC269" s="7">
        <f>IF(106&gt;=91,('Testes estatísticos'!$D$96+'Testes estatísticos'!$D$111)/2,"")</f>
        <v>-2.8221129999999981</v>
      </c>
      <c r="DD269" s="7">
        <f>IF(107&gt;=91,('Testes estatísticos'!$D$96+'Testes estatísticos'!$D$112)/2,"")</f>
        <v>0.67105800000000215</v>
      </c>
      <c r="DE269" s="7">
        <f>IF(108&gt;=91,('Testes estatísticos'!$D$96+'Testes estatísticos'!$D$113)/2,"")</f>
        <v>-2.7515774999999962</v>
      </c>
      <c r="DF269" s="7">
        <f>IF(109&gt;=91,('Testes estatísticos'!$D$96+'Testes estatísticos'!$D$114)/2,"")</f>
        <v>-2.7878344999999953</v>
      </c>
      <c r="DG269" s="7">
        <f>IF(110&gt;=91,('Testes estatísticos'!$D$96+'Testes estatísticos'!$D$115)/2,"")</f>
        <v>-8.334973999999999</v>
      </c>
      <c r="DH269" s="7">
        <f>IF(111&gt;=91,('Testes estatísticos'!$D$96+'Testes estatísticos'!$D$116)/2,"")</f>
        <v>-2.6541434999999964</v>
      </c>
      <c r="DI269" s="7">
        <f>IF(112&gt;=91,('Testes estatísticos'!$D$96+'Testes estatísticos'!$D$117)/2,"")</f>
        <v>2.7742965000000019</v>
      </c>
      <c r="DJ269" s="7">
        <f>IF(113&gt;=91,('Testes estatísticos'!$D$96+'Testes estatísticos'!$D$118)/2,"")</f>
        <v>-2.6822604999999982</v>
      </c>
      <c r="DK269" s="7">
        <f>IF(114&gt;=91,('Testes estatísticos'!$D$96+'Testes estatísticos'!$D$119)/2,"")</f>
        <v>-2.7840104999999973</v>
      </c>
      <c r="DL269" s="7">
        <f>IF(115&gt;=91,('Testes estatísticos'!$D$96+'Testes estatísticos'!$D$120)/2,"")</f>
        <v>-2.7375329999999956</v>
      </c>
      <c r="DM269" s="7">
        <f>IF(116&gt;=91,('Testes estatísticos'!$D$96+'Testes estatísticos'!$D$121)/2,"")</f>
        <v>-2.728930499999997</v>
      </c>
      <c r="DN269" s="7">
        <f>IF(117&gt;=91,('Testes estatísticos'!$D$96+'Testes estatísticos'!$D$122)/2,"")</f>
        <v>-2.7058624999999985</v>
      </c>
      <c r="DO269" s="7">
        <f>IF(118&gt;=91,('Testes estatísticos'!$D$96+'Testes estatísticos'!$D$123)/2,"")</f>
        <v>-2.6559519999999992</v>
      </c>
      <c r="DP269" s="7">
        <f>IF(119&gt;=91,('Testes estatísticos'!$D$96+'Testes estatísticos'!$D$124)/2,"")</f>
        <v>-2.6771634999999989</v>
      </c>
      <c r="DQ269" s="7">
        <f>IF(120&gt;=91,('Testes estatísticos'!$D$96+'Testes estatísticos'!$D$125)/2,"")</f>
        <v>0.37445100000000409</v>
      </c>
      <c r="DR269" s="7">
        <f>IF(121&gt;=91,('Testes estatísticos'!$D$96+'Testes estatísticos'!$D$126)/2,"")</f>
        <v>-2.4145654999999984</v>
      </c>
      <c r="DS269" s="7">
        <f>IF(122&gt;=91,('Testes estatísticos'!$D$96+'Testes estatísticos'!$D$127)/2,"")</f>
        <v>-3.479973999999995</v>
      </c>
      <c r="DT269" s="7">
        <f>IF(123&gt;=91,('Testes estatísticos'!$D$96+'Testes estatísticos'!$D$128)/2,"")</f>
        <v>2.5888954999999996</v>
      </c>
      <c r="DU269" s="7">
        <f>IF(124&gt;=91,('Testes estatísticos'!$D$96+'Testes estatísticos'!$D$129)/2,"")</f>
        <v>-2.306875999999999</v>
      </c>
      <c r="DV269" s="7">
        <f>IF(125&gt;=91,('Testes estatísticos'!$D$96+'Testes estatísticos'!$D$130)/2,"")</f>
        <v>-1.1485684999999997</v>
      </c>
      <c r="DW269" s="7">
        <f>IF(126&gt;=91,('Testes estatísticos'!$D$96+'Testes estatísticos'!$D$131)/2,"")</f>
        <v>-3.5520444999999974</v>
      </c>
      <c r="DX269" s="7">
        <f>IF(127&gt;=91,('Testes estatísticos'!$D$96+'Testes estatísticos'!$D$132)/2,"")</f>
        <v>-5.608235999999998</v>
      </c>
      <c r="DY269" s="7">
        <f>IF(128&gt;=91,('Testes estatísticos'!$D$96+'Testes estatísticos'!$D$133)/2,"")</f>
        <v>-5.9493254999999969</v>
      </c>
      <c r="DZ269" s="7">
        <f>IF(129&gt;=91,('Testes estatísticos'!$D$96+'Testes estatísticos'!$D$134)/2,"")</f>
        <v>-9.3731154999999973</v>
      </c>
      <c r="EA269" s="7">
        <f>IF(130&gt;=91,('Testes estatísticos'!$D$96+'Testes estatísticos'!$D$135)/2,"")</f>
        <v>-3.6113454999999952</v>
      </c>
      <c r="EB269" s="7">
        <f>IF(131&gt;=91,('Testes estatísticos'!$D$96+'Testes estatísticos'!$D$136)/2,"")</f>
        <v>-3.5234725000000005</v>
      </c>
      <c r="EC269" s="7">
        <f>IF(132&gt;=91,('Testes estatísticos'!$D$96+'Testes estatísticos'!$D$137)/2,"")</f>
        <v>-5.0102089999999997</v>
      </c>
      <c r="ED269" s="7">
        <f>IF(133&gt;=91,('Testes estatísticos'!$D$96+'Testes estatísticos'!$D$138)/2,"")</f>
        <v>-2.8212714999999982</v>
      </c>
      <c r="EE269" s="7">
        <f>IF(134&gt;=91,('Testes estatísticos'!$D$96+'Testes estatísticos'!$D$139)/2,"")</f>
        <v>-5.118462000000001</v>
      </c>
      <c r="EF269" s="7">
        <f>IF(135&gt;=91,('Testes estatísticos'!$D$96+'Testes estatísticos'!$D$140)/2,"")</f>
        <v>-1.9040294999999965</v>
      </c>
      <c r="EG269" s="7">
        <f>IF(136&gt;=91,('Testes estatísticos'!$D$96+'Testes estatísticos'!$D$141)/2,"")</f>
        <v>-3.5975195000000006</v>
      </c>
      <c r="EH269" s="7">
        <f>IF(137&gt;=91,('Testes estatísticos'!$D$96+'Testes estatísticos'!$D$142)/2,"")</f>
        <v>-1.8927794999999996</v>
      </c>
      <c r="EI269" s="7">
        <f>IF(138&gt;=91,('Testes estatísticos'!$D$96+'Testes estatísticos'!$D$143)/2,"")</f>
        <v>-3.5577949999999952</v>
      </c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</row>
    <row r="270" spans="2:151" x14ac:dyDescent="0.3">
      <c r="B270" s="7" t="str">
        <f>IF(1&gt;=92,('Testes estatísticos'!$D$97+'Testes estatísticos'!$D$6)/2,"")</f>
        <v/>
      </c>
      <c r="C270" s="7" t="str">
        <f>IF(2&gt;=92,('Testes estatísticos'!$D$97+'Testes estatísticos'!$D$7)/2,"")</f>
        <v/>
      </c>
      <c r="D270" s="7" t="str">
        <f>IF(3&gt;=92,('Testes estatísticos'!$D$97+'Testes estatísticos'!$D$8)/2,"")</f>
        <v/>
      </c>
      <c r="E270" s="7" t="str">
        <f>IF(4&gt;=92,('Testes estatísticos'!$D$97+'Testes estatísticos'!$D$9)/2,"")</f>
        <v/>
      </c>
      <c r="F270" s="7" t="str">
        <f>IF(5&gt;=92,('Testes estatísticos'!$D$97+'Testes estatísticos'!$D$10)/2,"")</f>
        <v/>
      </c>
      <c r="G270" s="7" t="str">
        <f>IF(6&gt;=92,('Testes estatísticos'!$D$97+'Testes estatísticos'!$D$11)/2,"")</f>
        <v/>
      </c>
      <c r="H270" s="7" t="str">
        <f>IF(7&gt;=92,('Testes estatísticos'!$D$97+'Testes estatísticos'!$D$12)/2,"")</f>
        <v/>
      </c>
      <c r="I270" s="7" t="str">
        <f>IF(8&gt;=92,('Testes estatísticos'!$D$97+'Testes estatísticos'!$D$13)/2,"")</f>
        <v/>
      </c>
      <c r="J270" s="7" t="str">
        <f>IF(9&gt;=92,('Testes estatísticos'!$D$97+'Testes estatísticos'!$D$14)/2,"")</f>
        <v/>
      </c>
      <c r="K270" s="7" t="str">
        <f>IF(10&gt;=92,('Testes estatísticos'!$D$97+'Testes estatísticos'!$D$15)/2,"")</f>
        <v/>
      </c>
      <c r="L270" s="7" t="str">
        <f>IF(11&gt;=92,('Testes estatísticos'!$D$97+'Testes estatísticos'!$D$16)/2,"")</f>
        <v/>
      </c>
      <c r="M270" s="7" t="str">
        <f>IF(12&gt;=92,('Testes estatísticos'!$D$97+'Testes estatísticos'!$D$17)/2,"")</f>
        <v/>
      </c>
      <c r="N270" s="7" t="str">
        <f>IF(13&gt;=92,('Testes estatísticos'!$D$97+'Testes estatísticos'!$D$18)/2,"")</f>
        <v/>
      </c>
      <c r="O270" s="7" t="str">
        <f>IF(14&gt;=92,('Testes estatísticos'!$D$97+'Testes estatísticos'!$D$19)/2,"")</f>
        <v/>
      </c>
      <c r="P270" s="7" t="str">
        <f>IF(15&gt;=92,('Testes estatísticos'!$D$97+'Testes estatísticos'!$D$20)/2,"")</f>
        <v/>
      </c>
      <c r="Q270" s="7" t="str">
        <f>IF(16&gt;=92,('Testes estatísticos'!$D$97+'Testes estatísticos'!$D$21)/2,"")</f>
        <v/>
      </c>
      <c r="R270" s="7" t="str">
        <f>IF(17&gt;=92,('Testes estatísticos'!$D$97+'Testes estatísticos'!$D$22)/2,"")</f>
        <v/>
      </c>
      <c r="S270" s="7" t="str">
        <f>IF(18&gt;=92,('Testes estatísticos'!$D$97+'Testes estatísticos'!$D$23)/2,"")</f>
        <v/>
      </c>
      <c r="T270" s="7" t="str">
        <f>IF(19&gt;=92,('Testes estatísticos'!$D$97+'Testes estatísticos'!$D$24)/2,"")</f>
        <v/>
      </c>
      <c r="U270" s="7" t="str">
        <f>IF(20&gt;=92,('Testes estatísticos'!$D$97+'Testes estatísticos'!$D$25)/2,"")</f>
        <v/>
      </c>
      <c r="V270" s="7" t="str">
        <f>IF(21&gt;=92,('Testes estatísticos'!$D$97+'Testes estatísticos'!$D$26)/2,"")</f>
        <v/>
      </c>
      <c r="W270" s="7" t="str">
        <f>IF(22&gt;=92,('Testes estatísticos'!$D$97+'Testes estatísticos'!$D$27)/2,"")</f>
        <v/>
      </c>
      <c r="X270" s="7" t="str">
        <f>IF(23&gt;=92,('Testes estatísticos'!$D$97+'Testes estatísticos'!$D$28)/2,"")</f>
        <v/>
      </c>
      <c r="Y270" s="7" t="str">
        <f>IF(24&gt;=92,('Testes estatísticos'!$D$97+'Testes estatísticos'!$D$29)/2,"")</f>
        <v/>
      </c>
      <c r="Z270" s="7" t="str">
        <f>IF(25&gt;=92,('Testes estatísticos'!$D$97+'Testes estatísticos'!$D$30)/2,"")</f>
        <v/>
      </c>
      <c r="AA270" s="7" t="str">
        <f>IF(26&gt;=92,('Testes estatísticos'!$D$97+'Testes estatísticos'!$D$31)/2,"")</f>
        <v/>
      </c>
      <c r="AB270" s="7" t="str">
        <f>IF(27&gt;=92,('Testes estatísticos'!$D$97+'Testes estatísticos'!$D$32)/2,"")</f>
        <v/>
      </c>
      <c r="AC270" s="7" t="str">
        <f>IF(28&gt;=92,('Testes estatísticos'!$D$97+'Testes estatísticos'!$D$33)/2,"")</f>
        <v/>
      </c>
      <c r="AD270" s="7" t="str">
        <f>IF(29&gt;=92,('Testes estatísticos'!$D$97+'Testes estatísticos'!$D$34)/2,"")</f>
        <v/>
      </c>
      <c r="AE270" s="7" t="str">
        <f>IF(30&gt;=92,('Testes estatísticos'!$D$97+'Testes estatísticos'!$D$35)/2,"")</f>
        <v/>
      </c>
      <c r="AF270" s="7" t="str">
        <f>IF(31&gt;=92,('Testes estatísticos'!$D$97+'Testes estatísticos'!$D$36)/2,"")</f>
        <v/>
      </c>
      <c r="AG270" s="7" t="str">
        <f>IF(32&gt;=92,('Testes estatísticos'!$D$97+'Testes estatísticos'!$D$37)/2,"")</f>
        <v/>
      </c>
      <c r="AH270" s="7" t="str">
        <f>IF(33&gt;=92,('Testes estatísticos'!$D$97+'Testes estatísticos'!$D$38)/2,"")</f>
        <v/>
      </c>
      <c r="AI270" s="7" t="str">
        <f>IF(34&gt;=92,('Testes estatísticos'!$D$97+'Testes estatísticos'!$D$39)/2,"")</f>
        <v/>
      </c>
      <c r="AJ270" s="7" t="str">
        <f>IF(35&gt;=92,('Testes estatísticos'!$D$97+'Testes estatísticos'!$D$40)/2,"")</f>
        <v/>
      </c>
      <c r="AK270" s="7" t="str">
        <f>IF(36&gt;=92,('Testes estatísticos'!$D$97+'Testes estatísticos'!$D$41)/2,"")</f>
        <v/>
      </c>
      <c r="AL270" s="7" t="str">
        <f>IF(37&gt;=92,('Testes estatísticos'!$D$97+'Testes estatísticos'!$D$42)/2,"")</f>
        <v/>
      </c>
      <c r="AM270" s="7" t="str">
        <f>IF(38&gt;=92,('Testes estatísticos'!$D$97+'Testes estatísticos'!$D$43)/2,"")</f>
        <v/>
      </c>
      <c r="AN270" s="7" t="str">
        <f>IF(39&gt;=92,('Testes estatísticos'!$D$97+'Testes estatísticos'!$D$44)/2,"")</f>
        <v/>
      </c>
      <c r="AO270" s="7" t="str">
        <f>IF(40&gt;=92,('Testes estatísticos'!$D$97+'Testes estatísticos'!$D$45)/2,"")</f>
        <v/>
      </c>
      <c r="AP270" s="7" t="str">
        <f>IF(41&gt;=92,('Testes estatísticos'!$D$97+'Testes estatísticos'!$D$46)/2,"")</f>
        <v/>
      </c>
      <c r="AQ270" s="7" t="str">
        <f>IF(42&gt;=92,('Testes estatísticos'!$D$97+'Testes estatísticos'!$D$47)/2,"")</f>
        <v/>
      </c>
      <c r="AR270" s="7" t="str">
        <f>IF(43&gt;=92,('Testes estatísticos'!$D$97+'Testes estatísticos'!$D$48)/2,"")</f>
        <v/>
      </c>
      <c r="AS270" s="7" t="str">
        <f>IF(44&gt;=92,('Testes estatísticos'!$D$97+'Testes estatísticos'!$D$49)/2,"")</f>
        <v/>
      </c>
      <c r="AT270" s="7" t="str">
        <f>IF(45&gt;=92,('Testes estatísticos'!$D$97+'Testes estatísticos'!$D$50)/2,"")</f>
        <v/>
      </c>
      <c r="AU270" s="7" t="str">
        <f>IF(46&gt;=92,('Testes estatísticos'!$D$97+'Testes estatísticos'!$D$51)/2,"")</f>
        <v/>
      </c>
      <c r="AV270" s="7" t="str">
        <f>IF(47&gt;=92,('Testes estatísticos'!$D$97+'Testes estatísticos'!$D$52)/2,"")</f>
        <v/>
      </c>
      <c r="AW270" s="7" t="str">
        <f>IF(48&gt;=92,('Testes estatísticos'!$D$97+'Testes estatísticos'!$D$53)/2,"")</f>
        <v/>
      </c>
      <c r="AX270" s="7" t="str">
        <f>IF(49&gt;=92,('Testes estatísticos'!$D$97+'Testes estatísticos'!$D$54)/2,"")</f>
        <v/>
      </c>
      <c r="AY270" s="7" t="str">
        <f>IF(50&gt;=92,('Testes estatísticos'!$D$97+'Testes estatísticos'!$D$55)/2,"")</f>
        <v/>
      </c>
      <c r="AZ270" s="7" t="str">
        <f>IF(51&gt;=92,('Testes estatísticos'!$D$97+'Testes estatísticos'!$D$56)/2,"")</f>
        <v/>
      </c>
      <c r="BA270" s="7" t="str">
        <f>IF(52&gt;=92,('Testes estatísticos'!$D$97+'Testes estatísticos'!$D$57)/2,"")</f>
        <v/>
      </c>
      <c r="BB270" s="7" t="str">
        <f>IF(53&gt;=92,('Testes estatísticos'!$D$97+'Testes estatísticos'!$D$58)/2,"")</f>
        <v/>
      </c>
      <c r="BC270" s="7" t="str">
        <f>IF(54&gt;=92,('Testes estatísticos'!$D$97+'Testes estatísticos'!$D$59)/2,"")</f>
        <v/>
      </c>
      <c r="BD270" s="7" t="str">
        <f>IF(55&gt;=92,('Testes estatísticos'!$D$97+'Testes estatísticos'!$D$60)/2,"")</f>
        <v/>
      </c>
      <c r="BE270" s="7" t="str">
        <f>IF(56&gt;=92,('Testes estatísticos'!$D$97+'Testes estatísticos'!$D$61)/2,"")</f>
        <v/>
      </c>
      <c r="BF270" s="7" t="str">
        <f>IF(57&gt;=92,('Testes estatísticos'!$D$97+'Testes estatísticos'!$D$62)/2,"")</f>
        <v/>
      </c>
      <c r="BG270" s="7" t="str">
        <f>IF(58&gt;=92,('Testes estatísticos'!$D$97+'Testes estatísticos'!$D$63)/2,"")</f>
        <v/>
      </c>
      <c r="BH270" s="7" t="str">
        <f>IF(59&gt;=92,('Testes estatísticos'!$D$97+'Testes estatísticos'!$D$64)/2,"")</f>
        <v/>
      </c>
      <c r="BI270" s="7" t="str">
        <f>IF(60&gt;=92,('Testes estatísticos'!$D$97+'Testes estatísticos'!$D$65)/2,"")</f>
        <v/>
      </c>
      <c r="BJ270" s="7" t="str">
        <f>IF(61&gt;=92,('Testes estatísticos'!$D$97+'Testes estatísticos'!$D$66)/2,"")</f>
        <v/>
      </c>
      <c r="BK270" s="7" t="str">
        <f>IF(62&gt;=92,('Testes estatísticos'!$D$97+'Testes estatísticos'!$D$67)/2,"")</f>
        <v/>
      </c>
      <c r="BL270" s="7" t="str">
        <f>IF(63&gt;=92,('Testes estatísticos'!$D$97+'Testes estatísticos'!$D$68)/2,"")</f>
        <v/>
      </c>
      <c r="BM270" s="7" t="str">
        <f>IF(64&gt;=92,('Testes estatísticos'!$D$97+'Testes estatísticos'!$D$69)/2,"")</f>
        <v/>
      </c>
      <c r="BN270" s="7" t="str">
        <f>IF(65&gt;=92,('Testes estatísticos'!$D$97+'Testes estatísticos'!$D$70)/2,"")</f>
        <v/>
      </c>
      <c r="BO270" s="7" t="str">
        <f>IF(66&gt;=92,('Testes estatísticos'!$D$97+'Testes estatísticos'!$D$71)/2,"")</f>
        <v/>
      </c>
      <c r="BP270" s="7" t="str">
        <f>IF(67&gt;=92,('Testes estatísticos'!$D$97+'Testes estatísticos'!$D$72)/2,"")</f>
        <v/>
      </c>
      <c r="BQ270" s="7" t="str">
        <f>IF(68&gt;=92,('Testes estatísticos'!$D$97+'Testes estatísticos'!$D$73)/2,"")</f>
        <v/>
      </c>
      <c r="BR270" s="7" t="str">
        <f>IF(69&gt;=92,('Testes estatísticos'!$D$97+'Testes estatísticos'!$D$74)/2,"")</f>
        <v/>
      </c>
      <c r="BS270" s="7" t="str">
        <f>IF(70&gt;=92,('Testes estatísticos'!$D$97+'Testes estatísticos'!$D$75)/2,"")</f>
        <v/>
      </c>
      <c r="BT270" s="7" t="str">
        <f>IF(71&gt;=92,('Testes estatísticos'!$D$97+'Testes estatísticos'!$D$76)/2,"")</f>
        <v/>
      </c>
      <c r="BU270" s="7" t="str">
        <f>IF(72&gt;=92,('Testes estatísticos'!$D$97+'Testes estatísticos'!$D$77)/2,"")</f>
        <v/>
      </c>
      <c r="BV270" s="7" t="str">
        <f>IF(73&gt;=92,('Testes estatísticos'!$D$97+'Testes estatísticos'!$D$78)/2,"")</f>
        <v/>
      </c>
      <c r="BW270" s="7" t="str">
        <f>IF(74&gt;=92,('Testes estatísticos'!$D$97+'Testes estatísticos'!$D$79)/2,"")</f>
        <v/>
      </c>
      <c r="BX270" s="7" t="str">
        <f>IF(75&gt;=92,('Testes estatísticos'!$D$97+'Testes estatísticos'!$D$80)/2,"")</f>
        <v/>
      </c>
      <c r="BY270" s="7" t="str">
        <f>IF(76&gt;=92,('Testes estatísticos'!$D$97+'Testes estatísticos'!$D$81)/2,"")</f>
        <v/>
      </c>
      <c r="BZ270" s="7" t="str">
        <f>IF(77&gt;=92,('Testes estatísticos'!$D$97+'Testes estatísticos'!$D$82)/2,"")</f>
        <v/>
      </c>
      <c r="CA270" s="7" t="str">
        <f>IF(78&gt;=92,('Testes estatísticos'!$D$97+'Testes estatísticos'!$D$83)/2,"")</f>
        <v/>
      </c>
      <c r="CB270" s="7" t="str">
        <f>IF(79&gt;=92,('Testes estatísticos'!$D$97+'Testes estatísticos'!$D$84)/2,"")</f>
        <v/>
      </c>
      <c r="CC270" s="7" t="str">
        <f>IF(80&gt;=92,('Testes estatísticos'!$D$97+'Testes estatísticos'!$D$85)/2,"")</f>
        <v/>
      </c>
      <c r="CD270" s="7" t="str">
        <f>IF(81&gt;=92,('Testes estatísticos'!$D$97+'Testes estatísticos'!$D$86)/2,"")</f>
        <v/>
      </c>
      <c r="CE270" s="7" t="str">
        <f>IF(82&gt;=92,('Testes estatísticos'!$D$97+'Testes estatísticos'!$D$87)/2,"")</f>
        <v/>
      </c>
      <c r="CF270" s="7" t="str">
        <f>IF(83&gt;=92,('Testes estatísticos'!$D$97+'Testes estatísticos'!$D$88)/2,"")</f>
        <v/>
      </c>
      <c r="CG270" s="7" t="str">
        <f>IF(84&gt;=92,('Testes estatísticos'!$D$97+'Testes estatísticos'!$D$89)/2,"")</f>
        <v/>
      </c>
      <c r="CH270" s="7" t="str">
        <f>IF(85&gt;=92,('Testes estatísticos'!$D$97+'Testes estatísticos'!$D$90)/2,"")</f>
        <v/>
      </c>
      <c r="CI270" s="7" t="str">
        <f>IF(86&gt;=92,('Testes estatísticos'!$D$97+'Testes estatísticos'!$D$91)/2,"")</f>
        <v/>
      </c>
      <c r="CJ270" s="7" t="str">
        <f>IF(87&gt;=92,('Testes estatísticos'!$D$97+'Testes estatísticos'!$D$92)/2,"")</f>
        <v/>
      </c>
      <c r="CK270" s="7" t="str">
        <f>IF(88&gt;=92,('Testes estatísticos'!$D$97+'Testes estatísticos'!$D$93)/2,"")</f>
        <v/>
      </c>
      <c r="CL270" s="7" t="str">
        <f>IF(89&gt;=92,('Testes estatísticos'!$D$97+'Testes estatísticos'!$D$94)/2,"")</f>
        <v/>
      </c>
      <c r="CM270" s="7" t="str">
        <f>IF(90&gt;=92,('Testes estatísticos'!$D$97+'Testes estatísticos'!$D$95)/2,"")</f>
        <v/>
      </c>
      <c r="CN270" s="7" t="str">
        <f>IF(91&gt;=92,('Testes estatísticos'!$D$97+'Testes estatísticos'!$D$96)/2,"")</f>
        <v/>
      </c>
      <c r="CO270" s="7">
        <f>IF(92&gt;=92,('Testes estatísticos'!$D$97+'Testes estatísticos'!$D$97)/2,"")</f>
        <v>-4.022281999999997</v>
      </c>
      <c r="CP270" s="7">
        <f>IF(93&gt;=92,('Testes estatísticos'!$D$97+'Testes estatísticos'!$D$98)/2,"")</f>
        <v>-4.2270339999999962</v>
      </c>
      <c r="CQ270" s="7">
        <f>IF(94&gt;=92,('Testes estatísticos'!$D$97+'Testes estatísticos'!$D$99)/2,"")</f>
        <v>-2.0458759999999998</v>
      </c>
      <c r="CR270" s="7">
        <f>IF(95&gt;=92,('Testes estatísticos'!$D$97+'Testes estatísticos'!$D$100)/2,"")</f>
        <v>-3.951668999999999</v>
      </c>
      <c r="CS270" s="7">
        <f>IF(96&gt;=92,('Testes estatísticos'!$D$97+'Testes estatísticos'!$D$101)/2,"")</f>
        <v>-3.9076820000000012</v>
      </c>
      <c r="CT270" s="7">
        <f>IF(97&gt;=92,('Testes estatísticos'!$D$97+'Testes estatísticos'!$D$102)/2,"")</f>
        <v>-3.6746315000000003</v>
      </c>
      <c r="CU270" s="7">
        <f>IF(98&gt;=92,('Testes estatísticos'!$D$97+'Testes estatísticos'!$D$103)/2,"")</f>
        <v>-3.617305499999997</v>
      </c>
      <c r="CV270" s="7">
        <f>IF(99&gt;=92,('Testes estatísticos'!$D$97+'Testes estatísticos'!$D$104)/2,"")</f>
        <v>-4.052131499999998</v>
      </c>
      <c r="CW270" s="7">
        <f>IF(100&gt;=92,('Testes estatísticos'!$D$97+'Testes estatísticos'!$D$105)/2,"")</f>
        <v>-4.1515974999999976</v>
      </c>
      <c r="CX270" s="7">
        <f>IF(101&gt;=92,('Testes estatísticos'!$D$97+'Testes estatísticos'!$D$106)/2,"")</f>
        <v>-3.6286709999999971</v>
      </c>
      <c r="CY270" s="7">
        <f>IF(102&gt;=92,('Testes estatísticos'!$D$97+'Testes estatísticos'!$D$107)/2,"")</f>
        <v>-3.6843359999999983</v>
      </c>
      <c r="CZ270" s="7">
        <f>IF(103&gt;=92,('Testes estatísticos'!$D$97+'Testes estatísticos'!$D$108)/2,"")</f>
        <v>-4.208502499999998</v>
      </c>
      <c r="DA270" s="7">
        <f>IF(104&gt;=92,('Testes estatísticos'!$D$97+'Testes estatísticos'!$D$109)/2,"")</f>
        <v>-3.945868499999996</v>
      </c>
      <c r="DB270" s="7">
        <f>IF(105&gt;=92,('Testes estatísticos'!$D$97+'Testes estatísticos'!$D$110)/2,"")</f>
        <v>-3.9115374999999979</v>
      </c>
      <c r="DC270" s="7">
        <f>IF(106&gt;=92,('Testes estatísticos'!$D$97+'Testes estatísticos'!$D$111)/2,"")</f>
        <v>-3.1686164999999988</v>
      </c>
      <c r="DD270" s="7">
        <f>IF(107&gt;=92,('Testes estatísticos'!$D$97+'Testes estatísticos'!$D$112)/2,"")</f>
        <v>0.32455450000000141</v>
      </c>
      <c r="DE270" s="7">
        <f>IF(108&gt;=92,('Testes estatísticos'!$D$97+'Testes estatísticos'!$D$113)/2,"")</f>
        <v>-3.098080999999997</v>
      </c>
      <c r="DF270" s="7">
        <f>IF(109&gt;=92,('Testes estatísticos'!$D$97+'Testes estatísticos'!$D$114)/2,"")</f>
        <v>-3.1343379999999961</v>
      </c>
      <c r="DG270" s="7">
        <f>IF(110&gt;=92,('Testes estatísticos'!$D$97+'Testes estatísticos'!$D$115)/2,"")</f>
        <v>-8.6814774999999997</v>
      </c>
      <c r="DH270" s="7">
        <f>IF(111&gt;=92,('Testes estatísticos'!$D$97+'Testes estatísticos'!$D$116)/2,"")</f>
        <v>-3.0006469999999972</v>
      </c>
      <c r="DI270" s="7">
        <f>IF(112&gt;=92,('Testes estatísticos'!$D$97+'Testes estatísticos'!$D$117)/2,"")</f>
        <v>2.4277930000000012</v>
      </c>
      <c r="DJ270" s="7">
        <f>IF(113&gt;=92,('Testes estatísticos'!$D$97+'Testes estatísticos'!$D$118)/2,"")</f>
        <v>-3.0287639999999989</v>
      </c>
      <c r="DK270" s="7">
        <f>IF(114&gt;=92,('Testes estatísticos'!$D$97+'Testes estatísticos'!$D$119)/2,"")</f>
        <v>-3.130513999999998</v>
      </c>
      <c r="DL270" s="7">
        <f>IF(115&gt;=92,('Testes estatísticos'!$D$97+'Testes estatísticos'!$D$120)/2,"")</f>
        <v>-3.0840364999999963</v>
      </c>
      <c r="DM270" s="7">
        <f>IF(116&gt;=92,('Testes estatísticos'!$D$97+'Testes estatísticos'!$D$121)/2,"")</f>
        <v>-3.0754339999999978</v>
      </c>
      <c r="DN270" s="7">
        <f>IF(117&gt;=92,('Testes estatísticos'!$D$97+'Testes estatísticos'!$D$122)/2,"")</f>
        <v>-3.0523659999999992</v>
      </c>
      <c r="DO270" s="7">
        <f>IF(118&gt;=92,('Testes estatísticos'!$D$97+'Testes estatísticos'!$D$123)/2,"")</f>
        <v>-3.0024554999999999</v>
      </c>
      <c r="DP270" s="7">
        <f>IF(119&gt;=92,('Testes estatísticos'!$D$97+'Testes estatísticos'!$D$124)/2,"")</f>
        <v>-3.0236669999999997</v>
      </c>
      <c r="DQ270" s="7">
        <f>IF(120&gt;=92,('Testes estatísticos'!$D$97+'Testes estatísticos'!$D$125)/2,"")</f>
        <v>2.7947500000003345E-2</v>
      </c>
      <c r="DR270" s="7">
        <f>IF(121&gt;=92,('Testes estatísticos'!$D$97+'Testes estatísticos'!$D$126)/2,"")</f>
        <v>-2.7610689999999991</v>
      </c>
      <c r="DS270" s="7">
        <f>IF(122&gt;=92,('Testes estatísticos'!$D$97+'Testes estatísticos'!$D$127)/2,"")</f>
        <v>-3.8264774999999958</v>
      </c>
      <c r="DT270" s="7">
        <f>IF(123&gt;=92,('Testes estatísticos'!$D$97+'Testes estatísticos'!$D$128)/2,"")</f>
        <v>2.2423919999999988</v>
      </c>
      <c r="DU270" s="7">
        <f>IF(124&gt;=92,('Testes estatísticos'!$D$97+'Testes estatísticos'!$D$129)/2,"")</f>
        <v>-2.6533794999999998</v>
      </c>
      <c r="DV270" s="7">
        <f>IF(125&gt;=92,('Testes estatísticos'!$D$97+'Testes estatísticos'!$D$130)/2,"")</f>
        <v>-1.4950720000000004</v>
      </c>
      <c r="DW270" s="7">
        <f>IF(126&gt;=92,('Testes estatísticos'!$D$97+'Testes estatísticos'!$D$131)/2,"")</f>
        <v>-3.8985479999999981</v>
      </c>
      <c r="DX270" s="7">
        <f>IF(127&gt;=92,('Testes estatísticos'!$D$97+'Testes estatísticos'!$D$132)/2,"")</f>
        <v>-5.9547394999999987</v>
      </c>
      <c r="DY270" s="7">
        <f>IF(128&gt;=92,('Testes estatísticos'!$D$97+'Testes estatísticos'!$D$133)/2,"")</f>
        <v>-6.2958289999999977</v>
      </c>
      <c r="DZ270" s="7">
        <f>IF(129&gt;=92,('Testes estatísticos'!$D$97+'Testes estatísticos'!$D$134)/2,"")</f>
        <v>-9.719618999999998</v>
      </c>
      <c r="EA270" s="7">
        <f>IF(130&gt;=92,('Testes estatísticos'!$D$97+'Testes estatísticos'!$D$135)/2,"")</f>
        <v>-3.957848999999996</v>
      </c>
      <c r="EB270" s="7">
        <f>IF(131&gt;=92,('Testes estatísticos'!$D$97+'Testes estatísticos'!$D$136)/2,"")</f>
        <v>-3.8699760000000012</v>
      </c>
      <c r="EC270" s="7">
        <f>IF(132&gt;=92,('Testes estatísticos'!$D$97+'Testes estatísticos'!$D$137)/2,"")</f>
        <v>-5.3567125000000004</v>
      </c>
      <c r="ED270" s="7">
        <f>IF(133&gt;=92,('Testes estatísticos'!$D$97+'Testes estatísticos'!$D$138)/2,"")</f>
        <v>-3.1677749999999989</v>
      </c>
      <c r="EE270" s="7">
        <f>IF(134&gt;=92,('Testes estatísticos'!$D$97+'Testes estatísticos'!$D$139)/2,"")</f>
        <v>-5.4649655000000017</v>
      </c>
      <c r="EF270" s="7">
        <f>IF(135&gt;=92,('Testes estatísticos'!$D$97+'Testes estatísticos'!$D$140)/2,"")</f>
        <v>-2.2505329999999972</v>
      </c>
      <c r="EG270" s="7">
        <f>IF(136&gt;=92,('Testes estatísticos'!$D$97+'Testes estatísticos'!$D$141)/2,"")</f>
        <v>-3.9440230000000014</v>
      </c>
      <c r="EH270" s="7">
        <f>IF(137&gt;=92,('Testes estatísticos'!$D$97+'Testes estatísticos'!$D$142)/2,"")</f>
        <v>-2.2392830000000004</v>
      </c>
      <c r="EI270" s="7">
        <f>IF(138&gt;=92,('Testes estatísticos'!$D$97+'Testes estatísticos'!$D$143)/2,"")</f>
        <v>-3.9042984999999959</v>
      </c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</row>
    <row r="271" spans="2:151" x14ac:dyDescent="0.3">
      <c r="B271" s="7" t="str">
        <f>IF(1&gt;=93,('Testes estatísticos'!$D$98+'Testes estatísticos'!$D$6)/2,"")</f>
        <v/>
      </c>
      <c r="C271" s="7" t="str">
        <f>IF(2&gt;=93,('Testes estatísticos'!$D$98+'Testes estatísticos'!$D$7)/2,"")</f>
        <v/>
      </c>
      <c r="D271" s="7" t="str">
        <f>IF(3&gt;=93,('Testes estatísticos'!$D$98+'Testes estatísticos'!$D$8)/2,"")</f>
        <v/>
      </c>
      <c r="E271" s="7" t="str">
        <f>IF(4&gt;=93,('Testes estatísticos'!$D$98+'Testes estatísticos'!$D$9)/2,"")</f>
        <v/>
      </c>
      <c r="F271" s="7" t="str">
        <f>IF(5&gt;=93,('Testes estatísticos'!$D$98+'Testes estatísticos'!$D$10)/2,"")</f>
        <v/>
      </c>
      <c r="G271" s="7" t="str">
        <f>IF(6&gt;=93,('Testes estatísticos'!$D$98+'Testes estatísticos'!$D$11)/2,"")</f>
        <v/>
      </c>
      <c r="H271" s="7" t="str">
        <f>IF(7&gt;=93,('Testes estatísticos'!$D$98+'Testes estatísticos'!$D$12)/2,"")</f>
        <v/>
      </c>
      <c r="I271" s="7" t="str">
        <f>IF(8&gt;=93,('Testes estatísticos'!$D$98+'Testes estatísticos'!$D$13)/2,"")</f>
        <v/>
      </c>
      <c r="J271" s="7" t="str">
        <f>IF(9&gt;=93,('Testes estatísticos'!$D$98+'Testes estatísticos'!$D$14)/2,"")</f>
        <v/>
      </c>
      <c r="K271" s="7" t="str">
        <f>IF(10&gt;=93,('Testes estatísticos'!$D$98+'Testes estatísticos'!$D$15)/2,"")</f>
        <v/>
      </c>
      <c r="L271" s="7" t="str">
        <f>IF(11&gt;=93,('Testes estatísticos'!$D$98+'Testes estatísticos'!$D$16)/2,"")</f>
        <v/>
      </c>
      <c r="M271" s="7" t="str">
        <f>IF(12&gt;=93,('Testes estatísticos'!$D$98+'Testes estatísticos'!$D$17)/2,"")</f>
        <v/>
      </c>
      <c r="N271" s="7" t="str">
        <f>IF(13&gt;=93,('Testes estatísticos'!$D$98+'Testes estatísticos'!$D$18)/2,"")</f>
        <v/>
      </c>
      <c r="O271" s="7" t="str">
        <f>IF(14&gt;=93,('Testes estatísticos'!$D$98+'Testes estatísticos'!$D$19)/2,"")</f>
        <v/>
      </c>
      <c r="P271" s="7" t="str">
        <f>IF(15&gt;=93,('Testes estatísticos'!$D$98+'Testes estatísticos'!$D$20)/2,"")</f>
        <v/>
      </c>
      <c r="Q271" s="7" t="str">
        <f>IF(16&gt;=93,('Testes estatísticos'!$D$98+'Testes estatísticos'!$D$21)/2,"")</f>
        <v/>
      </c>
      <c r="R271" s="7" t="str">
        <f>IF(17&gt;=93,('Testes estatísticos'!$D$98+'Testes estatísticos'!$D$22)/2,"")</f>
        <v/>
      </c>
      <c r="S271" s="7" t="str">
        <f>IF(18&gt;=93,('Testes estatísticos'!$D$98+'Testes estatísticos'!$D$23)/2,"")</f>
        <v/>
      </c>
      <c r="T271" s="7" t="str">
        <f>IF(19&gt;=93,('Testes estatísticos'!$D$98+'Testes estatísticos'!$D$24)/2,"")</f>
        <v/>
      </c>
      <c r="U271" s="7" t="str">
        <f>IF(20&gt;=93,('Testes estatísticos'!$D$98+'Testes estatísticos'!$D$25)/2,"")</f>
        <v/>
      </c>
      <c r="V271" s="7" t="str">
        <f>IF(21&gt;=93,('Testes estatísticos'!$D$98+'Testes estatísticos'!$D$26)/2,"")</f>
        <v/>
      </c>
      <c r="W271" s="7" t="str">
        <f>IF(22&gt;=93,('Testes estatísticos'!$D$98+'Testes estatísticos'!$D$27)/2,"")</f>
        <v/>
      </c>
      <c r="X271" s="7" t="str">
        <f>IF(23&gt;=93,('Testes estatísticos'!$D$98+'Testes estatísticos'!$D$28)/2,"")</f>
        <v/>
      </c>
      <c r="Y271" s="7" t="str">
        <f>IF(24&gt;=93,('Testes estatísticos'!$D$98+'Testes estatísticos'!$D$29)/2,"")</f>
        <v/>
      </c>
      <c r="Z271" s="7" t="str">
        <f>IF(25&gt;=93,('Testes estatísticos'!$D$98+'Testes estatísticos'!$D$30)/2,"")</f>
        <v/>
      </c>
      <c r="AA271" s="7" t="str">
        <f>IF(26&gt;=93,('Testes estatísticos'!$D$98+'Testes estatísticos'!$D$31)/2,"")</f>
        <v/>
      </c>
      <c r="AB271" s="7" t="str">
        <f>IF(27&gt;=93,('Testes estatísticos'!$D$98+'Testes estatísticos'!$D$32)/2,"")</f>
        <v/>
      </c>
      <c r="AC271" s="7" t="str">
        <f>IF(28&gt;=93,('Testes estatísticos'!$D$98+'Testes estatísticos'!$D$33)/2,"")</f>
        <v/>
      </c>
      <c r="AD271" s="7" t="str">
        <f>IF(29&gt;=93,('Testes estatísticos'!$D$98+'Testes estatísticos'!$D$34)/2,"")</f>
        <v/>
      </c>
      <c r="AE271" s="7" t="str">
        <f>IF(30&gt;=93,('Testes estatísticos'!$D$98+'Testes estatísticos'!$D$35)/2,"")</f>
        <v/>
      </c>
      <c r="AF271" s="7" t="str">
        <f>IF(31&gt;=93,('Testes estatísticos'!$D$98+'Testes estatísticos'!$D$36)/2,"")</f>
        <v/>
      </c>
      <c r="AG271" s="7" t="str">
        <f>IF(32&gt;=93,('Testes estatísticos'!$D$98+'Testes estatísticos'!$D$37)/2,"")</f>
        <v/>
      </c>
      <c r="AH271" s="7" t="str">
        <f>IF(33&gt;=93,('Testes estatísticos'!$D$98+'Testes estatísticos'!$D$38)/2,"")</f>
        <v/>
      </c>
      <c r="AI271" s="7" t="str">
        <f>IF(34&gt;=93,('Testes estatísticos'!$D$98+'Testes estatísticos'!$D$39)/2,"")</f>
        <v/>
      </c>
      <c r="AJ271" s="7" t="str">
        <f>IF(35&gt;=93,('Testes estatísticos'!$D$98+'Testes estatísticos'!$D$40)/2,"")</f>
        <v/>
      </c>
      <c r="AK271" s="7" t="str">
        <f>IF(36&gt;=93,('Testes estatísticos'!$D$98+'Testes estatísticos'!$D$41)/2,"")</f>
        <v/>
      </c>
      <c r="AL271" s="7" t="str">
        <f>IF(37&gt;=93,('Testes estatísticos'!$D$98+'Testes estatísticos'!$D$42)/2,"")</f>
        <v/>
      </c>
      <c r="AM271" s="7" t="str">
        <f>IF(38&gt;=93,('Testes estatísticos'!$D$98+'Testes estatísticos'!$D$43)/2,"")</f>
        <v/>
      </c>
      <c r="AN271" s="7" t="str">
        <f>IF(39&gt;=93,('Testes estatísticos'!$D$98+'Testes estatísticos'!$D$44)/2,"")</f>
        <v/>
      </c>
      <c r="AO271" s="7" t="str">
        <f>IF(40&gt;=93,('Testes estatísticos'!$D$98+'Testes estatísticos'!$D$45)/2,"")</f>
        <v/>
      </c>
      <c r="AP271" s="7" t="str">
        <f>IF(41&gt;=93,('Testes estatísticos'!$D$98+'Testes estatísticos'!$D$46)/2,"")</f>
        <v/>
      </c>
      <c r="AQ271" s="7" t="str">
        <f>IF(42&gt;=93,('Testes estatísticos'!$D$98+'Testes estatísticos'!$D$47)/2,"")</f>
        <v/>
      </c>
      <c r="AR271" s="7" t="str">
        <f>IF(43&gt;=93,('Testes estatísticos'!$D$98+'Testes estatísticos'!$D$48)/2,"")</f>
        <v/>
      </c>
      <c r="AS271" s="7" t="str">
        <f>IF(44&gt;=93,('Testes estatísticos'!$D$98+'Testes estatísticos'!$D$49)/2,"")</f>
        <v/>
      </c>
      <c r="AT271" s="7" t="str">
        <f>IF(45&gt;=93,('Testes estatísticos'!$D$98+'Testes estatísticos'!$D$50)/2,"")</f>
        <v/>
      </c>
      <c r="AU271" s="7" t="str">
        <f>IF(46&gt;=93,('Testes estatísticos'!$D$98+'Testes estatísticos'!$D$51)/2,"")</f>
        <v/>
      </c>
      <c r="AV271" s="7" t="str">
        <f>IF(47&gt;=93,('Testes estatísticos'!$D$98+'Testes estatísticos'!$D$52)/2,"")</f>
        <v/>
      </c>
      <c r="AW271" s="7" t="str">
        <f>IF(48&gt;=93,('Testes estatísticos'!$D$98+'Testes estatísticos'!$D$53)/2,"")</f>
        <v/>
      </c>
      <c r="AX271" s="7" t="str">
        <f>IF(49&gt;=93,('Testes estatísticos'!$D$98+'Testes estatísticos'!$D$54)/2,"")</f>
        <v/>
      </c>
      <c r="AY271" s="7" t="str">
        <f>IF(50&gt;=93,('Testes estatísticos'!$D$98+'Testes estatísticos'!$D$55)/2,"")</f>
        <v/>
      </c>
      <c r="AZ271" s="7" t="str">
        <f>IF(51&gt;=93,('Testes estatísticos'!$D$98+'Testes estatísticos'!$D$56)/2,"")</f>
        <v/>
      </c>
      <c r="BA271" s="7" t="str">
        <f>IF(52&gt;=93,('Testes estatísticos'!$D$98+'Testes estatísticos'!$D$57)/2,"")</f>
        <v/>
      </c>
      <c r="BB271" s="7" t="str">
        <f>IF(53&gt;=93,('Testes estatísticos'!$D$98+'Testes estatísticos'!$D$58)/2,"")</f>
        <v/>
      </c>
      <c r="BC271" s="7" t="str">
        <f>IF(54&gt;=93,('Testes estatísticos'!$D$98+'Testes estatísticos'!$D$59)/2,"")</f>
        <v/>
      </c>
      <c r="BD271" s="7" t="str">
        <f>IF(55&gt;=93,('Testes estatísticos'!$D$98+'Testes estatísticos'!$D$60)/2,"")</f>
        <v/>
      </c>
      <c r="BE271" s="7" t="str">
        <f>IF(56&gt;=93,('Testes estatísticos'!$D$98+'Testes estatísticos'!$D$61)/2,"")</f>
        <v/>
      </c>
      <c r="BF271" s="7" t="str">
        <f>IF(57&gt;=93,('Testes estatísticos'!$D$98+'Testes estatísticos'!$D$62)/2,"")</f>
        <v/>
      </c>
      <c r="BG271" s="7" t="str">
        <f>IF(58&gt;=93,('Testes estatísticos'!$D$98+'Testes estatísticos'!$D$63)/2,"")</f>
        <v/>
      </c>
      <c r="BH271" s="7" t="str">
        <f>IF(59&gt;=93,('Testes estatísticos'!$D$98+'Testes estatísticos'!$D$64)/2,"")</f>
        <v/>
      </c>
      <c r="BI271" s="7" t="str">
        <f>IF(60&gt;=93,('Testes estatísticos'!$D$98+'Testes estatísticos'!$D$65)/2,"")</f>
        <v/>
      </c>
      <c r="BJ271" s="7" t="str">
        <f>IF(61&gt;=93,('Testes estatísticos'!$D$98+'Testes estatísticos'!$D$66)/2,"")</f>
        <v/>
      </c>
      <c r="BK271" s="7" t="str">
        <f>IF(62&gt;=93,('Testes estatísticos'!$D$98+'Testes estatísticos'!$D$67)/2,"")</f>
        <v/>
      </c>
      <c r="BL271" s="7" t="str">
        <f>IF(63&gt;=93,('Testes estatísticos'!$D$98+'Testes estatísticos'!$D$68)/2,"")</f>
        <v/>
      </c>
      <c r="BM271" s="7" t="str">
        <f>IF(64&gt;=93,('Testes estatísticos'!$D$98+'Testes estatísticos'!$D$69)/2,"")</f>
        <v/>
      </c>
      <c r="BN271" s="7" t="str">
        <f>IF(65&gt;=93,('Testes estatísticos'!$D$98+'Testes estatísticos'!$D$70)/2,"")</f>
        <v/>
      </c>
      <c r="BO271" s="7" t="str">
        <f>IF(66&gt;=93,('Testes estatísticos'!$D$98+'Testes estatísticos'!$D$71)/2,"")</f>
        <v/>
      </c>
      <c r="BP271" s="7" t="str">
        <f>IF(67&gt;=93,('Testes estatísticos'!$D$98+'Testes estatísticos'!$D$72)/2,"")</f>
        <v/>
      </c>
      <c r="BQ271" s="7" t="str">
        <f>IF(68&gt;=93,('Testes estatísticos'!$D$98+'Testes estatísticos'!$D$73)/2,"")</f>
        <v/>
      </c>
      <c r="BR271" s="7" t="str">
        <f>IF(69&gt;=93,('Testes estatísticos'!$D$98+'Testes estatísticos'!$D$74)/2,"")</f>
        <v/>
      </c>
      <c r="BS271" s="7" t="str">
        <f>IF(70&gt;=93,('Testes estatísticos'!$D$98+'Testes estatísticos'!$D$75)/2,"")</f>
        <v/>
      </c>
      <c r="BT271" s="7" t="str">
        <f>IF(71&gt;=93,('Testes estatísticos'!$D$98+'Testes estatísticos'!$D$76)/2,"")</f>
        <v/>
      </c>
      <c r="BU271" s="7" t="str">
        <f>IF(72&gt;=93,('Testes estatísticos'!$D$98+'Testes estatísticos'!$D$77)/2,"")</f>
        <v/>
      </c>
      <c r="BV271" s="7" t="str">
        <f>IF(73&gt;=93,('Testes estatísticos'!$D$98+'Testes estatísticos'!$D$78)/2,"")</f>
        <v/>
      </c>
      <c r="BW271" s="7" t="str">
        <f>IF(74&gt;=93,('Testes estatísticos'!$D$98+'Testes estatísticos'!$D$79)/2,"")</f>
        <v/>
      </c>
      <c r="BX271" s="7" t="str">
        <f>IF(75&gt;=93,('Testes estatísticos'!$D$98+'Testes estatísticos'!$D$80)/2,"")</f>
        <v/>
      </c>
      <c r="BY271" s="7" t="str">
        <f>IF(76&gt;=93,('Testes estatísticos'!$D$98+'Testes estatísticos'!$D$81)/2,"")</f>
        <v/>
      </c>
      <c r="BZ271" s="7" t="str">
        <f>IF(77&gt;=93,('Testes estatísticos'!$D$98+'Testes estatísticos'!$D$82)/2,"")</f>
        <v/>
      </c>
      <c r="CA271" s="7" t="str">
        <f>IF(78&gt;=93,('Testes estatísticos'!$D$98+'Testes estatísticos'!$D$83)/2,"")</f>
        <v/>
      </c>
      <c r="CB271" s="7" t="str">
        <f>IF(79&gt;=93,('Testes estatísticos'!$D$98+'Testes estatísticos'!$D$84)/2,"")</f>
        <v/>
      </c>
      <c r="CC271" s="7" t="str">
        <f>IF(80&gt;=93,('Testes estatísticos'!$D$98+'Testes estatísticos'!$D$85)/2,"")</f>
        <v/>
      </c>
      <c r="CD271" s="7" t="str">
        <f>IF(81&gt;=93,('Testes estatísticos'!$D$98+'Testes estatísticos'!$D$86)/2,"")</f>
        <v/>
      </c>
      <c r="CE271" s="7" t="str">
        <f>IF(82&gt;=93,('Testes estatísticos'!$D$98+'Testes estatísticos'!$D$87)/2,"")</f>
        <v/>
      </c>
      <c r="CF271" s="7" t="str">
        <f>IF(83&gt;=93,('Testes estatísticos'!$D$98+'Testes estatísticos'!$D$88)/2,"")</f>
        <v/>
      </c>
      <c r="CG271" s="7" t="str">
        <f>IF(84&gt;=93,('Testes estatísticos'!$D$98+'Testes estatísticos'!$D$89)/2,"")</f>
        <v/>
      </c>
      <c r="CH271" s="7" t="str">
        <f>IF(85&gt;=93,('Testes estatísticos'!$D$98+'Testes estatísticos'!$D$90)/2,"")</f>
        <v/>
      </c>
      <c r="CI271" s="7" t="str">
        <f>IF(86&gt;=93,('Testes estatísticos'!$D$98+'Testes estatísticos'!$D$91)/2,"")</f>
        <v/>
      </c>
      <c r="CJ271" s="7" t="str">
        <f>IF(87&gt;=93,('Testes estatísticos'!$D$98+'Testes estatísticos'!$D$92)/2,"")</f>
        <v/>
      </c>
      <c r="CK271" s="7" t="str">
        <f>IF(88&gt;=93,('Testes estatísticos'!$D$98+'Testes estatísticos'!$D$93)/2,"")</f>
        <v/>
      </c>
      <c r="CL271" s="7" t="str">
        <f>IF(89&gt;=93,('Testes estatísticos'!$D$98+'Testes estatísticos'!$D$94)/2,"")</f>
        <v/>
      </c>
      <c r="CM271" s="7" t="str">
        <f>IF(90&gt;=93,('Testes estatísticos'!$D$98+'Testes estatísticos'!$D$95)/2,"")</f>
        <v/>
      </c>
      <c r="CN271" s="7" t="str">
        <f>IF(91&gt;=93,('Testes estatísticos'!$D$98+'Testes estatísticos'!$D$96)/2,"")</f>
        <v/>
      </c>
      <c r="CO271" s="7" t="str">
        <f>IF(92&gt;=93,('Testes estatísticos'!$D$98+'Testes estatísticos'!$D$97)/2,"")</f>
        <v/>
      </c>
      <c r="CP271" s="7">
        <f>IF(93&gt;=93,('Testes estatísticos'!$D$98+'Testes estatísticos'!$D$98)/2,"")</f>
        <v>-4.4317859999999953</v>
      </c>
      <c r="CQ271" s="7">
        <f>IF(94&gt;=93,('Testes estatísticos'!$D$98+'Testes estatísticos'!$D$99)/2,"")</f>
        <v>-2.250627999999999</v>
      </c>
      <c r="CR271" s="7">
        <f>IF(95&gt;=93,('Testes estatísticos'!$D$98+'Testes estatísticos'!$D$100)/2,"")</f>
        <v>-4.1564209999999981</v>
      </c>
      <c r="CS271" s="7">
        <f>IF(96&gt;=93,('Testes estatísticos'!$D$98+'Testes estatísticos'!$D$101)/2,"")</f>
        <v>-4.1124340000000004</v>
      </c>
      <c r="CT271" s="7">
        <f>IF(97&gt;=93,('Testes estatísticos'!$D$98+'Testes estatísticos'!$D$102)/2,"")</f>
        <v>-3.8793834999999994</v>
      </c>
      <c r="CU271" s="7">
        <f>IF(98&gt;=93,('Testes estatísticos'!$D$98+'Testes estatísticos'!$D$103)/2,"")</f>
        <v>-3.8220574999999961</v>
      </c>
      <c r="CV271" s="7">
        <f>IF(99&gt;=93,('Testes estatísticos'!$D$98+'Testes estatísticos'!$D$104)/2,"")</f>
        <v>-4.2568834999999972</v>
      </c>
      <c r="CW271" s="7">
        <f>IF(100&gt;=93,('Testes estatísticos'!$D$98+'Testes estatísticos'!$D$105)/2,"")</f>
        <v>-4.3563494999999968</v>
      </c>
      <c r="CX271" s="7">
        <f>IF(101&gt;=93,('Testes estatísticos'!$D$98+'Testes estatísticos'!$D$106)/2,"")</f>
        <v>-3.8334229999999963</v>
      </c>
      <c r="CY271" s="7">
        <f>IF(102&gt;=93,('Testes estatísticos'!$D$98+'Testes estatísticos'!$D$107)/2,"")</f>
        <v>-3.8890879999999974</v>
      </c>
      <c r="CZ271" s="7">
        <f>IF(103&gt;=93,('Testes estatísticos'!$D$98+'Testes estatísticos'!$D$108)/2,"")</f>
        <v>-4.4132544999999972</v>
      </c>
      <c r="DA271" s="7">
        <f>IF(104&gt;=93,('Testes estatísticos'!$D$98+'Testes estatísticos'!$D$109)/2,"")</f>
        <v>-4.1506204999999952</v>
      </c>
      <c r="DB271" s="7">
        <f>IF(105&gt;=93,('Testes estatísticos'!$D$98+'Testes estatísticos'!$D$110)/2,"")</f>
        <v>-4.116289499999997</v>
      </c>
      <c r="DC271" s="7">
        <f>IF(106&gt;=93,('Testes estatísticos'!$D$98+'Testes estatísticos'!$D$111)/2,"")</f>
        <v>-3.373368499999998</v>
      </c>
      <c r="DD271" s="7">
        <f>IF(107&gt;=93,('Testes estatísticos'!$D$98+'Testes estatísticos'!$D$112)/2,"")</f>
        <v>0.11980250000000225</v>
      </c>
      <c r="DE271" s="7">
        <f>IF(108&gt;=93,('Testes estatísticos'!$D$98+'Testes estatísticos'!$D$113)/2,"")</f>
        <v>-3.3028329999999961</v>
      </c>
      <c r="DF271" s="7">
        <f>IF(109&gt;=93,('Testes estatísticos'!$D$98+'Testes estatísticos'!$D$114)/2,"")</f>
        <v>-3.3390899999999952</v>
      </c>
      <c r="DG271" s="7">
        <f>IF(110&gt;=93,('Testes estatísticos'!$D$98+'Testes estatísticos'!$D$115)/2,"")</f>
        <v>-8.8862294999999989</v>
      </c>
      <c r="DH271" s="7">
        <f>IF(111&gt;=93,('Testes estatísticos'!$D$98+'Testes estatísticos'!$D$116)/2,"")</f>
        <v>-3.2053989999999963</v>
      </c>
      <c r="DI271" s="7">
        <f>IF(112&gt;=93,('Testes estatísticos'!$D$98+'Testes estatísticos'!$D$117)/2,"")</f>
        <v>2.223041000000002</v>
      </c>
      <c r="DJ271" s="7">
        <f>IF(113&gt;=93,('Testes estatísticos'!$D$98+'Testes estatísticos'!$D$118)/2,"")</f>
        <v>-3.2335159999999981</v>
      </c>
      <c r="DK271" s="7">
        <f>IF(114&gt;=93,('Testes estatísticos'!$D$98+'Testes estatísticos'!$D$119)/2,"")</f>
        <v>-3.3352659999999972</v>
      </c>
      <c r="DL271" s="7">
        <f>IF(115&gt;=93,('Testes estatísticos'!$D$98+'Testes estatísticos'!$D$120)/2,"")</f>
        <v>-3.2887884999999955</v>
      </c>
      <c r="DM271" s="7">
        <f>IF(116&gt;=93,('Testes estatísticos'!$D$98+'Testes estatísticos'!$D$121)/2,"")</f>
        <v>-3.2801859999999969</v>
      </c>
      <c r="DN271" s="7">
        <f>IF(117&gt;=93,('Testes estatísticos'!$D$98+'Testes estatísticos'!$D$122)/2,"")</f>
        <v>-3.2571179999999984</v>
      </c>
      <c r="DO271" s="7">
        <f>IF(118&gt;=93,('Testes estatísticos'!$D$98+'Testes estatísticos'!$D$123)/2,"")</f>
        <v>-3.2072074999999991</v>
      </c>
      <c r="DP271" s="7">
        <f>IF(119&gt;=93,('Testes estatísticos'!$D$98+'Testes estatísticos'!$D$124)/2,"")</f>
        <v>-3.2284189999999988</v>
      </c>
      <c r="DQ271" s="7">
        <f>IF(120&gt;=93,('Testes estatísticos'!$D$98+'Testes estatísticos'!$D$125)/2,"")</f>
        <v>-0.17680449999999581</v>
      </c>
      <c r="DR271" s="7">
        <f>IF(121&gt;=93,('Testes estatísticos'!$D$98+'Testes estatísticos'!$D$126)/2,"")</f>
        <v>-2.9658209999999983</v>
      </c>
      <c r="DS271" s="7">
        <f>IF(122&gt;=93,('Testes estatísticos'!$D$98+'Testes estatísticos'!$D$127)/2,"")</f>
        <v>-4.0312294999999949</v>
      </c>
      <c r="DT271" s="7">
        <f>IF(123&gt;=93,('Testes estatísticos'!$D$98+'Testes estatísticos'!$D$128)/2,"")</f>
        <v>2.0376399999999997</v>
      </c>
      <c r="DU271" s="7">
        <f>IF(124&gt;=93,('Testes estatísticos'!$D$98+'Testes estatísticos'!$D$129)/2,"")</f>
        <v>-2.8581314999999989</v>
      </c>
      <c r="DV271" s="7">
        <f>IF(125&gt;=93,('Testes estatísticos'!$D$98+'Testes estatísticos'!$D$130)/2,"")</f>
        <v>-1.6998239999999996</v>
      </c>
      <c r="DW271" s="7">
        <f>IF(126&gt;=93,('Testes estatísticos'!$D$98+'Testes estatísticos'!$D$131)/2,"")</f>
        <v>-4.1032999999999973</v>
      </c>
      <c r="DX271" s="7">
        <f>IF(127&gt;=93,('Testes estatísticos'!$D$98+'Testes estatísticos'!$D$132)/2,"")</f>
        <v>-6.1594914999999979</v>
      </c>
      <c r="DY271" s="7">
        <f>IF(128&gt;=93,('Testes estatísticos'!$D$98+'Testes estatísticos'!$D$133)/2,"")</f>
        <v>-6.5005809999999968</v>
      </c>
      <c r="DZ271" s="7">
        <f>IF(129&gt;=93,('Testes estatísticos'!$D$98+'Testes estatísticos'!$D$134)/2,"")</f>
        <v>-9.9243709999999972</v>
      </c>
      <c r="EA271" s="7">
        <f>IF(130&gt;=93,('Testes estatísticos'!$D$98+'Testes estatísticos'!$D$135)/2,"")</f>
        <v>-4.1626009999999951</v>
      </c>
      <c r="EB271" s="7">
        <f>IF(131&gt;=93,('Testes estatísticos'!$D$98+'Testes estatísticos'!$D$136)/2,"")</f>
        <v>-4.0747280000000003</v>
      </c>
      <c r="EC271" s="7">
        <f>IF(132&gt;=93,('Testes estatísticos'!$D$98+'Testes estatísticos'!$D$137)/2,"")</f>
        <v>-5.5614644999999996</v>
      </c>
      <c r="ED271" s="7">
        <f>IF(133&gt;=93,('Testes estatísticos'!$D$98+'Testes estatísticos'!$D$138)/2,"")</f>
        <v>-3.3725269999999981</v>
      </c>
      <c r="EE271" s="7">
        <f>IF(134&gt;=93,('Testes estatísticos'!$D$98+'Testes estatísticos'!$D$139)/2,"")</f>
        <v>-5.6697175000000009</v>
      </c>
      <c r="EF271" s="7">
        <f>IF(135&gt;=93,('Testes estatísticos'!$D$98+'Testes estatísticos'!$D$140)/2,"")</f>
        <v>-2.4552849999999964</v>
      </c>
      <c r="EG271" s="7">
        <f>IF(136&gt;=93,('Testes estatísticos'!$D$98+'Testes estatísticos'!$D$141)/2,"")</f>
        <v>-4.1487750000000005</v>
      </c>
      <c r="EH271" s="7">
        <f>IF(137&gt;=93,('Testes estatísticos'!$D$98+'Testes estatísticos'!$D$142)/2,"")</f>
        <v>-2.4440349999999995</v>
      </c>
      <c r="EI271" s="7">
        <f>IF(138&gt;=93,('Testes estatísticos'!$D$98+'Testes estatísticos'!$D$143)/2,"")</f>
        <v>-4.1090504999999951</v>
      </c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</row>
    <row r="272" spans="2:151" x14ac:dyDescent="0.3">
      <c r="B272" s="7" t="str">
        <f>IF(1&gt;=94,('Testes estatísticos'!$D$99+'Testes estatísticos'!$D$6)/2,"")</f>
        <v/>
      </c>
      <c r="C272" s="7" t="str">
        <f>IF(2&gt;=94,('Testes estatísticos'!$D$99+'Testes estatísticos'!$D$7)/2,"")</f>
        <v/>
      </c>
      <c r="D272" s="7" t="str">
        <f>IF(3&gt;=94,('Testes estatísticos'!$D$99+'Testes estatísticos'!$D$8)/2,"")</f>
        <v/>
      </c>
      <c r="E272" s="7" t="str">
        <f>IF(4&gt;=94,('Testes estatísticos'!$D$99+'Testes estatísticos'!$D$9)/2,"")</f>
        <v/>
      </c>
      <c r="F272" s="7" t="str">
        <f>IF(5&gt;=94,('Testes estatísticos'!$D$99+'Testes estatísticos'!$D$10)/2,"")</f>
        <v/>
      </c>
      <c r="G272" s="7" t="str">
        <f>IF(6&gt;=94,('Testes estatísticos'!$D$99+'Testes estatísticos'!$D$11)/2,"")</f>
        <v/>
      </c>
      <c r="H272" s="7" t="str">
        <f>IF(7&gt;=94,('Testes estatísticos'!$D$99+'Testes estatísticos'!$D$12)/2,"")</f>
        <v/>
      </c>
      <c r="I272" s="7" t="str">
        <f>IF(8&gt;=94,('Testes estatísticos'!$D$99+'Testes estatísticos'!$D$13)/2,"")</f>
        <v/>
      </c>
      <c r="J272" s="7" t="str">
        <f>IF(9&gt;=94,('Testes estatísticos'!$D$99+'Testes estatísticos'!$D$14)/2,"")</f>
        <v/>
      </c>
      <c r="K272" s="7" t="str">
        <f>IF(10&gt;=94,('Testes estatísticos'!$D$99+'Testes estatísticos'!$D$15)/2,"")</f>
        <v/>
      </c>
      <c r="L272" s="7" t="str">
        <f>IF(11&gt;=94,('Testes estatísticos'!$D$99+'Testes estatísticos'!$D$16)/2,"")</f>
        <v/>
      </c>
      <c r="M272" s="7" t="str">
        <f>IF(12&gt;=94,('Testes estatísticos'!$D$99+'Testes estatísticos'!$D$17)/2,"")</f>
        <v/>
      </c>
      <c r="N272" s="7" t="str">
        <f>IF(13&gt;=94,('Testes estatísticos'!$D$99+'Testes estatísticos'!$D$18)/2,"")</f>
        <v/>
      </c>
      <c r="O272" s="7" t="str">
        <f>IF(14&gt;=94,('Testes estatísticos'!$D$99+'Testes estatísticos'!$D$19)/2,"")</f>
        <v/>
      </c>
      <c r="P272" s="7" t="str">
        <f>IF(15&gt;=94,('Testes estatísticos'!$D$99+'Testes estatísticos'!$D$20)/2,"")</f>
        <v/>
      </c>
      <c r="Q272" s="7" t="str">
        <f>IF(16&gt;=94,('Testes estatísticos'!$D$99+'Testes estatísticos'!$D$21)/2,"")</f>
        <v/>
      </c>
      <c r="R272" s="7" t="str">
        <f>IF(17&gt;=94,('Testes estatísticos'!$D$99+'Testes estatísticos'!$D$22)/2,"")</f>
        <v/>
      </c>
      <c r="S272" s="7" t="str">
        <f>IF(18&gt;=94,('Testes estatísticos'!$D$99+'Testes estatísticos'!$D$23)/2,"")</f>
        <v/>
      </c>
      <c r="T272" s="7" t="str">
        <f>IF(19&gt;=94,('Testes estatísticos'!$D$99+'Testes estatísticos'!$D$24)/2,"")</f>
        <v/>
      </c>
      <c r="U272" s="7" t="str">
        <f>IF(20&gt;=94,('Testes estatísticos'!$D$99+'Testes estatísticos'!$D$25)/2,"")</f>
        <v/>
      </c>
      <c r="V272" s="7" t="str">
        <f>IF(21&gt;=94,('Testes estatísticos'!$D$99+'Testes estatísticos'!$D$26)/2,"")</f>
        <v/>
      </c>
      <c r="W272" s="7" t="str">
        <f>IF(22&gt;=94,('Testes estatísticos'!$D$99+'Testes estatísticos'!$D$27)/2,"")</f>
        <v/>
      </c>
      <c r="X272" s="7" t="str">
        <f>IF(23&gt;=94,('Testes estatísticos'!$D$99+'Testes estatísticos'!$D$28)/2,"")</f>
        <v/>
      </c>
      <c r="Y272" s="7" t="str">
        <f>IF(24&gt;=94,('Testes estatísticos'!$D$99+'Testes estatísticos'!$D$29)/2,"")</f>
        <v/>
      </c>
      <c r="Z272" s="7" t="str">
        <f>IF(25&gt;=94,('Testes estatísticos'!$D$99+'Testes estatísticos'!$D$30)/2,"")</f>
        <v/>
      </c>
      <c r="AA272" s="7" t="str">
        <f>IF(26&gt;=94,('Testes estatísticos'!$D$99+'Testes estatísticos'!$D$31)/2,"")</f>
        <v/>
      </c>
      <c r="AB272" s="7" t="str">
        <f>IF(27&gt;=94,('Testes estatísticos'!$D$99+'Testes estatísticos'!$D$32)/2,"")</f>
        <v/>
      </c>
      <c r="AC272" s="7" t="str">
        <f>IF(28&gt;=94,('Testes estatísticos'!$D$99+'Testes estatísticos'!$D$33)/2,"")</f>
        <v/>
      </c>
      <c r="AD272" s="7" t="str">
        <f>IF(29&gt;=94,('Testes estatísticos'!$D$99+'Testes estatísticos'!$D$34)/2,"")</f>
        <v/>
      </c>
      <c r="AE272" s="7" t="str">
        <f>IF(30&gt;=94,('Testes estatísticos'!$D$99+'Testes estatísticos'!$D$35)/2,"")</f>
        <v/>
      </c>
      <c r="AF272" s="7" t="str">
        <f>IF(31&gt;=94,('Testes estatísticos'!$D$99+'Testes estatísticos'!$D$36)/2,"")</f>
        <v/>
      </c>
      <c r="AG272" s="7" t="str">
        <f>IF(32&gt;=94,('Testes estatísticos'!$D$99+'Testes estatísticos'!$D$37)/2,"")</f>
        <v/>
      </c>
      <c r="AH272" s="7" t="str">
        <f>IF(33&gt;=94,('Testes estatísticos'!$D$99+'Testes estatísticos'!$D$38)/2,"")</f>
        <v/>
      </c>
      <c r="AI272" s="7" t="str">
        <f>IF(34&gt;=94,('Testes estatísticos'!$D$99+'Testes estatísticos'!$D$39)/2,"")</f>
        <v/>
      </c>
      <c r="AJ272" s="7" t="str">
        <f>IF(35&gt;=94,('Testes estatísticos'!$D$99+'Testes estatísticos'!$D$40)/2,"")</f>
        <v/>
      </c>
      <c r="AK272" s="7" t="str">
        <f>IF(36&gt;=94,('Testes estatísticos'!$D$99+'Testes estatísticos'!$D$41)/2,"")</f>
        <v/>
      </c>
      <c r="AL272" s="7" t="str">
        <f>IF(37&gt;=94,('Testes estatísticos'!$D$99+'Testes estatísticos'!$D$42)/2,"")</f>
        <v/>
      </c>
      <c r="AM272" s="7" t="str">
        <f>IF(38&gt;=94,('Testes estatísticos'!$D$99+'Testes estatísticos'!$D$43)/2,"")</f>
        <v/>
      </c>
      <c r="AN272" s="7" t="str">
        <f>IF(39&gt;=94,('Testes estatísticos'!$D$99+'Testes estatísticos'!$D$44)/2,"")</f>
        <v/>
      </c>
      <c r="AO272" s="7" t="str">
        <f>IF(40&gt;=94,('Testes estatísticos'!$D$99+'Testes estatísticos'!$D$45)/2,"")</f>
        <v/>
      </c>
      <c r="AP272" s="7" t="str">
        <f>IF(41&gt;=94,('Testes estatísticos'!$D$99+'Testes estatísticos'!$D$46)/2,"")</f>
        <v/>
      </c>
      <c r="AQ272" s="7" t="str">
        <f>IF(42&gt;=94,('Testes estatísticos'!$D$99+'Testes estatísticos'!$D$47)/2,"")</f>
        <v/>
      </c>
      <c r="AR272" s="7" t="str">
        <f>IF(43&gt;=94,('Testes estatísticos'!$D$99+'Testes estatísticos'!$D$48)/2,"")</f>
        <v/>
      </c>
      <c r="AS272" s="7" t="str">
        <f>IF(44&gt;=94,('Testes estatísticos'!$D$99+'Testes estatísticos'!$D$49)/2,"")</f>
        <v/>
      </c>
      <c r="AT272" s="7" t="str">
        <f>IF(45&gt;=94,('Testes estatísticos'!$D$99+'Testes estatísticos'!$D$50)/2,"")</f>
        <v/>
      </c>
      <c r="AU272" s="7" t="str">
        <f>IF(46&gt;=94,('Testes estatísticos'!$D$99+'Testes estatísticos'!$D$51)/2,"")</f>
        <v/>
      </c>
      <c r="AV272" s="7" t="str">
        <f>IF(47&gt;=94,('Testes estatísticos'!$D$99+'Testes estatísticos'!$D$52)/2,"")</f>
        <v/>
      </c>
      <c r="AW272" s="7" t="str">
        <f>IF(48&gt;=94,('Testes estatísticos'!$D$99+'Testes estatísticos'!$D$53)/2,"")</f>
        <v/>
      </c>
      <c r="AX272" s="7" t="str">
        <f>IF(49&gt;=94,('Testes estatísticos'!$D$99+'Testes estatísticos'!$D$54)/2,"")</f>
        <v/>
      </c>
      <c r="AY272" s="7" t="str">
        <f>IF(50&gt;=94,('Testes estatísticos'!$D$99+'Testes estatísticos'!$D$55)/2,"")</f>
        <v/>
      </c>
      <c r="AZ272" s="7" t="str">
        <f>IF(51&gt;=94,('Testes estatísticos'!$D$99+'Testes estatísticos'!$D$56)/2,"")</f>
        <v/>
      </c>
      <c r="BA272" s="7" t="str">
        <f>IF(52&gt;=94,('Testes estatísticos'!$D$99+'Testes estatísticos'!$D$57)/2,"")</f>
        <v/>
      </c>
      <c r="BB272" s="7" t="str">
        <f>IF(53&gt;=94,('Testes estatísticos'!$D$99+'Testes estatísticos'!$D$58)/2,"")</f>
        <v/>
      </c>
      <c r="BC272" s="7" t="str">
        <f>IF(54&gt;=94,('Testes estatísticos'!$D$99+'Testes estatísticos'!$D$59)/2,"")</f>
        <v/>
      </c>
      <c r="BD272" s="7" t="str">
        <f>IF(55&gt;=94,('Testes estatísticos'!$D$99+'Testes estatísticos'!$D$60)/2,"")</f>
        <v/>
      </c>
      <c r="BE272" s="7" t="str">
        <f>IF(56&gt;=94,('Testes estatísticos'!$D$99+'Testes estatísticos'!$D$61)/2,"")</f>
        <v/>
      </c>
      <c r="BF272" s="7" t="str">
        <f>IF(57&gt;=94,('Testes estatísticos'!$D$99+'Testes estatísticos'!$D$62)/2,"")</f>
        <v/>
      </c>
      <c r="BG272" s="7" t="str">
        <f>IF(58&gt;=94,('Testes estatísticos'!$D$99+'Testes estatísticos'!$D$63)/2,"")</f>
        <v/>
      </c>
      <c r="BH272" s="7" t="str">
        <f>IF(59&gt;=94,('Testes estatísticos'!$D$99+'Testes estatísticos'!$D$64)/2,"")</f>
        <v/>
      </c>
      <c r="BI272" s="7" t="str">
        <f>IF(60&gt;=94,('Testes estatísticos'!$D$99+'Testes estatísticos'!$D$65)/2,"")</f>
        <v/>
      </c>
      <c r="BJ272" s="7" t="str">
        <f>IF(61&gt;=94,('Testes estatísticos'!$D$99+'Testes estatísticos'!$D$66)/2,"")</f>
        <v/>
      </c>
      <c r="BK272" s="7" t="str">
        <f>IF(62&gt;=94,('Testes estatísticos'!$D$99+'Testes estatísticos'!$D$67)/2,"")</f>
        <v/>
      </c>
      <c r="BL272" s="7" t="str">
        <f>IF(63&gt;=94,('Testes estatísticos'!$D$99+'Testes estatísticos'!$D$68)/2,"")</f>
        <v/>
      </c>
      <c r="BM272" s="7" t="str">
        <f>IF(64&gt;=94,('Testes estatísticos'!$D$99+'Testes estatísticos'!$D$69)/2,"")</f>
        <v/>
      </c>
      <c r="BN272" s="7" t="str">
        <f>IF(65&gt;=94,('Testes estatísticos'!$D$99+'Testes estatísticos'!$D$70)/2,"")</f>
        <v/>
      </c>
      <c r="BO272" s="7" t="str">
        <f>IF(66&gt;=94,('Testes estatísticos'!$D$99+'Testes estatísticos'!$D$71)/2,"")</f>
        <v/>
      </c>
      <c r="BP272" s="7" t="str">
        <f>IF(67&gt;=94,('Testes estatísticos'!$D$99+'Testes estatísticos'!$D$72)/2,"")</f>
        <v/>
      </c>
      <c r="BQ272" s="7" t="str">
        <f>IF(68&gt;=94,('Testes estatísticos'!$D$99+'Testes estatísticos'!$D$73)/2,"")</f>
        <v/>
      </c>
      <c r="BR272" s="7" t="str">
        <f>IF(69&gt;=94,('Testes estatísticos'!$D$99+'Testes estatísticos'!$D$74)/2,"")</f>
        <v/>
      </c>
      <c r="BS272" s="7" t="str">
        <f>IF(70&gt;=94,('Testes estatísticos'!$D$99+'Testes estatísticos'!$D$75)/2,"")</f>
        <v/>
      </c>
      <c r="BT272" s="7" t="str">
        <f>IF(71&gt;=94,('Testes estatísticos'!$D$99+'Testes estatísticos'!$D$76)/2,"")</f>
        <v/>
      </c>
      <c r="BU272" s="7" t="str">
        <f>IF(72&gt;=94,('Testes estatísticos'!$D$99+'Testes estatísticos'!$D$77)/2,"")</f>
        <v/>
      </c>
      <c r="BV272" s="7" t="str">
        <f>IF(73&gt;=94,('Testes estatísticos'!$D$99+'Testes estatísticos'!$D$78)/2,"")</f>
        <v/>
      </c>
      <c r="BW272" s="7" t="str">
        <f>IF(74&gt;=94,('Testes estatísticos'!$D$99+'Testes estatísticos'!$D$79)/2,"")</f>
        <v/>
      </c>
      <c r="BX272" s="7" t="str">
        <f>IF(75&gt;=94,('Testes estatísticos'!$D$99+'Testes estatísticos'!$D$80)/2,"")</f>
        <v/>
      </c>
      <c r="BY272" s="7" t="str">
        <f>IF(76&gt;=94,('Testes estatísticos'!$D$99+'Testes estatísticos'!$D$81)/2,"")</f>
        <v/>
      </c>
      <c r="BZ272" s="7" t="str">
        <f>IF(77&gt;=94,('Testes estatísticos'!$D$99+'Testes estatísticos'!$D$82)/2,"")</f>
        <v/>
      </c>
      <c r="CA272" s="7" t="str">
        <f>IF(78&gt;=94,('Testes estatísticos'!$D$99+'Testes estatísticos'!$D$83)/2,"")</f>
        <v/>
      </c>
      <c r="CB272" s="7" t="str">
        <f>IF(79&gt;=94,('Testes estatísticos'!$D$99+'Testes estatísticos'!$D$84)/2,"")</f>
        <v/>
      </c>
      <c r="CC272" s="7" t="str">
        <f>IF(80&gt;=94,('Testes estatísticos'!$D$99+'Testes estatísticos'!$D$85)/2,"")</f>
        <v/>
      </c>
      <c r="CD272" s="7" t="str">
        <f>IF(81&gt;=94,('Testes estatísticos'!$D$99+'Testes estatísticos'!$D$86)/2,"")</f>
        <v/>
      </c>
      <c r="CE272" s="7" t="str">
        <f>IF(82&gt;=94,('Testes estatísticos'!$D$99+'Testes estatísticos'!$D$87)/2,"")</f>
        <v/>
      </c>
      <c r="CF272" s="7" t="str">
        <f>IF(83&gt;=94,('Testes estatísticos'!$D$99+'Testes estatísticos'!$D$88)/2,"")</f>
        <v/>
      </c>
      <c r="CG272" s="7" t="str">
        <f>IF(84&gt;=94,('Testes estatísticos'!$D$99+'Testes estatísticos'!$D$89)/2,"")</f>
        <v/>
      </c>
      <c r="CH272" s="7" t="str">
        <f>IF(85&gt;=94,('Testes estatísticos'!$D$99+'Testes estatísticos'!$D$90)/2,"")</f>
        <v/>
      </c>
      <c r="CI272" s="7" t="str">
        <f>IF(86&gt;=94,('Testes estatísticos'!$D$99+'Testes estatísticos'!$D$91)/2,"")</f>
        <v/>
      </c>
      <c r="CJ272" s="7" t="str">
        <f>IF(87&gt;=94,('Testes estatísticos'!$D$99+'Testes estatísticos'!$D$92)/2,"")</f>
        <v/>
      </c>
      <c r="CK272" s="7" t="str">
        <f>IF(88&gt;=94,('Testes estatísticos'!$D$99+'Testes estatísticos'!$D$93)/2,"")</f>
        <v/>
      </c>
      <c r="CL272" s="7" t="str">
        <f>IF(89&gt;=94,('Testes estatísticos'!$D$99+'Testes estatísticos'!$D$94)/2,"")</f>
        <v/>
      </c>
      <c r="CM272" s="7" t="str">
        <f>IF(90&gt;=94,('Testes estatísticos'!$D$99+'Testes estatísticos'!$D$95)/2,"")</f>
        <v/>
      </c>
      <c r="CN272" s="7" t="str">
        <f>IF(91&gt;=94,('Testes estatísticos'!$D$99+'Testes estatísticos'!$D$96)/2,"")</f>
        <v/>
      </c>
      <c r="CO272" s="7" t="str">
        <f>IF(92&gt;=94,('Testes estatísticos'!$D$99+'Testes estatísticos'!$D$97)/2,"")</f>
        <v/>
      </c>
      <c r="CP272" s="7" t="str">
        <f>IF(93&gt;=94,('Testes estatísticos'!$D$99+'Testes estatísticos'!$D$98)/2,"")</f>
        <v/>
      </c>
      <c r="CQ272" s="7">
        <f>IF(94&gt;=94,('Testes estatísticos'!$D$99+'Testes estatísticos'!$D$99)/2,"")</f>
        <v>-6.9470000000002585E-2</v>
      </c>
      <c r="CR272" s="7">
        <f>IF(95&gt;=94,('Testes estatísticos'!$D$99+'Testes estatísticos'!$D$100)/2,"")</f>
        <v>-1.9752630000000018</v>
      </c>
      <c r="CS272" s="7">
        <f>IF(96&gt;=94,('Testes estatísticos'!$D$99+'Testes estatísticos'!$D$101)/2,"")</f>
        <v>-1.931276000000004</v>
      </c>
      <c r="CT272" s="7">
        <f>IF(97&gt;=94,('Testes estatísticos'!$D$99+'Testes estatísticos'!$D$102)/2,"")</f>
        <v>-1.6982255000000031</v>
      </c>
      <c r="CU272" s="7">
        <f>IF(98&gt;=94,('Testes estatísticos'!$D$99+'Testes estatísticos'!$D$103)/2,"")</f>
        <v>-1.6408994999999997</v>
      </c>
      <c r="CV272" s="7">
        <f>IF(99&gt;=94,('Testes estatísticos'!$D$99+'Testes estatísticos'!$D$104)/2,"")</f>
        <v>-2.0757255000000008</v>
      </c>
      <c r="CW272" s="7">
        <f>IF(100&gt;=94,('Testes estatísticos'!$D$99+'Testes estatísticos'!$D$105)/2,"")</f>
        <v>-2.1751915000000004</v>
      </c>
      <c r="CX272" s="7">
        <f>IF(101&gt;=94,('Testes estatísticos'!$D$99+'Testes estatísticos'!$D$106)/2,"")</f>
        <v>-1.6522649999999999</v>
      </c>
      <c r="CY272" s="7">
        <f>IF(102&gt;=94,('Testes estatísticos'!$D$99+'Testes estatísticos'!$D$107)/2,"")</f>
        <v>-1.7079300000000011</v>
      </c>
      <c r="CZ272" s="7">
        <f>IF(103&gt;=94,('Testes estatísticos'!$D$99+'Testes estatísticos'!$D$108)/2,"")</f>
        <v>-2.2320965000000008</v>
      </c>
      <c r="DA272" s="7">
        <f>IF(104&gt;=94,('Testes estatísticos'!$D$99+'Testes estatísticos'!$D$109)/2,"")</f>
        <v>-1.9694624999999988</v>
      </c>
      <c r="DB272" s="7">
        <f>IF(105&gt;=94,('Testes estatísticos'!$D$99+'Testes estatísticos'!$D$110)/2,"")</f>
        <v>-1.9351315000000007</v>
      </c>
      <c r="DC272" s="7">
        <f>IF(106&gt;=94,('Testes estatísticos'!$D$99+'Testes estatísticos'!$D$111)/2,"")</f>
        <v>-1.1922105000000016</v>
      </c>
      <c r="DD272" s="7">
        <f>IF(107&gt;=94,('Testes estatísticos'!$D$99+'Testes estatísticos'!$D$112)/2,"")</f>
        <v>2.3009604999999986</v>
      </c>
      <c r="DE272" s="7">
        <f>IF(108&gt;=94,('Testes estatísticos'!$D$99+'Testes estatísticos'!$D$113)/2,"")</f>
        <v>-1.1216749999999998</v>
      </c>
      <c r="DF272" s="7">
        <f>IF(109&gt;=94,('Testes estatísticos'!$D$99+'Testes estatísticos'!$D$114)/2,"")</f>
        <v>-1.1579319999999989</v>
      </c>
      <c r="DG272" s="7">
        <f>IF(110&gt;=94,('Testes estatísticos'!$D$99+'Testes estatísticos'!$D$115)/2,"")</f>
        <v>-6.7050715000000025</v>
      </c>
      <c r="DH272" s="7">
        <f>IF(111&gt;=94,('Testes estatísticos'!$D$99+'Testes estatísticos'!$D$116)/2,"")</f>
        <v>-1.024241</v>
      </c>
      <c r="DI272" s="7">
        <f>IF(112&gt;=94,('Testes estatísticos'!$D$99+'Testes estatísticos'!$D$117)/2,"")</f>
        <v>4.4041989999999984</v>
      </c>
      <c r="DJ272" s="7">
        <f>IF(113&gt;=94,('Testes estatísticos'!$D$99+'Testes estatísticos'!$D$118)/2,"")</f>
        <v>-1.0523580000000017</v>
      </c>
      <c r="DK272" s="7">
        <f>IF(114&gt;=94,('Testes estatísticos'!$D$99+'Testes estatísticos'!$D$119)/2,"")</f>
        <v>-1.1541080000000008</v>
      </c>
      <c r="DL272" s="7">
        <f>IF(115&gt;=94,('Testes estatísticos'!$D$99+'Testes estatísticos'!$D$120)/2,"")</f>
        <v>-1.1076304999999991</v>
      </c>
      <c r="DM272" s="7">
        <f>IF(116&gt;=94,('Testes estatísticos'!$D$99+'Testes estatísticos'!$D$121)/2,"")</f>
        <v>-1.0990280000000006</v>
      </c>
      <c r="DN272" s="7">
        <f>IF(117&gt;=94,('Testes estatísticos'!$D$99+'Testes estatísticos'!$D$122)/2,"")</f>
        <v>-1.075960000000002</v>
      </c>
      <c r="DO272" s="7">
        <f>IF(118&gt;=94,('Testes estatísticos'!$D$99+'Testes estatísticos'!$D$123)/2,"")</f>
        <v>-1.0260495000000027</v>
      </c>
      <c r="DP272" s="7">
        <f>IF(119&gt;=94,('Testes estatísticos'!$D$99+'Testes estatísticos'!$D$124)/2,"")</f>
        <v>-1.0472610000000024</v>
      </c>
      <c r="DQ272" s="7">
        <f>IF(120&gt;=94,('Testes estatísticos'!$D$99+'Testes estatísticos'!$D$125)/2,"")</f>
        <v>2.0043535000000006</v>
      </c>
      <c r="DR272" s="7">
        <f>IF(121&gt;=94,('Testes estatísticos'!$D$99+'Testes estatísticos'!$D$126)/2,"")</f>
        <v>-0.78466300000000189</v>
      </c>
      <c r="DS272" s="7">
        <f>IF(122&gt;=94,('Testes estatísticos'!$D$99+'Testes estatísticos'!$D$127)/2,"")</f>
        <v>-1.8500714999999985</v>
      </c>
      <c r="DT272" s="7">
        <f>IF(123&gt;=94,('Testes estatísticos'!$D$99+'Testes estatísticos'!$D$128)/2,"")</f>
        <v>4.2187979999999961</v>
      </c>
      <c r="DU272" s="7">
        <f>IF(124&gt;=94,('Testes estatísticos'!$D$99+'Testes estatísticos'!$D$129)/2,"")</f>
        <v>-0.67697350000000256</v>
      </c>
      <c r="DV272" s="7">
        <f>IF(125&gt;=94,('Testes estatísticos'!$D$99+'Testes estatísticos'!$D$130)/2,"")</f>
        <v>0.48133399999999682</v>
      </c>
      <c r="DW272" s="7">
        <f>IF(126&gt;=94,('Testes estatísticos'!$D$99+'Testes estatísticos'!$D$131)/2,"")</f>
        <v>-1.9221420000000009</v>
      </c>
      <c r="DX272" s="7">
        <f>IF(127&gt;=94,('Testes estatísticos'!$D$99+'Testes estatísticos'!$D$132)/2,"")</f>
        <v>-3.9783335000000015</v>
      </c>
      <c r="DY272" s="7">
        <f>IF(128&gt;=94,('Testes estatísticos'!$D$99+'Testes estatísticos'!$D$133)/2,"")</f>
        <v>-4.3194230000000005</v>
      </c>
      <c r="DZ272" s="7">
        <f>IF(129&gt;=94,('Testes estatísticos'!$D$99+'Testes estatísticos'!$D$134)/2,"")</f>
        <v>-7.7432130000000008</v>
      </c>
      <c r="EA272" s="7">
        <f>IF(130&gt;=94,('Testes estatísticos'!$D$99+'Testes estatísticos'!$D$135)/2,"")</f>
        <v>-1.9814429999999987</v>
      </c>
      <c r="EB272" s="7">
        <f>IF(131&gt;=94,('Testes estatísticos'!$D$99+'Testes estatísticos'!$D$136)/2,"")</f>
        <v>-1.893570000000004</v>
      </c>
      <c r="EC272" s="7">
        <f>IF(132&gt;=94,('Testes estatísticos'!$D$99+'Testes estatísticos'!$D$137)/2,"")</f>
        <v>-3.3803065000000032</v>
      </c>
      <c r="ED272" s="7">
        <f>IF(133&gt;=94,('Testes estatísticos'!$D$99+'Testes estatísticos'!$D$138)/2,"")</f>
        <v>-1.1913690000000017</v>
      </c>
      <c r="EE272" s="7">
        <f>IF(134&gt;=94,('Testes estatísticos'!$D$99+'Testes estatísticos'!$D$139)/2,"")</f>
        <v>-3.4885595000000045</v>
      </c>
      <c r="EF272" s="7">
        <f>IF(135&gt;=94,('Testes estatísticos'!$D$99+'Testes estatísticos'!$D$140)/2,"")</f>
        <v>-0.27412700000000001</v>
      </c>
      <c r="EG272" s="7">
        <f>IF(136&gt;=94,('Testes estatísticos'!$D$99+'Testes estatísticos'!$D$141)/2,"")</f>
        <v>-1.9676170000000042</v>
      </c>
      <c r="EH272" s="7">
        <f>IF(137&gt;=94,('Testes estatísticos'!$D$99+'Testes estatísticos'!$D$142)/2,"")</f>
        <v>-0.26287700000000314</v>
      </c>
      <c r="EI272" s="7">
        <f>IF(138&gt;=94,('Testes estatísticos'!$D$99+'Testes estatísticos'!$D$143)/2,"")</f>
        <v>-1.9278924999999987</v>
      </c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</row>
    <row r="273" spans="2:151" x14ac:dyDescent="0.3">
      <c r="B273" s="7" t="str">
        <f>IF(1&gt;=95,('Testes estatísticos'!$D$100+'Testes estatísticos'!$D$6)/2,"")</f>
        <v/>
      </c>
      <c r="C273" s="7" t="str">
        <f>IF(2&gt;=95,('Testes estatísticos'!$D$100+'Testes estatísticos'!$D$7)/2,"")</f>
        <v/>
      </c>
      <c r="D273" s="7" t="str">
        <f>IF(3&gt;=95,('Testes estatísticos'!$D$100+'Testes estatísticos'!$D$8)/2,"")</f>
        <v/>
      </c>
      <c r="E273" s="7" t="str">
        <f>IF(4&gt;=95,('Testes estatísticos'!$D$100+'Testes estatísticos'!$D$9)/2,"")</f>
        <v/>
      </c>
      <c r="F273" s="7" t="str">
        <f>IF(5&gt;=95,('Testes estatísticos'!$D$100+'Testes estatísticos'!$D$10)/2,"")</f>
        <v/>
      </c>
      <c r="G273" s="7" t="str">
        <f>IF(6&gt;=95,('Testes estatísticos'!$D$100+'Testes estatísticos'!$D$11)/2,"")</f>
        <v/>
      </c>
      <c r="H273" s="7" t="str">
        <f>IF(7&gt;=95,('Testes estatísticos'!$D$100+'Testes estatísticos'!$D$12)/2,"")</f>
        <v/>
      </c>
      <c r="I273" s="7" t="str">
        <f>IF(8&gt;=95,('Testes estatísticos'!$D$100+'Testes estatísticos'!$D$13)/2,"")</f>
        <v/>
      </c>
      <c r="J273" s="7" t="str">
        <f>IF(9&gt;=95,('Testes estatísticos'!$D$100+'Testes estatísticos'!$D$14)/2,"")</f>
        <v/>
      </c>
      <c r="K273" s="7" t="str">
        <f>IF(10&gt;=95,('Testes estatísticos'!$D$100+'Testes estatísticos'!$D$15)/2,"")</f>
        <v/>
      </c>
      <c r="L273" s="7" t="str">
        <f>IF(11&gt;=95,('Testes estatísticos'!$D$100+'Testes estatísticos'!$D$16)/2,"")</f>
        <v/>
      </c>
      <c r="M273" s="7" t="str">
        <f>IF(12&gt;=95,('Testes estatísticos'!$D$100+'Testes estatísticos'!$D$17)/2,"")</f>
        <v/>
      </c>
      <c r="N273" s="7" t="str">
        <f>IF(13&gt;=95,('Testes estatísticos'!$D$100+'Testes estatísticos'!$D$18)/2,"")</f>
        <v/>
      </c>
      <c r="O273" s="7" t="str">
        <f>IF(14&gt;=95,('Testes estatísticos'!$D$100+'Testes estatísticos'!$D$19)/2,"")</f>
        <v/>
      </c>
      <c r="P273" s="7" t="str">
        <f>IF(15&gt;=95,('Testes estatísticos'!$D$100+'Testes estatísticos'!$D$20)/2,"")</f>
        <v/>
      </c>
      <c r="Q273" s="7" t="str">
        <f>IF(16&gt;=95,('Testes estatísticos'!$D$100+'Testes estatísticos'!$D$21)/2,"")</f>
        <v/>
      </c>
      <c r="R273" s="7" t="str">
        <f>IF(17&gt;=95,('Testes estatísticos'!$D$100+'Testes estatísticos'!$D$22)/2,"")</f>
        <v/>
      </c>
      <c r="S273" s="7" t="str">
        <f>IF(18&gt;=95,('Testes estatísticos'!$D$100+'Testes estatísticos'!$D$23)/2,"")</f>
        <v/>
      </c>
      <c r="T273" s="7" t="str">
        <f>IF(19&gt;=95,('Testes estatísticos'!$D$100+'Testes estatísticos'!$D$24)/2,"")</f>
        <v/>
      </c>
      <c r="U273" s="7" t="str">
        <f>IF(20&gt;=95,('Testes estatísticos'!$D$100+'Testes estatísticos'!$D$25)/2,"")</f>
        <v/>
      </c>
      <c r="V273" s="7" t="str">
        <f>IF(21&gt;=95,('Testes estatísticos'!$D$100+'Testes estatísticos'!$D$26)/2,"")</f>
        <v/>
      </c>
      <c r="W273" s="7" t="str">
        <f>IF(22&gt;=95,('Testes estatísticos'!$D$100+'Testes estatísticos'!$D$27)/2,"")</f>
        <v/>
      </c>
      <c r="X273" s="7" t="str">
        <f>IF(23&gt;=95,('Testes estatísticos'!$D$100+'Testes estatísticos'!$D$28)/2,"")</f>
        <v/>
      </c>
      <c r="Y273" s="7" t="str">
        <f>IF(24&gt;=95,('Testes estatísticos'!$D$100+'Testes estatísticos'!$D$29)/2,"")</f>
        <v/>
      </c>
      <c r="Z273" s="7" t="str">
        <f>IF(25&gt;=95,('Testes estatísticos'!$D$100+'Testes estatísticos'!$D$30)/2,"")</f>
        <v/>
      </c>
      <c r="AA273" s="7" t="str">
        <f>IF(26&gt;=95,('Testes estatísticos'!$D$100+'Testes estatísticos'!$D$31)/2,"")</f>
        <v/>
      </c>
      <c r="AB273" s="7" t="str">
        <f>IF(27&gt;=95,('Testes estatísticos'!$D$100+'Testes estatísticos'!$D$32)/2,"")</f>
        <v/>
      </c>
      <c r="AC273" s="7" t="str">
        <f>IF(28&gt;=95,('Testes estatísticos'!$D$100+'Testes estatísticos'!$D$33)/2,"")</f>
        <v/>
      </c>
      <c r="AD273" s="7" t="str">
        <f>IF(29&gt;=95,('Testes estatísticos'!$D$100+'Testes estatísticos'!$D$34)/2,"")</f>
        <v/>
      </c>
      <c r="AE273" s="7" t="str">
        <f>IF(30&gt;=95,('Testes estatísticos'!$D$100+'Testes estatísticos'!$D$35)/2,"")</f>
        <v/>
      </c>
      <c r="AF273" s="7" t="str">
        <f>IF(31&gt;=95,('Testes estatísticos'!$D$100+'Testes estatísticos'!$D$36)/2,"")</f>
        <v/>
      </c>
      <c r="AG273" s="7" t="str">
        <f>IF(32&gt;=95,('Testes estatísticos'!$D$100+'Testes estatísticos'!$D$37)/2,"")</f>
        <v/>
      </c>
      <c r="AH273" s="7" t="str">
        <f>IF(33&gt;=95,('Testes estatísticos'!$D$100+'Testes estatísticos'!$D$38)/2,"")</f>
        <v/>
      </c>
      <c r="AI273" s="7" t="str">
        <f>IF(34&gt;=95,('Testes estatísticos'!$D$100+'Testes estatísticos'!$D$39)/2,"")</f>
        <v/>
      </c>
      <c r="AJ273" s="7" t="str">
        <f>IF(35&gt;=95,('Testes estatísticos'!$D$100+'Testes estatísticos'!$D$40)/2,"")</f>
        <v/>
      </c>
      <c r="AK273" s="7" t="str">
        <f>IF(36&gt;=95,('Testes estatísticos'!$D$100+'Testes estatísticos'!$D$41)/2,"")</f>
        <v/>
      </c>
      <c r="AL273" s="7" t="str">
        <f>IF(37&gt;=95,('Testes estatísticos'!$D$100+'Testes estatísticos'!$D$42)/2,"")</f>
        <v/>
      </c>
      <c r="AM273" s="7" t="str">
        <f>IF(38&gt;=95,('Testes estatísticos'!$D$100+'Testes estatísticos'!$D$43)/2,"")</f>
        <v/>
      </c>
      <c r="AN273" s="7" t="str">
        <f>IF(39&gt;=95,('Testes estatísticos'!$D$100+'Testes estatísticos'!$D$44)/2,"")</f>
        <v/>
      </c>
      <c r="AO273" s="7" t="str">
        <f>IF(40&gt;=95,('Testes estatísticos'!$D$100+'Testes estatísticos'!$D$45)/2,"")</f>
        <v/>
      </c>
      <c r="AP273" s="7" t="str">
        <f>IF(41&gt;=95,('Testes estatísticos'!$D$100+'Testes estatísticos'!$D$46)/2,"")</f>
        <v/>
      </c>
      <c r="AQ273" s="7" t="str">
        <f>IF(42&gt;=95,('Testes estatísticos'!$D$100+'Testes estatísticos'!$D$47)/2,"")</f>
        <v/>
      </c>
      <c r="AR273" s="7" t="str">
        <f>IF(43&gt;=95,('Testes estatísticos'!$D$100+'Testes estatísticos'!$D$48)/2,"")</f>
        <v/>
      </c>
      <c r="AS273" s="7" t="str">
        <f>IF(44&gt;=95,('Testes estatísticos'!$D$100+'Testes estatísticos'!$D$49)/2,"")</f>
        <v/>
      </c>
      <c r="AT273" s="7" t="str">
        <f>IF(45&gt;=95,('Testes estatísticos'!$D$100+'Testes estatísticos'!$D$50)/2,"")</f>
        <v/>
      </c>
      <c r="AU273" s="7" t="str">
        <f>IF(46&gt;=95,('Testes estatísticos'!$D$100+'Testes estatísticos'!$D$51)/2,"")</f>
        <v/>
      </c>
      <c r="AV273" s="7" t="str">
        <f>IF(47&gt;=95,('Testes estatísticos'!$D$100+'Testes estatísticos'!$D$52)/2,"")</f>
        <v/>
      </c>
      <c r="AW273" s="7" t="str">
        <f>IF(48&gt;=95,('Testes estatísticos'!$D$100+'Testes estatísticos'!$D$53)/2,"")</f>
        <v/>
      </c>
      <c r="AX273" s="7" t="str">
        <f>IF(49&gt;=95,('Testes estatísticos'!$D$100+'Testes estatísticos'!$D$54)/2,"")</f>
        <v/>
      </c>
      <c r="AY273" s="7" t="str">
        <f>IF(50&gt;=95,('Testes estatísticos'!$D$100+'Testes estatísticos'!$D$55)/2,"")</f>
        <v/>
      </c>
      <c r="AZ273" s="7" t="str">
        <f>IF(51&gt;=95,('Testes estatísticos'!$D$100+'Testes estatísticos'!$D$56)/2,"")</f>
        <v/>
      </c>
      <c r="BA273" s="7" t="str">
        <f>IF(52&gt;=95,('Testes estatísticos'!$D$100+'Testes estatísticos'!$D$57)/2,"")</f>
        <v/>
      </c>
      <c r="BB273" s="7" t="str">
        <f>IF(53&gt;=95,('Testes estatísticos'!$D$100+'Testes estatísticos'!$D$58)/2,"")</f>
        <v/>
      </c>
      <c r="BC273" s="7" t="str">
        <f>IF(54&gt;=95,('Testes estatísticos'!$D$100+'Testes estatísticos'!$D$59)/2,"")</f>
        <v/>
      </c>
      <c r="BD273" s="7" t="str">
        <f>IF(55&gt;=95,('Testes estatísticos'!$D$100+'Testes estatísticos'!$D$60)/2,"")</f>
        <v/>
      </c>
      <c r="BE273" s="7" t="str">
        <f>IF(56&gt;=95,('Testes estatísticos'!$D$100+'Testes estatísticos'!$D$61)/2,"")</f>
        <v/>
      </c>
      <c r="BF273" s="7" t="str">
        <f>IF(57&gt;=95,('Testes estatísticos'!$D$100+'Testes estatísticos'!$D$62)/2,"")</f>
        <v/>
      </c>
      <c r="BG273" s="7" t="str">
        <f>IF(58&gt;=95,('Testes estatísticos'!$D$100+'Testes estatísticos'!$D$63)/2,"")</f>
        <v/>
      </c>
      <c r="BH273" s="7" t="str">
        <f>IF(59&gt;=95,('Testes estatísticos'!$D$100+'Testes estatísticos'!$D$64)/2,"")</f>
        <v/>
      </c>
      <c r="BI273" s="7" t="str">
        <f>IF(60&gt;=95,('Testes estatísticos'!$D$100+'Testes estatísticos'!$D$65)/2,"")</f>
        <v/>
      </c>
      <c r="BJ273" s="7" t="str">
        <f>IF(61&gt;=95,('Testes estatísticos'!$D$100+'Testes estatísticos'!$D$66)/2,"")</f>
        <v/>
      </c>
      <c r="BK273" s="7" t="str">
        <f>IF(62&gt;=95,('Testes estatísticos'!$D$100+'Testes estatísticos'!$D$67)/2,"")</f>
        <v/>
      </c>
      <c r="BL273" s="7" t="str">
        <f>IF(63&gt;=95,('Testes estatísticos'!$D$100+'Testes estatísticos'!$D$68)/2,"")</f>
        <v/>
      </c>
      <c r="BM273" s="7" t="str">
        <f>IF(64&gt;=95,('Testes estatísticos'!$D$100+'Testes estatísticos'!$D$69)/2,"")</f>
        <v/>
      </c>
      <c r="BN273" s="7" t="str">
        <f>IF(65&gt;=95,('Testes estatísticos'!$D$100+'Testes estatísticos'!$D$70)/2,"")</f>
        <v/>
      </c>
      <c r="BO273" s="7" t="str">
        <f>IF(66&gt;=95,('Testes estatísticos'!$D$100+'Testes estatísticos'!$D$71)/2,"")</f>
        <v/>
      </c>
      <c r="BP273" s="7" t="str">
        <f>IF(67&gt;=95,('Testes estatísticos'!$D$100+'Testes estatísticos'!$D$72)/2,"")</f>
        <v/>
      </c>
      <c r="BQ273" s="7" t="str">
        <f>IF(68&gt;=95,('Testes estatísticos'!$D$100+'Testes estatísticos'!$D$73)/2,"")</f>
        <v/>
      </c>
      <c r="BR273" s="7" t="str">
        <f>IF(69&gt;=95,('Testes estatísticos'!$D$100+'Testes estatísticos'!$D$74)/2,"")</f>
        <v/>
      </c>
      <c r="BS273" s="7" t="str">
        <f>IF(70&gt;=95,('Testes estatísticos'!$D$100+'Testes estatísticos'!$D$75)/2,"")</f>
        <v/>
      </c>
      <c r="BT273" s="7" t="str">
        <f>IF(71&gt;=95,('Testes estatísticos'!$D$100+'Testes estatísticos'!$D$76)/2,"")</f>
        <v/>
      </c>
      <c r="BU273" s="7" t="str">
        <f>IF(72&gt;=95,('Testes estatísticos'!$D$100+'Testes estatísticos'!$D$77)/2,"")</f>
        <v/>
      </c>
      <c r="BV273" s="7" t="str">
        <f>IF(73&gt;=95,('Testes estatísticos'!$D$100+'Testes estatísticos'!$D$78)/2,"")</f>
        <v/>
      </c>
      <c r="BW273" s="7" t="str">
        <f>IF(74&gt;=95,('Testes estatísticos'!$D$100+'Testes estatísticos'!$D$79)/2,"")</f>
        <v/>
      </c>
      <c r="BX273" s="7" t="str">
        <f>IF(75&gt;=95,('Testes estatísticos'!$D$100+'Testes estatísticos'!$D$80)/2,"")</f>
        <v/>
      </c>
      <c r="BY273" s="7" t="str">
        <f>IF(76&gt;=95,('Testes estatísticos'!$D$100+'Testes estatísticos'!$D$81)/2,"")</f>
        <v/>
      </c>
      <c r="BZ273" s="7" t="str">
        <f>IF(77&gt;=95,('Testes estatísticos'!$D$100+'Testes estatísticos'!$D$82)/2,"")</f>
        <v/>
      </c>
      <c r="CA273" s="7" t="str">
        <f>IF(78&gt;=95,('Testes estatísticos'!$D$100+'Testes estatísticos'!$D$83)/2,"")</f>
        <v/>
      </c>
      <c r="CB273" s="7" t="str">
        <f>IF(79&gt;=95,('Testes estatísticos'!$D$100+'Testes estatísticos'!$D$84)/2,"")</f>
        <v/>
      </c>
      <c r="CC273" s="7" t="str">
        <f>IF(80&gt;=95,('Testes estatísticos'!$D$100+'Testes estatísticos'!$D$85)/2,"")</f>
        <v/>
      </c>
      <c r="CD273" s="7" t="str">
        <f>IF(81&gt;=95,('Testes estatísticos'!$D$100+'Testes estatísticos'!$D$86)/2,"")</f>
        <v/>
      </c>
      <c r="CE273" s="7" t="str">
        <f>IF(82&gt;=95,('Testes estatísticos'!$D$100+'Testes estatísticos'!$D$87)/2,"")</f>
        <v/>
      </c>
      <c r="CF273" s="7" t="str">
        <f>IF(83&gt;=95,('Testes estatísticos'!$D$100+'Testes estatísticos'!$D$88)/2,"")</f>
        <v/>
      </c>
      <c r="CG273" s="7" t="str">
        <f>IF(84&gt;=95,('Testes estatísticos'!$D$100+'Testes estatísticos'!$D$89)/2,"")</f>
        <v/>
      </c>
      <c r="CH273" s="7" t="str">
        <f>IF(85&gt;=95,('Testes estatísticos'!$D$100+'Testes estatísticos'!$D$90)/2,"")</f>
        <v/>
      </c>
      <c r="CI273" s="7" t="str">
        <f>IF(86&gt;=95,('Testes estatísticos'!$D$100+'Testes estatísticos'!$D$91)/2,"")</f>
        <v/>
      </c>
      <c r="CJ273" s="7" t="str">
        <f>IF(87&gt;=95,('Testes estatísticos'!$D$100+'Testes estatísticos'!$D$92)/2,"")</f>
        <v/>
      </c>
      <c r="CK273" s="7" t="str">
        <f>IF(88&gt;=95,('Testes estatísticos'!$D$100+'Testes estatísticos'!$D$93)/2,"")</f>
        <v/>
      </c>
      <c r="CL273" s="7" t="str">
        <f>IF(89&gt;=95,('Testes estatísticos'!$D$100+'Testes estatísticos'!$D$94)/2,"")</f>
        <v/>
      </c>
      <c r="CM273" s="7" t="str">
        <f>IF(90&gt;=95,('Testes estatísticos'!$D$100+'Testes estatísticos'!$D$95)/2,"")</f>
        <v/>
      </c>
      <c r="CN273" s="7" t="str">
        <f>IF(91&gt;=95,('Testes estatísticos'!$D$100+'Testes estatísticos'!$D$96)/2,"")</f>
        <v/>
      </c>
      <c r="CO273" s="7" t="str">
        <f>IF(92&gt;=95,('Testes estatísticos'!$D$100+'Testes estatísticos'!$D$97)/2,"")</f>
        <v/>
      </c>
      <c r="CP273" s="7" t="str">
        <f>IF(93&gt;=95,('Testes estatísticos'!$D$100+'Testes estatísticos'!$D$98)/2,"")</f>
        <v/>
      </c>
      <c r="CQ273" s="7" t="str">
        <f>IF(94&gt;=95,('Testes estatísticos'!$D$100+'Testes estatísticos'!$D$99)/2,"")</f>
        <v/>
      </c>
      <c r="CR273" s="7">
        <f>IF(95&gt;=95,('Testes estatísticos'!$D$100+'Testes estatísticos'!$D$100)/2,"")</f>
        <v>-3.8810560000000009</v>
      </c>
      <c r="CS273" s="7">
        <f>IF(96&gt;=95,('Testes estatísticos'!$D$100+'Testes estatísticos'!$D$101)/2,"")</f>
        <v>-3.8370690000000032</v>
      </c>
      <c r="CT273" s="7">
        <f>IF(97&gt;=95,('Testes estatísticos'!$D$100+'Testes estatísticos'!$D$102)/2,"")</f>
        <v>-3.6040185000000022</v>
      </c>
      <c r="CU273" s="7">
        <f>IF(98&gt;=95,('Testes estatísticos'!$D$100+'Testes estatísticos'!$D$103)/2,"")</f>
        <v>-3.5466924999999989</v>
      </c>
      <c r="CV273" s="7">
        <f>IF(99&gt;=95,('Testes estatísticos'!$D$100+'Testes estatísticos'!$D$104)/2,"")</f>
        <v>-3.9815185</v>
      </c>
      <c r="CW273" s="7">
        <f>IF(100&gt;=95,('Testes estatísticos'!$D$100+'Testes estatísticos'!$D$105)/2,"")</f>
        <v>-4.0809844999999996</v>
      </c>
      <c r="CX273" s="7">
        <f>IF(101&gt;=95,('Testes estatísticos'!$D$100+'Testes estatísticos'!$D$106)/2,"")</f>
        <v>-3.5580579999999991</v>
      </c>
      <c r="CY273" s="7">
        <f>IF(102&gt;=95,('Testes estatísticos'!$D$100+'Testes estatísticos'!$D$107)/2,"")</f>
        <v>-3.6137230000000002</v>
      </c>
      <c r="CZ273" s="7">
        <f>IF(103&gt;=95,('Testes estatísticos'!$D$100+'Testes estatísticos'!$D$108)/2,"")</f>
        <v>-4.1378895</v>
      </c>
      <c r="DA273" s="7">
        <f>IF(104&gt;=95,('Testes estatísticos'!$D$100+'Testes estatísticos'!$D$109)/2,"")</f>
        <v>-3.875255499999998</v>
      </c>
      <c r="DB273" s="7">
        <f>IF(105&gt;=95,('Testes estatísticos'!$D$100+'Testes estatísticos'!$D$110)/2,"")</f>
        <v>-3.8409244999999999</v>
      </c>
      <c r="DC273" s="7">
        <f>IF(106&gt;=95,('Testes estatísticos'!$D$100+'Testes estatísticos'!$D$111)/2,"")</f>
        <v>-3.0980035000000008</v>
      </c>
      <c r="DD273" s="7">
        <f>IF(107&gt;=95,('Testes estatísticos'!$D$100+'Testes estatísticos'!$D$112)/2,"")</f>
        <v>0.39516749999999945</v>
      </c>
      <c r="DE273" s="7">
        <f>IF(108&gt;=95,('Testes estatísticos'!$D$100+'Testes estatísticos'!$D$113)/2,"")</f>
        <v>-3.0274679999999989</v>
      </c>
      <c r="DF273" s="7">
        <f>IF(109&gt;=95,('Testes estatísticos'!$D$100+'Testes estatísticos'!$D$114)/2,"")</f>
        <v>-3.063724999999998</v>
      </c>
      <c r="DG273" s="7">
        <f>IF(110&gt;=95,('Testes estatísticos'!$D$100+'Testes estatísticos'!$D$115)/2,"")</f>
        <v>-8.6108645000000017</v>
      </c>
      <c r="DH273" s="7">
        <f>IF(111&gt;=95,('Testes estatísticos'!$D$100+'Testes estatísticos'!$D$116)/2,"")</f>
        <v>-2.9300339999999991</v>
      </c>
      <c r="DI273" s="7">
        <f>IF(112&gt;=95,('Testes estatísticos'!$D$100+'Testes estatísticos'!$D$117)/2,"")</f>
        <v>2.4984059999999992</v>
      </c>
      <c r="DJ273" s="7">
        <f>IF(113&gt;=95,('Testes estatísticos'!$D$100+'Testes estatísticos'!$D$118)/2,"")</f>
        <v>-2.9581510000000009</v>
      </c>
      <c r="DK273" s="7">
        <f>IF(114&gt;=95,('Testes estatísticos'!$D$100+'Testes estatísticos'!$D$119)/2,"")</f>
        <v>-3.059901</v>
      </c>
      <c r="DL273" s="7">
        <f>IF(115&gt;=95,('Testes estatísticos'!$D$100+'Testes estatísticos'!$D$120)/2,"")</f>
        <v>-3.0134234999999983</v>
      </c>
      <c r="DM273" s="7">
        <f>IF(116&gt;=95,('Testes estatísticos'!$D$100+'Testes estatísticos'!$D$121)/2,"")</f>
        <v>-3.0048209999999997</v>
      </c>
      <c r="DN273" s="7">
        <f>IF(117&gt;=95,('Testes estatísticos'!$D$100+'Testes estatísticos'!$D$122)/2,"")</f>
        <v>-2.9817530000000012</v>
      </c>
      <c r="DO273" s="7">
        <f>IF(118&gt;=95,('Testes estatísticos'!$D$100+'Testes estatísticos'!$D$123)/2,"")</f>
        <v>-2.9318425000000019</v>
      </c>
      <c r="DP273" s="7">
        <f>IF(119&gt;=95,('Testes estatísticos'!$D$100+'Testes estatísticos'!$D$124)/2,"")</f>
        <v>-2.9530540000000016</v>
      </c>
      <c r="DQ273" s="7">
        <f>IF(120&gt;=95,('Testes estatísticos'!$D$100+'Testes estatísticos'!$D$125)/2,"")</f>
        <v>9.8560500000001383E-2</v>
      </c>
      <c r="DR273" s="7">
        <f>IF(121&gt;=95,('Testes estatísticos'!$D$100+'Testes estatísticos'!$D$126)/2,"")</f>
        <v>-2.6904560000000011</v>
      </c>
      <c r="DS273" s="7">
        <f>IF(122&gt;=95,('Testes estatísticos'!$D$100+'Testes estatísticos'!$D$127)/2,"")</f>
        <v>-3.7558644999999977</v>
      </c>
      <c r="DT273" s="7">
        <f>IF(123&gt;=95,('Testes estatísticos'!$D$100+'Testes estatísticos'!$D$128)/2,"")</f>
        <v>2.3130049999999969</v>
      </c>
      <c r="DU273" s="7">
        <f>IF(124&gt;=95,('Testes estatísticos'!$D$100+'Testes estatísticos'!$D$129)/2,"")</f>
        <v>-2.5827665000000017</v>
      </c>
      <c r="DV273" s="7">
        <f>IF(125&gt;=95,('Testes estatísticos'!$D$100+'Testes estatísticos'!$D$130)/2,"")</f>
        <v>-1.4244590000000024</v>
      </c>
      <c r="DW273" s="7">
        <f>IF(126&gt;=95,('Testes estatísticos'!$D$100+'Testes estatísticos'!$D$131)/2,"")</f>
        <v>-3.8279350000000001</v>
      </c>
      <c r="DX273" s="7">
        <f>IF(127&gt;=95,('Testes estatísticos'!$D$100+'Testes estatísticos'!$D$132)/2,"")</f>
        <v>-5.8841265000000007</v>
      </c>
      <c r="DY273" s="7">
        <f>IF(128&gt;=95,('Testes estatísticos'!$D$100+'Testes estatísticos'!$D$133)/2,"")</f>
        <v>-6.2252159999999996</v>
      </c>
      <c r="DZ273" s="7">
        <f>IF(129&gt;=95,('Testes estatísticos'!$D$100+'Testes estatísticos'!$D$134)/2,"")</f>
        <v>-9.649006</v>
      </c>
      <c r="EA273" s="7">
        <f>IF(130&gt;=95,('Testes estatísticos'!$D$100+'Testes estatísticos'!$D$135)/2,"")</f>
        <v>-3.8872359999999979</v>
      </c>
      <c r="EB273" s="7">
        <f>IF(131&gt;=95,('Testes estatísticos'!$D$100+'Testes estatísticos'!$D$136)/2,"")</f>
        <v>-3.7993630000000032</v>
      </c>
      <c r="EC273" s="7">
        <f>IF(132&gt;=95,('Testes estatísticos'!$D$100+'Testes estatísticos'!$D$137)/2,"")</f>
        <v>-5.2860995000000024</v>
      </c>
      <c r="ED273" s="7">
        <f>IF(133&gt;=95,('Testes estatísticos'!$D$100+'Testes estatísticos'!$D$138)/2,"")</f>
        <v>-3.0971620000000009</v>
      </c>
      <c r="EE273" s="7">
        <f>IF(134&gt;=95,('Testes estatísticos'!$D$100+'Testes estatísticos'!$D$139)/2,"")</f>
        <v>-5.3943525000000037</v>
      </c>
      <c r="EF273" s="7">
        <f>IF(135&gt;=95,('Testes estatísticos'!$D$100+'Testes estatísticos'!$D$140)/2,"")</f>
        <v>-2.1799199999999992</v>
      </c>
      <c r="EG273" s="7">
        <f>IF(136&gt;=95,('Testes estatísticos'!$D$100+'Testes estatísticos'!$D$141)/2,"")</f>
        <v>-3.8734100000000034</v>
      </c>
      <c r="EH273" s="7">
        <f>IF(137&gt;=95,('Testes estatísticos'!$D$100+'Testes estatísticos'!$D$142)/2,"")</f>
        <v>-2.1686700000000023</v>
      </c>
      <c r="EI273" s="7">
        <f>IF(138&gt;=95,('Testes estatísticos'!$D$100+'Testes estatísticos'!$D$143)/2,"")</f>
        <v>-3.8336854999999979</v>
      </c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</row>
    <row r="274" spans="2:151" x14ac:dyDescent="0.3">
      <c r="B274" s="7" t="str">
        <f>IF(1&gt;=96,('Testes estatísticos'!$D$101+'Testes estatísticos'!$D$6)/2,"")</f>
        <v/>
      </c>
      <c r="C274" s="7" t="str">
        <f>IF(2&gt;=96,('Testes estatísticos'!$D$101+'Testes estatísticos'!$D$7)/2,"")</f>
        <v/>
      </c>
      <c r="D274" s="7" t="str">
        <f>IF(3&gt;=96,('Testes estatísticos'!$D$101+'Testes estatísticos'!$D$8)/2,"")</f>
        <v/>
      </c>
      <c r="E274" s="7" t="str">
        <f>IF(4&gt;=96,('Testes estatísticos'!$D$101+'Testes estatísticos'!$D$9)/2,"")</f>
        <v/>
      </c>
      <c r="F274" s="7" t="str">
        <f>IF(5&gt;=96,('Testes estatísticos'!$D$101+'Testes estatísticos'!$D$10)/2,"")</f>
        <v/>
      </c>
      <c r="G274" s="7" t="str">
        <f>IF(6&gt;=96,('Testes estatísticos'!$D$101+'Testes estatísticos'!$D$11)/2,"")</f>
        <v/>
      </c>
      <c r="H274" s="7" t="str">
        <f>IF(7&gt;=96,('Testes estatísticos'!$D$101+'Testes estatísticos'!$D$12)/2,"")</f>
        <v/>
      </c>
      <c r="I274" s="7" t="str">
        <f>IF(8&gt;=96,('Testes estatísticos'!$D$101+'Testes estatísticos'!$D$13)/2,"")</f>
        <v/>
      </c>
      <c r="J274" s="7" t="str">
        <f>IF(9&gt;=96,('Testes estatísticos'!$D$101+'Testes estatísticos'!$D$14)/2,"")</f>
        <v/>
      </c>
      <c r="K274" s="7" t="str">
        <f>IF(10&gt;=96,('Testes estatísticos'!$D$101+'Testes estatísticos'!$D$15)/2,"")</f>
        <v/>
      </c>
      <c r="L274" s="7" t="str">
        <f>IF(11&gt;=96,('Testes estatísticos'!$D$101+'Testes estatísticos'!$D$16)/2,"")</f>
        <v/>
      </c>
      <c r="M274" s="7" t="str">
        <f>IF(12&gt;=96,('Testes estatísticos'!$D$101+'Testes estatísticos'!$D$17)/2,"")</f>
        <v/>
      </c>
      <c r="N274" s="7" t="str">
        <f>IF(13&gt;=96,('Testes estatísticos'!$D$101+'Testes estatísticos'!$D$18)/2,"")</f>
        <v/>
      </c>
      <c r="O274" s="7" t="str">
        <f>IF(14&gt;=96,('Testes estatísticos'!$D$101+'Testes estatísticos'!$D$19)/2,"")</f>
        <v/>
      </c>
      <c r="P274" s="7" t="str">
        <f>IF(15&gt;=96,('Testes estatísticos'!$D$101+'Testes estatísticos'!$D$20)/2,"")</f>
        <v/>
      </c>
      <c r="Q274" s="7" t="str">
        <f>IF(16&gt;=96,('Testes estatísticos'!$D$101+'Testes estatísticos'!$D$21)/2,"")</f>
        <v/>
      </c>
      <c r="R274" s="7" t="str">
        <f>IF(17&gt;=96,('Testes estatísticos'!$D$101+'Testes estatísticos'!$D$22)/2,"")</f>
        <v/>
      </c>
      <c r="S274" s="7" t="str">
        <f>IF(18&gt;=96,('Testes estatísticos'!$D$101+'Testes estatísticos'!$D$23)/2,"")</f>
        <v/>
      </c>
      <c r="T274" s="7" t="str">
        <f>IF(19&gt;=96,('Testes estatísticos'!$D$101+'Testes estatísticos'!$D$24)/2,"")</f>
        <v/>
      </c>
      <c r="U274" s="7" t="str">
        <f>IF(20&gt;=96,('Testes estatísticos'!$D$101+'Testes estatísticos'!$D$25)/2,"")</f>
        <v/>
      </c>
      <c r="V274" s="7" t="str">
        <f>IF(21&gt;=96,('Testes estatísticos'!$D$101+'Testes estatísticos'!$D$26)/2,"")</f>
        <v/>
      </c>
      <c r="W274" s="7" t="str">
        <f>IF(22&gt;=96,('Testes estatísticos'!$D$101+'Testes estatísticos'!$D$27)/2,"")</f>
        <v/>
      </c>
      <c r="X274" s="7" t="str">
        <f>IF(23&gt;=96,('Testes estatísticos'!$D$101+'Testes estatísticos'!$D$28)/2,"")</f>
        <v/>
      </c>
      <c r="Y274" s="7" t="str">
        <f>IF(24&gt;=96,('Testes estatísticos'!$D$101+'Testes estatísticos'!$D$29)/2,"")</f>
        <v/>
      </c>
      <c r="Z274" s="7" t="str">
        <f>IF(25&gt;=96,('Testes estatísticos'!$D$101+'Testes estatísticos'!$D$30)/2,"")</f>
        <v/>
      </c>
      <c r="AA274" s="7" t="str">
        <f>IF(26&gt;=96,('Testes estatísticos'!$D$101+'Testes estatísticos'!$D$31)/2,"")</f>
        <v/>
      </c>
      <c r="AB274" s="7" t="str">
        <f>IF(27&gt;=96,('Testes estatísticos'!$D$101+'Testes estatísticos'!$D$32)/2,"")</f>
        <v/>
      </c>
      <c r="AC274" s="7" t="str">
        <f>IF(28&gt;=96,('Testes estatísticos'!$D$101+'Testes estatísticos'!$D$33)/2,"")</f>
        <v/>
      </c>
      <c r="AD274" s="7" t="str">
        <f>IF(29&gt;=96,('Testes estatísticos'!$D$101+'Testes estatísticos'!$D$34)/2,"")</f>
        <v/>
      </c>
      <c r="AE274" s="7" t="str">
        <f>IF(30&gt;=96,('Testes estatísticos'!$D$101+'Testes estatísticos'!$D$35)/2,"")</f>
        <v/>
      </c>
      <c r="AF274" s="7" t="str">
        <f>IF(31&gt;=96,('Testes estatísticos'!$D$101+'Testes estatísticos'!$D$36)/2,"")</f>
        <v/>
      </c>
      <c r="AG274" s="7" t="str">
        <f>IF(32&gt;=96,('Testes estatísticos'!$D$101+'Testes estatísticos'!$D$37)/2,"")</f>
        <v/>
      </c>
      <c r="AH274" s="7" t="str">
        <f>IF(33&gt;=96,('Testes estatísticos'!$D$101+'Testes estatísticos'!$D$38)/2,"")</f>
        <v/>
      </c>
      <c r="AI274" s="7" t="str">
        <f>IF(34&gt;=96,('Testes estatísticos'!$D$101+'Testes estatísticos'!$D$39)/2,"")</f>
        <v/>
      </c>
      <c r="AJ274" s="7" t="str">
        <f>IF(35&gt;=96,('Testes estatísticos'!$D$101+'Testes estatísticos'!$D$40)/2,"")</f>
        <v/>
      </c>
      <c r="AK274" s="7" t="str">
        <f>IF(36&gt;=96,('Testes estatísticos'!$D$101+'Testes estatísticos'!$D$41)/2,"")</f>
        <v/>
      </c>
      <c r="AL274" s="7" t="str">
        <f>IF(37&gt;=96,('Testes estatísticos'!$D$101+'Testes estatísticos'!$D$42)/2,"")</f>
        <v/>
      </c>
      <c r="AM274" s="7" t="str">
        <f>IF(38&gt;=96,('Testes estatísticos'!$D$101+'Testes estatísticos'!$D$43)/2,"")</f>
        <v/>
      </c>
      <c r="AN274" s="7" t="str">
        <f>IF(39&gt;=96,('Testes estatísticos'!$D$101+'Testes estatísticos'!$D$44)/2,"")</f>
        <v/>
      </c>
      <c r="AO274" s="7" t="str">
        <f>IF(40&gt;=96,('Testes estatísticos'!$D$101+'Testes estatísticos'!$D$45)/2,"")</f>
        <v/>
      </c>
      <c r="AP274" s="7" t="str">
        <f>IF(41&gt;=96,('Testes estatísticos'!$D$101+'Testes estatísticos'!$D$46)/2,"")</f>
        <v/>
      </c>
      <c r="AQ274" s="7" t="str">
        <f>IF(42&gt;=96,('Testes estatísticos'!$D$101+'Testes estatísticos'!$D$47)/2,"")</f>
        <v/>
      </c>
      <c r="AR274" s="7" t="str">
        <f>IF(43&gt;=96,('Testes estatísticos'!$D$101+'Testes estatísticos'!$D$48)/2,"")</f>
        <v/>
      </c>
      <c r="AS274" s="7" t="str">
        <f>IF(44&gt;=96,('Testes estatísticos'!$D$101+'Testes estatísticos'!$D$49)/2,"")</f>
        <v/>
      </c>
      <c r="AT274" s="7" t="str">
        <f>IF(45&gt;=96,('Testes estatísticos'!$D$101+'Testes estatísticos'!$D$50)/2,"")</f>
        <v/>
      </c>
      <c r="AU274" s="7" t="str">
        <f>IF(46&gt;=96,('Testes estatísticos'!$D$101+'Testes estatísticos'!$D$51)/2,"")</f>
        <v/>
      </c>
      <c r="AV274" s="7" t="str">
        <f>IF(47&gt;=96,('Testes estatísticos'!$D$101+'Testes estatísticos'!$D$52)/2,"")</f>
        <v/>
      </c>
      <c r="AW274" s="7" t="str">
        <f>IF(48&gt;=96,('Testes estatísticos'!$D$101+'Testes estatísticos'!$D$53)/2,"")</f>
        <v/>
      </c>
      <c r="AX274" s="7" t="str">
        <f>IF(49&gt;=96,('Testes estatísticos'!$D$101+'Testes estatísticos'!$D$54)/2,"")</f>
        <v/>
      </c>
      <c r="AY274" s="7" t="str">
        <f>IF(50&gt;=96,('Testes estatísticos'!$D$101+'Testes estatísticos'!$D$55)/2,"")</f>
        <v/>
      </c>
      <c r="AZ274" s="7" t="str">
        <f>IF(51&gt;=96,('Testes estatísticos'!$D$101+'Testes estatísticos'!$D$56)/2,"")</f>
        <v/>
      </c>
      <c r="BA274" s="7" t="str">
        <f>IF(52&gt;=96,('Testes estatísticos'!$D$101+'Testes estatísticos'!$D$57)/2,"")</f>
        <v/>
      </c>
      <c r="BB274" s="7" t="str">
        <f>IF(53&gt;=96,('Testes estatísticos'!$D$101+'Testes estatísticos'!$D$58)/2,"")</f>
        <v/>
      </c>
      <c r="BC274" s="7" t="str">
        <f>IF(54&gt;=96,('Testes estatísticos'!$D$101+'Testes estatísticos'!$D$59)/2,"")</f>
        <v/>
      </c>
      <c r="BD274" s="7" t="str">
        <f>IF(55&gt;=96,('Testes estatísticos'!$D$101+'Testes estatísticos'!$D$60)/2,"")</f>
        <v/>
      </c>
      <c r="BE274" s="7" t="str">
        <f>IF(56&gt;=96,('Testes estatísticos'!$D$101+'Testes estatísticos'!$D$61)/2,"")</f>
        <v/>
      </c>
      <c r="BF274" s="7" t="str">
        <f>IF(57&gt;=96,('Testes estatísticos'!$D$101+'Testes estatísticos'!$D$62)/2,"")</f>
        <v/>
      </c>
      <c r="BG274" s="7" t="str">
        <f>IF(58&gt;=96,('Testes estatísticos'!$D$101+'Testes estatísticos'!$D$63)/2,"")</f>
        <v/>
      </c>
      <c r="BH274" s="7" t="str">
        <f>IF(59&gt;=96,('Testes estatísticos'!$D$101+'Testes estatísticos'!$D$64)/2,"")</f>
        <v/>
      </c>
      <c r="BI274" s="7" t="str">
        <f>IF(60&gt;=96,('Testes estatísticos'!$D$101+'Testes estatísticos'!$D$65)/2,"")</f>
        <v/>
      </c>
      <c r="BJ274" s="7" t="str">
        <f>IF(61&gt;=96,('Testes estatísticos'!$D$101+'Testes estatísticos'!$D$66)/2,"")</f>
        <v/>
      </c>
      <c r="BK274" s="7" t="str">
        <f>IF(62&gt;=96,('Testes estatísticos'!$D$101+'Testes estatísticos'!$D$67)/2,"")</f>
        <v/>
      </c>
      <c r="BL274" s="7" t="str">
        <f>IF(63&gt;=96,('Testes estatísticos'!$D$101+'Testes estatísticos'!$D$68)/2,"")</f>
        <v/>
      </c>
      <c r="BM274" s="7" t="str">
        <f>IF(64&gt;=96,('Testes estatísticos'!$D$101+'Testes estatísticos'!$D$69)/2,"")</f>
        <v/>
      </c>
      <c r="BN274" s="7" t="str">
        <f>IF(65&gt;=96,('Testes estatísticos'!$D$101+'Testes estatísticos'!$D$70)/2,"")</f>
        <v/>
      </c>
      <c r="BO274" s="7" t="str">
        <f>IF(66&gt;=96,('Testes estatísticos'!$D$101+'Testes estatísticos'!$D$71)/2,"")</f>
        <v/>
      </c>
      <c r="BP274" s="7" t="str">
        <f>IF(67&gt;=96,('Testes estatísticos'!$D$101+'Testes estatísticos'!$D$72)/2,"")</f>
        <v/>
      </c>
      <c r="BQ274" s="7" t="str">
        <f>IF(68&gt;=96,('Testes estatísticos'!$D$101+'Testes estatísticos'!$D$73)/2,"")</f>
        <v/>
      </c>
      <c r="BR274" s="7" t="str">
        <f>IF(69&gt;=96,('Testes estatísticos'!$D$101+'Testes estatísticos'!$D$74)/2,"")</f>
        <v/>
      </c>
      <c r="BS274" s="7" t="str">
        <f>IF(70&gt;=96,('Testes estatísticos'!$D$101+'Testes estatísticos'!$D$75)/2,"")</f>
        <v/>
      </c>
      <c r="BT274" s="7" t="str">
        <f>IF(71&gt;=96,('Testes estatísticos'!$D$101+'Testes estatísticos'!$D$76)/2,"")</f>
        <v/>
      </c>
      <c r="BU274" s="7" t="str">
        <f>IF(72&gt;=96,('Testes estatísticos'!$D$101+'Testes estatísticos'!$D$77)/2,"")</f>
        <v/>
      </c>
      <c r="BV274" s="7" t="str">
        <f>IF(73&gt;=96,('Testes estatísticos'!$D$101+'Testes estatísticos'!$D$78)/2,"")</f>
        <v/>
      </c>
      <c r="BW274" s="7" t="str">
        <f>IF(74&gt;=96,('Testes estatísticos'!$D$101+'Testes estatísticos'!$D$79)/2,"")</f>
        <v/>
      </c>
      <c r="BX274" s="7" t="str">
        <f>IF(75&gt;=96,('Testes estatísticos'!$D$101+'Testes estatísticos'!$D$80)/2,"")</f>
        <v/>
      </c>
      <c r="BY274" s="7" t="str">
        <f>IF(76&gt;=96,('Testes estatísticos'!$D$101+'Testes estatísticos'!$D$81)/2,"")</f>
        <v/>
      </c>
      <c r="BZ274" s="7" t="str">
        <f>IF(77&gt;=96,('Testes estatísticos'!$D$101+'Testes estatísticos'!$D$82)/2,"")</f>
        <v/>
      </c>
      <c r="CA274" s="7" t="str">
        <f>IF(78&gt;=96,('Testes estatísticos'!$D$101+'Testes estatísticos'!$D$83)/2,"")</f>
        <v/>
      </c>
      <c r="CB274" s="7" t="str">
        <f>IF(79&gt;=96,('Testes estatísticos'!$D$101+'Testes estatísticos'!$D$84)/2,"")</f>
        <v/>
      </c>
      <c r="CC274" s="7" t="str">
        <f>IF(80&gt;=96,('Testes estatísticos'!$D$101+'Testes estatísticos'!$D$85)/2,"")</f>
        <v/>
      </c>
      <c r="CD274" s="7" t="str">
        <f>IF(81&gt;=96,('Testes estatísticos'!$D$101+'Testes estatísticos'!$D$86)/2,"")</f>
        <v/>
      </c>
      <c r="CE274" s="7" t="str">
        <f>IF(82&gt;=96,('Testes estatísticos'!$D$101+'Testes estatísticos'!$D$87)/2,"")</f>
        <v/>
      </c>
      <c r="CF274" s="7" t="str">
        <f>IF(83&gt;=96,('Testes estatísticos'!$D$101+'Testes estatísticos'!$D$88)/2,"")</f>
        <v/>
      </c>
      <c r="CG274" s="7" t="str">
        <f>IF(84&gt;=96,('Testes estatísticos'!$D$101+'Testes estatísticos'!$D$89)/2,"")</f>
        <v/>
      </c>
      <c r="CH274" s="7" t="str">
        <f>IF(85&gt;=96,('Testes estatísticos'!$D$101+'Testes estatísticos'!$D$90)/2,"")</f>
        <v/>
      </c>
      <c r="CI274" s="7" t="str">
        <f>IF(86&gt;=96,('Testes estatísticos'!$D$101+'Testes estatísticos'!$D$91)/2,"")</f>
        <v/>
      </c>
      <c r="CJ274" s="7" t="str">
        <f>IF(87&gt;=96,('Testes estatísticos'!$D$101+'Testes estatísticos'!$D$92)/2,"")</f>
        <v/>
      </c>
      <c r="CK274" s="7" t="str">
        <f>IF(88&gt;=96,('Testes estatísticos'!$D$101+'Testes estatísticos'!$D$93)/2,"")</f>
        <v/>
      </c>
      <c r="CL274" s="7" t="str">
        <f>IF(89&gt;=96,('Testes estatísticos'!$D$101+'Testes estatísticos'!$D$94)/2,"")</f>
        <v/>
      </c>
      <c r="CM274" s="7" t="str">
        <f>IF(90&gt;=96,('Testes estatísticos'!$D$101+'Testes estatísticos'!$D$95)/2,"")</f>
        <v/>
      </c>
      <c r="CN274" s="7" t="str">
        <f>IF(91&gt;=96,('Testes estatísticos'!$D$101+'Testes estatísticos'!$D$96)/2,"")</f>
        <v/>
      </c>
      <c r="CO274" s="7" t="str">
        <f>IF(92&gt;=96,('Testes estatísticos'!$D$101+'Testes estatísticos'!$D$97)/2,"")</f>
        <v/>
      </c>
      <c r="CP274" s="7" t="str">
        <f>IF(93&gt;=96,('Testes estatísticos'!$D$101+'Testes estatísticos'!$D$98)/2,"")</f>
        <v/>
      </c>
      <c r="CQ274" s="7" t="str">
        <f>IF(94&gt;=96,('Testes estatísticos'!$D$101+'Testes estatísticos'!$D$99)/2,"")</f>
        <v/>
      </c>
      <c r="CR274" s="7" t="str">
        <f>IF(95&gt;=96,('Testes estatísticos'!$D$101+'Testes estatísticos'!$D$100)/2,"")</f>
        <v/>
      </c>
      <c r="CS274" s="7">
        <f>IF(96&gt;=96,('Testes estatísticos'!$D$101+'Testes estatísticos'!$D$101)/2,"")</f>
        <v>-3.7930820000000054</v>
      </c>
      <c r="CT274" s="7">
        <f>IF(97&gt;=96,('Testes estatísticos'!$D$101+'Testes estatísticos'!$D$102)/2,"")</f>
        <v>-3.5600315000000045</v>
      </c>
      <c r="CU274" s="7">
        <f>IF(98&gt;=96,('Testes estatísticos'!$D$101+'Testes estatísticos'!$D$103)/2,"")</f>
        <v>-3.5027055000000011</v>
      </c>
      <c r="CV274" s="7">
        <f>IF(99&gt;=96,('Testes estatísticos'!$D$101+'Testes estatísticos'!$D$104)/2,"")</f>
        <v>-3.9375315000000022</v>
      </c>
      <c r="CW274" s="7">
        <f>IF(100&gt;=96,('Testes estatísticos'!$D$101+'Testes estatísticos'!$D$105)/2,"")</f>
        <v>-4.0369975000000018</v>
      </c>
      <c r="CX274" s="7">
        <f>IF(101&gt;=96,('Testes estatísticos'!$D$101+'Testes estatísticos'!$D$106)/2,"")</f>
        <v>-3.5140710000000013</v>
      </c>
      <c r="CY274" s="7">
        <f>IF(102&gt;=96,('Testes estatísticos'!$D$101+'Testes estatísticos'!$D$107)/2,"")</f>
        <v>-3.5697360000000025</v>
      </c>
      <c r="CZ274" s="7">
        <f>IF(103&gt;=96,('Testes estatísticos'!$D$101+'Testes estatísticos'!$D$108)/2,"")</f>
        <v>-4.0939025000000022</v>
      </c>
      <c r="DA274" s="7">
        <f>IF(104&gt;=96,('Testes estatísticos'!$D$101+'Testes estatísticos'!$D$109)/2,"")</f>
        <v>-3.8312685000000002</v>
      </c>
      <c r="DB274" s="7">
        <f>IF(105&gt;=96,('Testes estatísticos'!$D$101+'Testes estatísticos'!$D$110)/2,"")</f>
        <v>-3.7969375000000021</v>
      </c>
      <c r="DC274" s="7">
        <f>IF(106&gt;=96,('Testes estatísticos'!$D$101+'Testes estatísticos'!$D$111)/2,"")</f>
        <v>-3.054016500000003</v>
      </c>
      <c r="DD274" s="7">
        <f>IF(107&gt;=96,('Testes estatísticos'!$D$101+'Testes estatísticos'!$D$112)/2,"")</f>
        <v>0.43915449999999723</v>
      </c>
      <c r="DE274" s="7">
        <f>IF(108&gt;=96,('Testes estatísticos'!$D$101+'Testes estatísticos'!$D$113)/2,"")</f>
        <v>-2.9834810000000012</v>
      </c>
      <c r="DF274" s="7">
        <f>IF(109&gt;=96,('Testes estatísticos'!$D$101+'Testes estatísticos'!$D$114)/2,"")</f>
        <v>-3.0197380000000003</v>
      </c>
      <c r="DG274" s="7">
        <f>IF(110&gt;=96,('Testes estatísticos'!$D$101+'Testes estatísticos'!$D$115)/2,"")</f>
        <v>-8.5668775000000039</v>
      </c>
      <c r="DH274" s="7">
        <f>IF(111&gt;=96,('Testes estatísticos'!$D$101+'Testes estatísticos'!$D$116)/2,"")</f>
        <v>-2.8860470000000014</v>
      </c>
      <c r="DI274" s="7">
        <f>IF(112&gt;=96,('Testes estatísticos'!$D$101+'Testes estatísticos'!$D$117)/2,"")</f>
        <v>2.542392999999997</v>
      </c>
      <c r="DJ274" s="7">
        <f>IF(113&gt;=96,('Testes estatísticos'!$D$101+'Testes estatísticos'!$D$118)/2,"")</f>
        <v>-2.9141640000000031</v>
      </c>
      <c r="DK274" s="7">
        <f>IF(114&gt;=96,('Testes estatísticos'!$D$101+'Testes estatísticos'!$D$119)/2,"")</f>
        <v>-3.0159140000000022</v>
      </c>
      <c r="DL274" s="7">
        <f>IF(115&gt;=96,('Testes estatísticos'!$D$101+'Testes estatísticos'!$D$120)/2,"")</f>
        <v>-2.9694365000000005</v>
      </c>
      <c r="DM274" s="7">
        <f>IF(116&gt;=96,('Testes estatísticos'!$D$101+'Testes estatísticos'!$D$121)/2,"")</f>
        <v>-2.960834000000002</v>
      </c>
      <c r="DN274" s="7">
        <f>IF(117&gt;=96,('Testes estatísticos'!$D$101+'Testes estatísticos'!$D$122)/2,"")</f>
        <v>-2.9377660000000034</v>
      </c>
      <c r="DO274" s="7">
        <f>IF(118&gt;=96,('Testes estatísticos'!$D$101+'Testes estatísticos'!$D$123)/2,"")</f>
        <v>-2.8878555000000041</v>
      </c>
      <c r="DP274" s="7">
        <f>IF(119&gt;=96,('Testes estatísticos'!$D$101+'Testes estatísticos'!$D$124)/2,"")</f>
        <v>-2.9090670000000038</v>
      </c>
      <c r="DQ274" s="7">
        <f>IF(120&gt;=96,('Testes estatísticos'!$D$101+'Testes estatísticos'!$D$125)/2,"")</f>
        <v>0.14254749999999916</v>
      </c>
      <c r="DR274" s="7">
        <f>IF(121&gt;=96,('Testes estatísticos'!$D$101+'Testes estatísticos'!$D$126)/2,"")</f>
        <v>-2.6464690000000033</v>
      </c>
      <c r="DS274" s="7">
        <f>IF(122&gt;=96,('Testes estatísticos'!$D$101+'Testes estatísticos'!$D$127)/2,"")</f>
        <v>-3.7118774999999999</v>
      </c>
      <c r="DT274" s="7">
        <f>IF(123&gt;=96,('Testes estatísticos'!$D$101+'Testes estatísticos'!$D$128)/2,"")</f>
        <v>2.3569919999999946</v>
      </c>
      <c r="DU274" s="7">
        <f>IF(124&gt;=96,('Testes estatísticos'!$D$101+'Testes estatísticos'!$D$129)/2,"")</f>
        <v>-2.538779500000004</v>
      </c>
      <c r="DV274" s="7">
        <f>IF(125&gt;=96,('Testes estatísticos'!$D$101+'Testes estatísticos'!$D$130)/2,"")</f>
        <v>-1.3804720000000046</v>
      </c>
      <c r="DW274" s="7">
        <f>IF(126&gt;=96,('Testes estatísticos'!$D$101+'Testes estatísticos'!$D$131)/2,"")</f>
        <v>-3.7839480000000023</v>
      </c>
      <c r="DX274" s="7">
        <f>IF(127&gt;=96,('Testes estatísticos'!$D$101+'Testes estatísticos'!$D$132)/2,"")</f>
        <v>-5.8401395000000029</v>
      </c>
      <c r="DY274" s="7">
        <f>IF(128&gt;=96,('Testes estatísticos'!$D$101+'Testes estatísticos'!$D$133)/2,"")</f>
        <v>-6.1812290000000019</v>
      </c>
      <c r="DZ274" s="7">
        <f>IF(129&gt;=96,('Testes estatísticos'!$D$101+'Testes estatísticos'!$D$134)/2,"")</f>
        <v>-9.6050190000000022</v>
      </c>
      <c r="EA274" s="7">
        <f>IF(130&gt;=96,('Testes estatísticos'!$D$101+'Testes estatísticos'!$D$135)/2,"")</f>
        <v>-3.8432490000000001</v>
      </c>
      <c r="EB274" s="7">
        <f>IF(131&gt;=96,('Testes estatísticos'!$D$101+'Testes estatísticos'!$D$136)/2,"")</f>
        <v>-3.7553760000000054</v>
      </c>
      <c r="EC274" s="7">
        <f>IF(132&gt;=96,('Testes estatísticos'!$D$101+'Testes estatísticos'!$D$137)/2,"")</f>
        <v>-5.2421125000000046</v>
      </c>
      <c r="ED274" s="7">
        <f>IF(133&gt;=96,('Testes estatísticos'!$D$101+'Testes estatísticos'!$D$138)/2,"")</f>
        <v>-3.0531750000000031</v>
      </c>
      <c r="EE274" s="7">
        <f>IF(134&gt;=96,('Testes estatísticos'!$D$101+'Testes estatísticos'!$D$139)/2,"")</f>
        <v>-5.3503655000000059</v>
      </c>
      <c r="EF274" s="7">
        <f>IF(135&gt;=96,('Testes estatísticos'!$D$101+'Testes estatísticos'!$D$140)/2,"")</f>
        <v>-2.1359330000000014</v>
      </c>
      <c r="EG274" s="7">
        <f>IF(136&gt;=96,('Testes estatísticos'!$D$101+'Testes estatísticos'!$D$141)/2,"")</f>
        <v>-3.8294230000000056</v>
      </c>
      <c r="EH274" s="7">
        <f>IF(137&gt;=96,('Testes estatísticos'!$D$101+'Testes estatísticos'!$D$142)/2,"")</f>
        <v>-2.1246830000000045</v>
      </c>
      <c r="EI274" s="7">
        <f>IF(138&gt;=96,('Testes estatísticos'!$D$101+'Testes estatísticos'!$D$143)/2,"")</f>
        <v>-3.7896985000000001</v>
      </c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</row>
    <row r="275" spans="2:151" x14ac:dyDescent="0.3">
      <c r="B275" s="7" t="str">
        <f>IF(1&gt;=97,('Testes estatísticos'!$D$102+'Testes estatísticos'!$D$6)/2,"")</f>
        <v/>
      </c>
      <c r="C275" s="7" t="str">
        <f>IF(2&gt;=97,('Testes estatísticos'!$D$102+'Testes estatísticos'!$D$7)/2,"")</f>
        <v/>
      </c>
      <c r="D275" s="7" t="str">
        <f>IF(3&gt;=97,('Testes estatísticos'!$D$102+'Testes estatísticos'!$D$8)/2,"")</f>
        <v/>
      </c>
      <c r="E275" s="7" t="str">
        <f>IF(4&gt;=97,('Testes estatísticos'!$D$102+'Testes estatísticos'!$D$9)/2,"")</f>
        <v/>
      </c>
      <c r="F275" s="7" t="str">
        <f>IF(5&gt;=97,('Testes estatísticos'!$D$102+'Testes estatísticos'!$D$10)/2,"")</f>
        <v/>
      </c>
      <c r="G275" s="7" t="str">
        <f>IF(6&gt;=97,('Testes estatísticos'!$D$102+'Testes estatísticos'!$D$11)/2,"")</f>
        <v/>
      </c>
      <c r="H275" s="7" t="str">
        <f>IF(7&gt;=97,('Testes estatísticos'!$D$102+'Testes estatísticos'!$D$12)/2,"")</f>
        <v/>
      </c>
      <c r="I275" s="7" t="str">
        <f>IF(8&gt;=97,('Testes estatísticos'!$D$102+'Testes estatísticos'!$D$13)/2,"")</f>
        <v/>
      </c>
      <c r="J275" s="7" t="str">
        <f>IF(9&gt;=97,('Testes estatísticos'!$D$102+'Testes estatísticos'!$D$14)/2,"")</f>
        <v/>
      </c>
      <c r="K275" s="7" t="str">
        <f>IF(10&gt;=97,('Testes estatísticos'!$D$102+'Testes estatísticos'!$D$15)/2,"")</f>
        <v/>
      </c>
      <c r="L275" s="7" t="str">
        <f>IF(11&gt;=97,('Testes estatísticos'!$D$102+'Testes estatísticos'!$D$16)/2,"")</f>
        <v/>
      </c>
      <c r="M275" s="7" t="str">
        <f>IF(12&gt;=97,('Testes estatísticos'!$D$102+'Testes estatísticos'!$D$17)/2,"")</f>
        <v/>
      </c>
      <c r="N275" s="7" t="str">
        <f>IF(13&gt;=97,('Testes estatísticos'!$D$102+'Testes estatísticos'!$D$18)/2,"")</f>
        <v/>
      </c>
      <c r="O275" s="7" t="str">
        <f>IF(14&gt;=97,('Testes estatísticos'!$D$102+'Testes estatísticos'!$D$19)/2,"")</f>
        <v/>
      </c>
      <c r="P275" s="7" t="str">
        <f>IF(15&gt;=97,('Testes estatísticos'!$D$102+'Testes estatísticos'!$D$20)/2,"")</f>
        <v/>
      </c>
      <c r="Q275" s="7" t="str">
        <f>IF(16&gt;=97,('Testes estatísticos'!$D$102+'Testes estatísticos'!$D$21)/2,"")</f>
        <v/>
      </c>
      <c r="R275" s="7" t="str">
        <f>IF(17&gt;=97,('Testes estatísticos'!$D$102+'Testes estatísticos'!$D$22)/2,"")</f>
        <v/>
      </c>
      <c r="S275" s="7" t="str">
        <f>IF(18&gt;=97,('Testes estatísticos'!$D$102+'Testes estatísticos'!$D$23)/2,"")</f>
        <v/>
      </c>
      <c r="T275" s="7" t="str">
        <f>IF(19&gt;=97,('Testes estatísticos'!$D$102+'Testes estatísticos'!$D$24)/2,"")</f>
        <v/>
      </c>
      <c r="U275" s="7" t="str">
        <f>IF(20&gt;=97,('Testes estatísticos'!$D$102+'Testes estatísticos'!$D$25)/2,"")</f>
        <v/>
      </c>
      <c r="V275" s="7" t="str">
        <f>IF(21&gt;=97,('Testes estatísticos'!$D$102+'Testes estatísticos'!$D$26)/2,"")</f>
        <v/>
      </c>
      <c r="W275" s="7" t="str">
        <f>IF(22&gt;=97,('Testes estatísticos'!$D$102+'Testes estatísticos'!$D$27)/2,"")</f>
        <v/>
      </c>
      <c r="X275" s="7" t="str">
        <f>IF(23&gt;=97,('Testes estatísticos'!$D$102+'Testes estatísticos'!$D$28)/2,"")</f>
        <v/>
      </c>
      <c r="Y275" s="7" t="str">
        <f>IF(24&gt;=97,('Testes estatísticos'!$D$102+'Testes estatísticos'!$D$29)/2,"")</f>
        <v/>
      </c>
      <c r="Z275" s="7" t="str">
        <f>IF(25&gt;=97,('Testes estatísticos'!$D$102+'Testes estatísticos'!$D$30)/2,"")</f>
        <v/>
      </c>
      <c r="AA275" s="7" t="str">
        <f>IF(26&gt;=97,('Testes estatísticos'!$D$102+'Testes estatísticos'!$D$31)/2,"")</f>
        <v/>
      </c>
      <c r="AB275" s="7" t="str">
        <f>IF(27&gt;=97,('Testes estatísticos'!$D$102+'Testes estatísticos'!$D$32)/2,"")</f>
        <v/>
      </c>
      <c r="AC275" s="7" t="str">
        <f>IF(28&gt;=97,('Testes estatísticos'!$D$102+'Testes estatísticos'!$D$33)/2,"")</f>
        <v/>
      </c>
      <c r="AD275" s="7" t="str">
        <f>IF(29&gt;=97,('Testes estatísticos'!$D$102+'Testes estatísticos'!$D$34)/2,"")</f>
        <v/>
      </c>
      <c r="AE275" s="7" t="str">
        <f>IF(30&gt;=97,('Testes estatísticos'!$D$102+'Testes estatísticos'!$D$35)/2,"")</f>
        <v/>
      </c>
      <c r="AF275" s="7" t="str">
        <f>IF(31&gt;=97,('Testes estatísticos'!$D$102+'Testes estatísticos'!$D$36)/2,"")</f>
        <v/>
      </c>
      <c r="AG275" s="7" t="str">
        <f>IF(32&gt;=97,('Testes estatísticos'!$D$102+'Testes estatísticos'!$D$37)/2,"")</f>
        <v/>
      </c>
      <c r="AH275" s="7" t="str">
        <f>IF(33&gt;=97,('Testes estatísticos'!$D$102+'Testes estatísticos'!$D$38)/2,"")</f>
        <v/>
      </c>
      <c r="AI275" s="7" t="str">
        <f>IF(34&gt;=97,('Testes estatísticos'!$D$102+'Testes estatísticos'!$D$39)/2,"")</f>
        <v/>
      </c>
      <c r="AJ275" s="7" t="str">
        <f>IF(35&gt;=97,('Testes estatísticos'!$D$102+'Testes estatísticos'!$D$40)/2,"")</f>
        <v/>
      </c>
      <c r="AK275" s="7" t="str">
        <f>IF(36&gt;=97,('Testes estatísticos'!$D$102+'Testes estatísticos'!$D$41)/2,"")</f>
        <v/>
      </c>
      <c r="AL275" s="7" t="str">
        <f>IF(37&gt;=97,('Testes estatísticos'!$D$102+'Testes estatísticos'!$D$42)/2,"")</f>
        <v/>
      </c>
      <c r="AM275" s="7" t="str">
        <f>IF(38&gt;=97,('Testes estatísticos'!$D$102+'Testes estatísticos'!$D$43)/2,"")</f>
        <v/>
      </c>
      <c r="AN275" s="7" t="str">
        <f>IF(39&gt;=97,('Testes estatísticos'!$D$102+'Testes estatísticos'!$D$44)/2,"")</f>
        <v/>
      </c>
      <c r="AO275" s="7" t="str">
        <f>IF(40&gt;=97,('Testes estatísticos'!$D$102+'Testes estatísticos'!$D$45)/2,"")</f>
        <v/>
      </c>
      <c r="AP275" s="7" t="str">
        <f>IF(41&gt;=97,('Testes estatísticos'!$D$102+'Testes estatísticos'!$D$46)/2,"")</f>
        <v/>
      </c>
      <c r="AQ275" s="7" t="str">
        <f>IF(42&gt;=97,('Testes estatísticos'!$D$102+'Testes estatísticos'!$D$47)/2,"")</f>
        <v/>
      </c>
      <c r="AR275" s="7" t="str">
        <f>IF(43&gt;=97,('Testes estatísticos'!$D$102+'Testes estatísticos'!$D$48)/2,"")</f>
        <v/>
      </c>
      <c r="AS275" s="7" t="str">
        <f>IF(44&gt;=97,('Testes estatísticos'!$D$102+'Testes estatísticos'!$D$49)/2,"")</f>
        <v/>
      </c>
      <c r="AT275" s="7" t="str">
        <f>IF(45&gt;=97,('Testes estatísticos'!$D$102+'Testes estatísticos'!$D$50)/2,"")</f>
        <v/>
      </c>
      <c r="AU275" s="7" t="str">
        <f>IF(46&gt;=97,('Testes estatísticos'!$D$102+'Testes estatísticos'!$D$51)/2,"")</f>
        <v/>
      </c>
      <c r="AV275" s="7" t="str">
        <f>IF(47&gt;=97,('Testes estatísticos'!$D$102+'Testes estatísticos'!$D$52)/2,"")</f>
        <v/>
      </c>
      <c r="AW275" s="7" t="str">
        <f>IF(48&gt;=97,('Testes estatísticos'!$D$102+'Testes estatísticos'!$D$53)/2,"")</f>
        <v/>
      </c>
      <c r="AX275" s="7" t="str">
        <f>IF(49&gt;=97,('Testes estatísticos'!$D$102+'Testes estatísticos'!$D$54)/2,"")</f>
        <v/>
      </c>
      <c r="AY275" s="7" t="str">
        <f>IF(50&gt;=97,('Testes estatísticos'!$D$102+'Testes estatísticos'!$D$55)/2,"")</f>
        <v/>
      </c>
      <c r="AZ275" s="7" t="str">
        <f>IF(51&gt;=97,('Testes estatísticos'!$D$102+'Testes estatísticos'!$D$56)/2,"")</f>
        <v/>
      </c>
      <c r="BA275" s="7" t="str">
        <f>IF(52&gt;=97,('Testes estatísticos'!$D$102+'Testes estatísticos'!$D$57)/2,"")</f>
        <v/>
      </c>
      <c r="BB275" s="7" t="str">
        <f>IF(53&gt;=97,('Testes estatísticos'!$D$102+'Testes estatísticos'!$D$58)/2,"")</f>
        <v/>
      </c>
      <c r="BC275" s="7" t="str">
        <f>IF(54&gt;=97,('Testes estatísticos'!$D$102+'Testes estatísticos'!$D$59)/2,"")</f>
        <v/>
      </c>
      <c r="BD275" s="7" t="str">
        <f>IF(55&gt;=97,('Testes estatísticos'!$D$102+'Testes estatísticos'!$D$60)/2,"")</f>
        <v/>
      </c>
      <c r="BE275" s="7" t="str">
        <f>IF(56&gt;=97,('Testes estatísticos'!$D$102+'Testes estatísticos'!$D$61)/2,"")</f>
        <v/>
      </c>
      <c r="BF275" s="7" t="str">
        <f>IF(57&gt;=97,('Testes estatísticos'!$D$102+'Testes estatísticos'!$D$62)/2,"")</f>
        <v/>
      </c>
      <c r="BG275" s="7" t="str">
        <f>IF(58&gt;=97,('Testes estatísticos'!$D$102+'Testes estatísticos'!$D$63)/2,"")</f>
        <v/>
      </c>
      <c r="BH275" s="7" t="str">
        <f>IF(59&gt;=97,('Testes estatísticos'!$D$102+'Testes estatísticos'!$D$64)/2,"")</f>
        <v/>
      </c>
      <c r="BI275" s="7" t="str">
        <f>IF(60&gt;=97,('Testes estatísticos'!$D$102+'Testes estatísticos'!$D$65)/2,"")</f>
        <v/>
      </c>
      <c r="BJ275" s="7" t="str">
        <f>IF(61&gt;=97,('Testes estatísticos'!$D$102+'Testes estatísticos'!$D$66)/2,"")</f>
        <v/>
      </c>
      <c r="BK275" s="7" t="str">
        <f>IF(62&gt;=97,('Testes estatísticos'!$D$102+'Testes estatísticos'!$D$67)/2,"")</f>
        <v/>
      </c>
      <c r="BL275" s="7" t="str">
        <f>IF(63&gt;=97,('Testes estatísticos'!$D$102+'Testes estatísticos'!$D$68)/2,"")</f>
        <v/>
      </c>
      <c r="BM275" s="7" t="str">
        <f>IF(64&gt;=97,('Testes estatísticos'!$D$102+'Testes estatísticos'!$D$69)/2,"")</f>
        <v/>
      </c>
      <c r="BN275" s="7" t="str">
        <f>IF(65&gt;=97,('Testes estatísticos'!$D$102+'Testes estatísticos'!$D$70)/2,"")</f>
        <v/>
      </c>
      <c r="BO275" s="7" t="str">
        <f>IF(66&gt;=97,('Testes estatísticos'!$D$102+'Testes estatísticos'!$D$71)/2,"")</f>
        <v/>
      </c>
      <c r="BP275" s="7" t="str">
        <f>IF(67&gt;=97,('Testes estatísticos'!$D$102+'Testes estatísticos'!$D$72)/2,"")</f>
        <v/>
      </c>
      <c r="BQ275" s="7" t="str">
        <f>IF(68&gt;=97,('Testes estatísticos'!$D$102+'Testes estatísticos'!$D$73)/2,"")</f>
        <v/>
      </c>
      <c r="BR275" s="7" t="str">
        <f>IF(69&gt;=97,('Testes estatísticos'!$D$102+'Testes estatísticos'!$D$74)/2,"")</f>
        <v/>
      </c>
      <c r="BS275" s="7" t="str">
        <f>IF(70&gt;=97,('Testes estatísticos'!$D$102+'Testes estatísticos'!$D$75)/2,"")</f>
        <v/>
      </c>
      <c r="BT275" s="7" t="str">
        <f>IF(71&gt;=97,('Testes estatísticos'!$D$102+'Testes estatísticos'!$D$76)/2,"")</f>
        <v/>
      </c>
      <c r="BU275" s="7" t="str">
        <f>IF(72&gt;=97,('Testes estatísticos'!$D$102+'Testes estatísticos'!$D$77)/2,"")</f>
        <v/>
      </c>
      <c r="BV275" s="7" t="str">
        <f>IF(73&gt;=97,('Testes estatísticos'!$D$102+'Testes estatísticos'!$D$78)/2,"")</f>
        <v/>
      </c>
      <c r="BW275" s="7" t="str">
        <f>IF(74&gt;=97,('Testes estatísticos'!$D$102+'Testes estatísticos'!$D$79)/2,"")</f>
        <v/>
      </c>
      <c r="BX275" s="7" t="str">
        <f>IF(75&gt;=97,('Testes estatísticos'!$D$102+'Testes estatísticos'!$D$80)/2,"")</f>
        <v/>
      </c>
      <c r="BY275" s="7" t="str">
        <f>IF(76&gt;=97,('Testes estatísticos'!$D$102+'Testes estatísticos'!$D$81)/2,"")</f>
        <v/>
      </c>
      <c r="BZ275" s="7" t="str">
        <f>IF(77&gt;=97,('Testes estatísticos'!$D$102+'Testes estatísticos'!$D$82)/2,"")</f>
        <v/>
      </c>
      <c r="CA275" s="7" t="str">
        <f>IF(78&gt;=97,('Testes estatísticos'!$D$102+'Testes estatísticos'!$D$83)/2,"")</f>
        <v/>
      </c>
      <c r="CB275" s="7" t="str">
        <f>IF(79&gt;=97,('Testes estatísticos'!$D$102+'Testes estatísticos'!$D$84)/2,"")</f>
        <v/>
      </c>
      <c r="CC275" s="7" t="str">
        <f>IF(80&gt;=97,('Testes estatísticos'!$D$102+'Testes estatísticos'!$D$85)/2,"")</f>
        <v/>
      </c>
      <c r="CD275" s="7" t="str">
        <f>IF(81&gt;=97,('Testes estatísticos'!$D$102+'Testes estatísticos'!$D$86)/2,"")</f>
        <v/>
      </c>
      <c r="CE275" s="7" t="str">
        <f>IF(82&gt;=97,('Testes estatísticos'!$D$102+'Testes estatísticos'!$D$87)/2,"")</f>
        <v/>
      </c>
      <c r="CF275" s="7" t="str">
        <f>IF(83&gt;=97,('Testes estatísticos'!$D$102+'Testes estatísticos'!$D$88)/2,"")</f>
        <v/>
      </c>
      <c r="CG275" s="7" t="str">
        <f>IF(84&gt;=97,('Testes estatísticos'!$D$102+'Testes estatísticos'!$D$89)/2,"")</f>
        <v/>
      </c>
      <c r="CH275" s="7" t="str">
        <f>IF(85&gt;=97,('Testes estatísticos'!$D$102+'Testes estatísticos'!$D$90)/2,"")</f>
        <v/>
      </c>
      <c r="CI275" s="7" t="str">
        <f>IF(86&gt;=97,('Testes estatísticos'!$D$102+'Testes estatísticos'!$D$91)/2,"")</f>
        <v/>
      </c>
      <c r="CJ275" s="7" t="str">
        <f>IF(87&gt;=97,('Testes estatísticos'!$D$102+'Testes estatísticos'!$D$92)/2,"")</f>
        <v/>
      </c>
      <c r="CK275" s="7" t="str">
        <f>IF(88&gt;=97,('Testes estatísticos'!$D$102+'Testes estatísticos'!$D$93)/2,"")</f>
        <v/>
      </c>
      <c r="CL275" s="7" t="str">
        <f>IF(89&gt;=97,('Testes estatísticos'!$D$102+'Testes estatísticos'!$D$94)/2,"")</f>
        <v/>
      </c>
      <c r="CM275" s="7" t="str">
        <f>IF(90&gt;=97,('Testes estatísticos'!$D$102+'Testes estatísticos'!$D$95)/2,"")</f>
        <v/>
      </c>
      <c r="CN275" s="7" t="str">
        <f>IF(91&gt;=97,('Testes estatísticos'!$D$102+'Testes estatísticos'!$D$96)/2,"")</f>
        <v/>
      </c>
      <c r="CO275" s="7" t="str">
        <f>IF(92&gt;=97,('Testes estatísticos'!$D$102+'Testes estatísticos'!$D$97)/2,"")</f>
        <v/>
      </c>
      <c r="CP275" s="7" t="str">
        <f>IF(93&gt;=97,('Testes estatísticos'!$D$102+'Testes estatísticos'!$D$98)/2,"")</f>
        <v/>
      </c>
      <c r="CQ275" s="7" t="str">
        <f>IF(94&gt;=97,('Testes estatísticos'!$D$102+'Testes estatísticos'!$D$99)/2,"")</f>
        <v/>
      </c>
      <c r="CR275" s="7" t="str">
        <f>IF(95&gt;=97,('Testes estatísticos'!$D$102+'Testes estatísticos'!$D$100)/2,"")</f>
        <v/>
      </c>
      <c r="CS275" s="7" t="str">
        <f>IF(96&gt;=97,('Testes estatísticos'!$D$102+'Testes estatísticos'!$D$101)/2,"")</f>
        <v/>
      </c>
      <c r="CT275" s="7">
        <f>IF(97&gt;=97,('Testes estatísticos'!$D$102+'Testes estatísticos'!$D$102)/2,"")</f>
        <v>-3.3269810000000035</v>
      </c>
      <c r="CU275" s="7">
        <f>IF(98&gt;=97,('Testes estatísticos'!$D$102+'Testes estatísticos'!$D$103)/2,"")</f>
        <v>-3.2696550000000002</v>
      </c>
      <c r="CV275" s="7">
        <f>IF(99&gt;=97,('Testes estatísticos'!$D$102+'Testes estatísticos'!$D$104)/2,"")</f>
        <v>-3.7044810000000012</v>
      </c>
      <c r="CW275" s="7">
        <f>IF(100&gt;=97,('Testes estatísticos'!$D$102+'Testes estatísticos'!$D$105)/2,"")</f>
        <v>-3.8039470000000009</v>
      </c>
      <c r="CX275" s="7">
        <f>IF(101&gt;=97,('Testes estatísticos'!$D$102+'Testes estatísticos'!$D$106)/2,"")</f>
        <v>-3.2810205000000003</v>
      </c>
      <c r="CY275" s="7">
        <f>IF(102&gt;=97,('Testes estatísticos'!$D$102+'Testes estatísticos'!$D$107)/2,"")</f>
        <v>-3.3366855000000015</v>
      </c>
      <c r="CZ275" s="7">
        <f>IF(103&gt;=97,('Testes estatísticos'!$D$102+'Testes estatísticos'!$D$108)/2,"")</f>
        <v>-3.8608520000000013</v>
      </c>
      <c r="DA275" s="7">
        <f>IF(104&gt;=97,('Testes estatísticos'!$D$102+'Testes estatísticos'!$D$109)/2,"")</f>
        <v>-3.5982179999999993</v>
      </c>
      <c r="DB275" s="7">
        <f>IF(105&gt;=97,('Testes estatísticos'!$D$102+'Testes estatísticos'!$D$110)/2,"")</f>
        <v>-3.5638870000000011</v>
      </c>
      <c r="DC275" s="7">
        <f>IF(106&gt;=97,('Testes estatísticos'!$D$102+'Testes estatísticos'!$D$111)/2,"")</f>
        <v>-2.8209660000000021</v>
      </c>
      <c r="DD275" s="7">
        <f>IF(107&gt;=97,('Testes estatísticos'!$D$102+'Testes estatísticos'!$D$112)/2,"")</f>
        <v>0.67220499999999817</v>
      </c>
      <c r="DE275" s="7">
        <f>IF(108&gt;=97,('Testes estatísticos'!$D$102+'Testes estatísticos'!$D$113)/2,"")</f>
        <v>-2.7504305000000002</v>
      </c>
      <c r="DF275" s="7">
        <f>IF(109&gt;=97,('Testes estatísticos'!$D$102+'Testes estatísticos'!$D$114)/2,"")</f>
        <v>-2.7866874999999993</v>
      </c>
      <c r="DG275" s="7">
        <f>IF(110&gt;=97,('Testes estatísticos'!$D$102+'Testes estatísticos'!$D$115)/2,"")</f>
        <v>-8.333827000000003</v>
      </c>
      <c r="DH275" s="7">
        <f>IF(111&gt;=97,('Testes estatísticos'!$D$102+'Testes estatísticos'!$D$116)/2,"")</f>
        <v>-2.6529965000000004</v>
      </c>
      <c r="DI275" s="7">
        <f>IF(112&gt;=97,('Testes estatísticos'!$D$102+'Testes estatísticos'!$D$117)/2,"")</f>
        <v>2.775443499999998</v>
      </c>
      <c r="DJ275" s="7">
        <f>IF(113&gt;=97,('Testes estatísticos'!$D$102+'Testes estatísticos'!$D$118)/2,"")</f>
        <v>-2.6811135000000021</v>
      </c>
      <c r="DK275" s="7">
        <f>IF(114&gt;=97,('Testes estatísticos'!$D$102+'Testes estatísticos'!$D$119)/2,"")</f>
        <v>-2.7828635000000013</v>
      </c>
      <c r="DL275" s="7">
        <f>IF(115&gt;=97,('Testes estatísticos'!$D$102+'Testes estatísticos'!$D$120)/2,"")</f>
        <v>-2.7363859999999995</v>
      </c>
      <c r="DM275" s="7">
        <f>IF(116&gt;=97,('Testes estatísticos'!$D$102+'Testes estatísticos'!$D$121)/2,"")</f>
        <v>-2.727783500000001</v>
      </c>
      <c r="DN275" s="7">
        <f>IF(117&gt;=97,('Testes estatísticos'!$D$102+'Testes estatísticos'!$D$122)/2,"")</f>
        <v>-2.7047155000000025</v>
      </c>
      <c r="DO275" s="7">
        <f>IF(118&gt;=97,('Testes estatísticos'!$D$102+'Testes estatísticos'!$D$123)/2,"")</f>
        <v>-2.6548050000000032</v>
      </c>
      <c r="DP275" s="7">
        <f>IF(119&gt;=97,('Testes estatísticos'!$D$102+'Testes estatísticos'!$D$124)/2,"")</f>
        <v>-2.6760165000000029</v>
      </c>
      <c r="DQ275" s="7">
        <f>IF(120&gt;=97,('Testes estatísticos'!$D$102+'Testes estatísticos'!$D$125)/2,"")</f>
        <v>0.3755980000000001</v>
      </c>
      <c r="DR275" s="7">
        <f>IF(121&gt;=97,('Testes estatísticos'!$D$102+'Testes estatísticos'!$D$126)/2,"")</f>
        <v>-2.4134185000000024</v>
      </c>
      <c r="DS275" s="7">
        <f>IF(122&gt;=97,('Testes estatísticos'!$D$102+'Testes estatísticos'!$D$127)/2,"")</f>
        <v>-3.478826999999999</v>
      </c>
      <c r="DT275" s="7">
        <f>IF(123&gt;=97,('Testes estatísticos'!$D$102+'Testes estatísticos'!$D$128)/2,"")</f>
        <v>2.5900424999999956</v>
      </c>
      <c r="DU275" s="7">
        <f>IF(124&gt;=97,('Testes estatísticos'!$D$102+'Testes estatísticos'!$D$129)/2,"")</f>
        <v>-2.305729000000003</v>
      </c>
      <c r="DV275" s="7">
        <f>IF(125&gt;=97,('Testes estatísticos'!$D$102+'Testes estatísticos'!$D$130)/2,"")</f>
        <v>-1.1474215000000036</v>
      </c>
      <c r="DW275" s="7">
        <f>IF(126&gt;=97,('Testes estatísticos'!$D$102+'Testes estatísticos'!$D$131)/2,"")</f>
        <v>-3.5508975000000014</v>
      </c>
      <c r="DX275" s="7">
        <f>IF(127&gt;=97,('Testes estatísticos'!$D$102+'Testes estatísticos'!$D$132)/2,"")</f>
        <v>-5.607089000000002</v>
      </c>
      <c r="DY275" s="7">
        <f>IF(128&gt;=97,('Testes estatísticos'!$D$102+'Testes estatísticos'!$D$133)/2,"")</f>
        <v>-5.9481785000000009</v>
      </c>
      <c r="DZ275" s="7">
        <f>IF(129&gt;=97,('Testes estatísticos'!$D$102+'Testes estatísticos'!$D$134)/2,"")</f>
        <v>-9.3719685000000013</v>
      </c>
      <c r="EA275" s="7">
        <f>IF(130&gt;=97,('Testes estatísticos'!$D$102+'Testes estatísticos'!$D$135)/2,"")</f>
        <v>-3.6101984999999992</v>
      </c>
      <c r="EB275" s="7">
        <f>IF(131&gt;=97,('Testes estatísticos'!$D$102+'Testes estatísticos'!$D$136)/2,"")</f>
        <v>-3.5223255000000044</v>
      </c>
      <c r="EC275" s="7">
        <f>IF(132&gt;=97,('Testes estatísticos'!$D$102+'Testes estatísticos'!$D$137)/2,"")</f>
        <v>-5.0090620000000037</v>
      </c>
      <c r="ED275" s="7">
        <f>IF(133&gt;=97,('Testes estatísticos'!$D$102+'Testes estatísticos'!$D$138)/2,"")</f>
        <v>-2.8201245000000021</v>
      </c>
      <c r="EE275" s="7">
        <f>IF(134&gt;=97,('Testes estatísticos'!$D$102+'Testes estatísticos'!$D$139)/2,"")</f>
        <v>-5.1173150000000049</v>
      </c>
      <c r="EF275" s="7">
        <f>IF(135&gt;=97,('Testes estatísticos'!$D$102+'Testes estatísticos'!$D$140)/2,"")</f>
        <v>-1.9028825000000005</v>
      </c>
      <c r="EG275" s="7">
        <f>IF(136&gt;=97,('Testes estatísticos'!$D$102+'Testes estatísticos'!$D$141)/2,"")</f>
        <v>-3.5963725000000046</v>
      </c>
      <c r="EH275" s="7">
        <f>IF(137&gt;=97,('Testes estatísticos'!$D$102+'Testes estatísticos'!$D$142)/2,"")</f>
        <v>-1.8916325000000036</v>
      </c>
      <c r="EI275" s="7">
        <f>IF(138&gt;=97,('Testes estatísticos'!$D$102+'Testes estatísticos'!$D$143)/2,"")</f>
        <v>-3.5566479999999991</v>
      </c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</row>
    <row r="276" spans="2:151" x14ac:dyDescent="0.3">
      <c r="B276" s="7" t="str">
        <f>IF(1&gt;=98,('Testes estatísticos'!$D$103+'Testes estatísticos'!$D$6)/2,"")</f>
        <v/>
      </c>
      <c r="C276" s="7" t="str">
        <f>IF(2&gt;=98,('Testes estatísticos'!$D$103+'Testes estatísticos'!$D$7)/2,"")</f>
        <v/>
      </c>
      <c r="D276" s="7" t="str">
        <f>IF(3&gt;=98,('Testes estatísticos'!$D$103+'Testes estatísticos'!$D$8)/2,"")</f>
        <v/>
      </c>
      <c r="E276" s="7" t="str">
        <f>IF(4&gt;=98,('Testes estatísticos'!$D$103+'Testes estatísticos'!$D$9)/2,"")</f>
        <v/>
      </c>
      <c r="F276" s="7" t="str">
        <f>IF(5&gt;=98,('Testes estatísticos'!$D$103+'Testes estatísticos'!$D$10)/2,"")</f>
        <v/>
      </c>
      <c r="G276" s="7" t="str">
        <f>IF(6&gt;=98,('Testes estatísticos'!$D$103+'Testes estatísticos'!$D$11)/2,"")</f>
        <v/>
      </c>
      <c r="H276" s="7" t="str">
        <f>IF(7&gt;=98,('Testes estatísticos'!$D$103+'Testes estatísticos'!$D$12)/2,"")</f>
        <v/>
      </c>
      <c r="I276" s="7" t="str">
        <f>IF(8&gt;=98,('Testes estatísticos'!$D$103+'Testes estatísticos'!$D$13)/2,"")</f>
        <v/>
      </c>
      <c r="J276" s="7" t="str">
        <f>IF(9&gt;=98,('Testes estatísticos'!$D$103+'Testes estatísticos'!$D$14)/2,"")</f>
        <v/>
      </c>
      <c r="K276" s="7" t="str">
        <f>IF(10&gt;=98,('Testes estatísticos'!$D$103+'Testes estatísticos'!$D$15)/2,"")</f>
        <v/>
      </c>
      <c r="L276" s="7" t="str">
        <f>IF(11&gt;=98,('Testes estatísticos'!$D$103+'Testes estatísticos'!$D$16)/2,"")</f>
        <v/>
      </c>
      <c r="M276" s="7" t="str">
        <f>IF(12&gt;=98,('Testes estatísticos'!$D$103+'Testes estatísticos'!$D$17)/2,"")</f>
        <v/>
      </c>
      <c r="N276" s="7" t="str">
        <f>IF(13&gt;=98,('Testes estatísticos'!$D$103+'Testes estatísticos'!$D$18)/2,"")</f>
        <v/>
      </c>
      <c r="O276" s="7" t="str">
        <f>IF(14&gt;=98,('Testes estatísticos'!$D$103+'Testes estatísticos'!$D$19)/2,"")</f>
        <v/>
      </c>
      <c r="P276" s="7" t="str">
        <f>IF(15&gt;=98,('Testes estatísticos'!$D$103+'Testes estatísticos'!$D$20)/2,"")</f>
        <v/>
      </c>
      <c r="Q276" s="7" t="str">
        <f>IF(16&gt;=98,('Testes estatísticos'!$D$103+'Testes estatísticos'!$D$21)/2,"")</f>
        <v/>
      </c>
      <c r="R276" s="7" t="str">
        <f>IF(17&gt;=98,('Testes estatísticos'!$D$103+'Testes estatísticos'!$D$22)/2,"")</f>
        <v/>
      </c>
      <c r="S276" s="7" t="str">
        <f>IF(18&gt;=98,('Testes estatísticos'!$D$103+'Testes estatísticos'!$D$23)/2,"")</f>
        <v/>
      </c>
      <c r="T276" s="7" t="str">
        <f>IF(19&gt;=98,('Testes estatísticos'!$D$103+'Testes estatísticos'!$D$24)/2,"")</f>
        <v/>
      </c>
      <c r="U276" s="7" t="str">
        <f>IF(20&gt;=98,('Testes estatísticos'!$D$103+'Testes estatísticos'!$D$25)/2,"")</f>
        <v/>
      </c>
      <c r="V276" s="7" t="str">
        <f>IF(21&gt;=98,('Testes estatísticos'!$D$103+'Testes estatísticos'!$D$26)/2,"")</f>
        <v/>
      </c>
      <c r="W276" s="7" t="str">
        <f>IF(22&gt;=98,('Testes estatísticos'!$D$103+'Testes estatísticos'!$D$27)/2,"")</f>
        <v/>
      </c>
      <c r="X276" s="7" t="str">
        <f>IF(23&gt;=98,('Testes estatísticos'!$D$103+'Testes estatísticos'!$D$28)/2,"")</f>
        <v/>
      </c>
      <c r="Y276" s="7" t="str">
        <f>IF(24&gt;=98,('Testes estatísticos'!$D$103+'Testes estatísticos'!$D$29)/2,"")</f>
        <v/>
      </c>
      <c r="Z276" s="7" t="str">
        <f>IF(25&gt;=98,('Testes estatísticos'!$D$103+'Testes estatísticos'!$D$30)/2,"")</f>
        <v/>
      </c>
      <c r="AA276" s="7" t="str">
        <f>IF(26&gt;=98,('Testes estatísticos'!$D$103+'Testes estatísticos'!$D$31)/2,"")</f>
        <v/>
      </c>
      <c r="AB276" s="7" t="str">
        <f>IF(27&gt;=98,('Testes estatísticos'!$D$103+'Testes estatísticos'!$D$32)/2,"")</f>
        <v/>
      </c>
      <c r="AC276" s="7" t="str">
        <f>IF(28&gt;=98,('Testes estatísticos'!$D$103+'Testes estatísticos'!$D$33)/2,"")</f>
        <v/>
      </c>
      <c r="AD276" s="7" t="str">
        <f>IF(29&gt;=98,('Testes estatísticos'!$D$103+'Testes estatísticos'!$D$34)/2,"")</f>
        <v/>
      </c>
      <c r="AE276" s="7" t="str">
        <f>IF(30&gt;=98,('Testes estatísticos'!$D$103+'Testes estatísticos'!$D$35)/2,"")</f>
        <v/>
      </c>
      <c r="AF276" s="7" t="str">
        <f>IF(31&gt;=98,('Testes estatísticos'!$D$103+'Testes estatísticos'!$D$36)/2,"")</f>
        <v/>
      </c>
      <c r="AG276" s="7" t="str">
        <f>IF(32&gt;=98,('Testes estatísticos'!$D$103+'Testes estatísticos'!$D$37)/2,"")</f>
        <v/>
      </c>
      <c r="AH276" s="7" t="str">
        <f>IF(33&gt;=98,('Testes estatísticos'!$D$103+'Testes estatísticos'!$D$38)/2,"")</f>
        <v/>
      </c>
      <c r="AI276" s="7" t="str">
        <f>IF(34&gt;=98,('Testes estatísticos'!$D$103+'Testes estatísticos'!$D$39)/2,"")</f>
        <v/>
      </c>
      <c r="AJ276" s="7" t="str">
        <f>IF(35&gt;=98,('Testes estatísticos'!$D$103+'Testes estatísticos'!$D$40)/2,"")</f>
        <v/>
      </c>
      <c r="AK276" s="7" t="str">
        <f>IF(36&gt;=98,('Testes estatísticos'!$D$103+'Testes estatísticos'!$D$41)/2,"")</f>
        <v/>
      </c>
      <c r="AL276" s="7" t="str">
        <f>IF(37&gt;=98,('Testes estatísticos'!$D$103+'Testes estatísticos'!$D$42)/2,"")</f>
        <v/>
      </c>
      <c r="AM276" s="7" t="str">
        <f>IF(38&gt;=98,('Testes estatísticos'!$D$103+'Testes estatísticos'!$D$43)/2,"")</f>
        <v/>
      </c>
      <c r="AN276" s="7" t="str">
        <f>IF(39&gt;=98,('Testes estatísticos'!$D$103+'Testes estatísticos'!$D$44)/2,"")</f>
        <v/>
      </c>
      <c r="AO276" s="7" t="str">
        <f>IF(40&gt;=98,('Testes estatísticos'!$D$103+'Testes estatísticos'!$D$45)/2,"")</f>
        <v/>
      </c>
      <c r="AP276" s="7" t="str">
        <f>IF(41&gt;=98,('Testes estatísticos'!$D$103+'Testes estatísticos'!$D$46)/2,"")</f>
        <v/>
      </c>
      <c r="AQ276" s="7" t="str">
        <f>IF(42&gt;=98,('Testes estatísticos'!$D$103+'Testes estatísticos'!$D$47)/2,"")</f>
        <v/>
      </c>
      <c r="AR276" s="7" t="str">
        <f>IF(43&gt;=98,('Testes estatísticos'!$D$103+'Testes estatísticos'!$D$48)/2,"")</f>
        <v/>
      </c>
      <c r="AS276" s="7" t="str">
        <f>IF(44&gt;=98,('Testes estatísticos'!$D$103+'Testes estatísticos'!$D$49)/2,"")</f>
        <v/>
      </c>
      <c r="AT276" s="7" t="str">
        <f>IF(45&gt;=98,('Testes estatísticos'!$D$103+'Testes estatísticos'!$D$50)/2,"")</f>
        <v/>
      </c>
      <c r="AU276" s="7" t="str">
        <f>IF(46&gt;=98,('Testes estatísticos'!$D$103+'Testes estatísticos'!$D$51)/2,"")</f>
        <v/>
      </c>
      <c r="AV276" s="7" t="str">
        <f>IF(47&gt;=98,('Testes estatísticos'!$D$103+'Testes estatísticos'!$D$52)/2,"")</f>
        <v/>
      </c>
      <c r="AW276" s="7" t="str">
        <f>IF(48&gt;=98,('Testes estatísticos'!$D$103+'Testes estatísticos'!$D$53)/2,"")</f>
        <v/>
      </c>
      <c r="AX276" s="7" t="str">
        <f>IF(49&gt;=98,('Testes estatísticos'!$D$103+'Testes estatísticos'!$D$54)/2,"")</f>
        <v/>
      </c>
      <c r="AY276" s="7" t="str">
        <f>IF(50&gt;=98,('Testes estatísticos'!$D$103+'Testes estatísticos'!$D$55)/2,"")</f>
        <v/>
      </c>
      <c r="AZ276" s="7" t="str">
        <f>IF(51&gt;=98,('Testes estatísticos'!$D$103+'Testes estatísticos'!$D$56)/2,"")</f>
        <v/>
      </c>
      <c r="BA276" s="7" t="str">
        <f>IF(52&gt;=98,('Testes estatísticos'!$D$103+'Testes estatísticos'!$D$57)/2,"")</f>
        <v/>
      </c>
      <c r="BB276" s="7" t="str">
        <f>IF(53&gt;=98,('Testes estatísticos'!$D$103+'Testes estatísticos'!$D$58)/2,"")</f>
        <v/>
      </c>
      <c r="BC276" s="7" t="str">
        <f>IF(54&gt;=98,('Testes estatísticos'!$D$103+'Testes estatísticos'!$D$59)/2,"")</f>
        <v/>
      </c>
      <c r="BD276" s="7" t="str">
        <f>IF(55&gt;=98,('Testes estatísticos'!$D$103+'Testes estatísticos'!$D$60)/2,"")</f>
        <v/>
      </c>
      <c r="BE276" s="7" t="str">
        <f>IF(56&gt;=98,('Testes estatísticos'!$D$103+'Testes estatísticos'!$D$61)/2,"")</f>
        <v/>
      </c>
      <c r="BF276" s="7" t="str">
        <f>IF(57&gt;=98,('Testes estatísticos'!$D$103+'Testes estatísticos'!$D$62)/2,"")</f>
        <v/>
      </c>
      <c r="BG276" s="7" t="str">
        <f>IF(58&gt;=98,('Testes estatísticos'!$D$103+'Testes estatísticos'!$D$63)/2,"")</f>
        <v/>
      </c>
      <c r="BH276" s="7" t="str">
        <f>IF(59&gt;=98,('Testes estatísticos'!$D$103+'Testes estatísticos'!$D$64)/2,"")</f>
        <v/>
      </c>
      <c r="BI276" s="7" t="str">
        <f>IF(60&gt;=98,('Testes estatísticos'!$D$103+'Testes estatísticos'!$D$65)/2,"")</f>
        <v/>
      </c>
      <c r="BJ276" s="7" t="str">
        <f>IF(61&gt;=98,('Testes estatísticos'!$D$103+'Testes estatísticos'!$D$66)/2,"")</f>
        <v/>
      </c>
      <c r="BK276" s="7" t="str">
        <f>IF(62&gt;=98,('Testes estatísticos'!$D$103+'Testes estatísticos'!$D$67)/2,"")</f>
        <v/>
      </c>
      <c r="BL276" s="7" t="str">
        <f>IF(63&gt;=98,('Testes estatísticos'!$D$103+'Testes estatísticos'!$D$68)/2,"")</f>
        <v/>
      </c>
      <c r="BM276" s="7" t="str">
        <f>IF(64&gt;=98,('Testes estatísticos'!$D$103+'Testes estatísticos'!$D$69)/2,"")</f>
        <v/>
      </c>
      <c r="BN276" s="7" t="str">
        <f>IF(65&gt;=98,('Testes estatísticos'!$D$103+'Testes estatísticos'!$D$70)/2,"")</f>
        <v/>
      </c>
      <c r="BO276" s="7" t="str">
        <f>IF(66&gt;=98,('Testes estatísticos'!$D$103+'Testes estatísticos'!$D$71)/2,"")</f>
        <v/>
      </c>
      <c r="BP276" s="7" t="str">
        <f>IF(67&gt;=98,('Testes estatísticos'!$D$103+'Testes estatísticos'!$D$72)/2,"")</f>
        <v/>
      </c>
      <c r="BQ276" s="7" t="str">
        <f>IF(68&gt;=98,('Testes estatísticos'!$D$103+'Testes estatísticos'!$D$73)/2,"")</f>
        <v/>
      </c>
      <c r="BR276" s="7" t="str">
        <f>IF(69&gt;=98,('Testes estatísticos'!$D$103+'Testes estatísticos'!$D$74)/2,"")</f>
        <v/>
      </c>
      <c r="BS276" s="7" t="str">
        <f>IF(70&gt;=98,('Testes estatísticos'!$D$103+'Testes estatísticos'!$D$75)/2,"")</f>
        <v/>
      </c>
      <c r="BT276" s="7" t="str">
        <f>IF(71&gt;=98,('Testes estatísticos'!$D$103+'Testes estatísticos'!$D$76)/2,"")</f>
        <v/>
      </c>
      <c r="BU276" s="7" t="str">
        <f>IF(72&gt;=98,('Testes estatísticos'!$D$103+'Testes estatísticos'!$D$77)/2,"")</f>
        <v/>
      </c>
      <c r="BV276" s="7" t="str">
        <f>IF(73&gt;=98,('Testes estatísticos'!$D$103+'Testes estatísticos'!$D$78)/2,"")</f>
        <v/>
      </c>
      <c r="BW276" s="7" t="str">
        <f>IF(74&gt;=98,('Testes estatísticos'!$D$103+'Testes estatísticos'!$D$79)/2,"")</f>
        <v/>
      </c>
      <c r="BX276" s="7" t="str">
        <f>IF(75&gt;=98,('Testes estatísticos'!$D$103+'Testes estatísticos'!$D$80)/2,"")</f>
        <v/>
      </c>
      <c r="BY276" s="7" t="str">
        <f>IF(76&gt;=98,('Testes estatísticos'!$D$103+'Testes estatísticos'!$D$81)/2,"")</f>
        <v/>
      </c>
      <c r="BZ276" s="7" t="str">
        <f>IF(77&gt;=98,('Testes estatísticos'!$D$103+'Testes estatísticos'!$D$82)/2,"")</f>
        <v/>
      </c>
      <c r="CA276" s="7" t="str">
        <f>IF(78&gt;=98,('Testes estatísticos'!$D$103+'Testes estatísticos'!$D$83)/2,"")</f>
        <v/>
      </c>
      <c r="CB276" s="7" t="str">
        <f>IF(79&gt;=98,('Testes estatísticos'!$D$103+'Testes estatísticos'!$D$84)/2,"")</f>
        <v/>
      </c>
      <c r="CC276" s="7" t="str">
        <f>IF(80&gt;=98,('Testes estatísticos'!$D$103+'Testes estatísticos'!$D$85)/2,"")</f>
        <v/>
      </c>
      <c r="CD276" s="7" t="str">
        <f>IF(81&gt;=98,('Testes estatísticos'!$D$103+'Testes estatísticos'!$D$86)/2,"")</f>
        <v/>
      </c>
      <c r="CE276" s="7" t="str">
        <f>IF(82&gt;=98,('Testes estatísticos'!$D$103+'Testes estatísticos'!$D$87)/2,"")</f>
        <v/>
      </c>
      <c r="CF276" s="7" t="str">
        <f>IF(83&gt;=98,('Testes estatísticos'!$D$103+'Testes estatísticos'!$D$88)/2,"")</f>
        <v/>
      </c>
      <c r="CG276" s="7" t="str">
        <f>IF(84&gt;=98,('Testes estatísticos'!$D$103+'Testes estatísticos'!$D$89)/2,"")</f>
        <v/>
      </c>
      <c r="CH276" s="7" t="str">
        <f>IF(85&gt;=98,('Testes estatísticos'!$D$103+'Testes estatísticos'!$D$90)/2,"")</f>
        <v/>
      </c>
      <c r="CI276" s="7" t="str">
        <f>IF(86&gt;=98,('Testes estatísticos'!$D$103+'Testes estatísticos'!$D$91)/2,"")</f>
        <v/>
      </c>
      <c r="CJ276" s="7" t="str">
        <f>IF(87&gt;=98,('Testes estatísticos'!$D$103+'Testes estatísticos'!$D$92)/2,"")</f>
        <v/>
      </c>
      <c r="CK276" s="7" t="str">
        <f>IF(88&gt;=98,('Testes estatísticos'!$D$103+'Testes estatísticos'!$D$93)/2,"")</f>
        <v/>
      </c>
      <c r="CL276" s="7" t="str">
        <f>IF(89&gt;=98,('Testes estatísticos'!$D$103+'Testes estatísticos'!$D$94)/2,"")</f>
        <v/>
      </c>
      <c r="CM276" s="7" t="str">
        <f>IF(90&gt;=98,('Testes estatísticos'!$D$103+'Testes estatísticos'!$D$95)/2,"")</f>
        <v/>
      </c>
      <c r="CN276" s="7" t="str">
        <f>IF(91&gt;=98,('Testes estatísticos'!$D$103+'Testes estatísticos'!$D$96)/2,"")</f>
        <v/>
      </c>
      <c r="CO276" s="7" t="str">
        <f>IF(92&gt;=98,('Testes estatísticos'!$D$103+'Testes estatísticos'!$D$97)/2,"")</f>
        <v/>
      </c>
      <c r="CP276" s="7" t="str">
        <f>IF(93&gt;=98,('Testes estatísticos'!$D$103+'Testes estatísticos'!$D$98)/2,"")</f>
        <v/>
      </c>
      <c r="CQ276" s="7" t="str">
        <f>IF(94&gt;=98,('Testes estatísticos'!$D$103+'Testes estatísticos'!$D$99)/2,"")</f>
        <v/>
      </c>
      <c r="CR276" s="7" t="str">
        <f>IF(95&gt;=98,('Testes estatísticos'!$D$103+'Testes estatísticos'!$D$100)/2,"")</f>
        <v/>
      </c>
      <c r="CS276" s="7" t="str">
        <f>IF(96&gt;=98,('Testes estatísticos'!$D$103+'Testes estatísticos'!$D$101)/2,"")</f>
        <v/>
      </c>
      <c r="CT276" s="7" t="str">
        <f>IF(97&gt;=98,('Testes estatísticos'!$D$103+'Testes estatísticos'!$D$102)/2,"")</f>
        <v/>
      </c>
      <c r="CU276" s="7">
        <f>IF(98&gt;=98,('Testes estatísticos'!$D$103+'Testes estatísticos'!$D$103)/2,"")</f>
        <v>-3.2123289999999969</v>
      </c>
      <c r="CV276" s="7">
        <f>IF(99&gt;=98,('Testes estatísticos'!$D$103+'Testes estatísticos'!$D$104)/2,"")</f>
        <v>-3.6471549999999979</v>
      </c>
      <c r="CW276" s="7">
        <f>IF(100&gt;=98,('Testes estatísticos'!$D$103+'Testes estatísticos'!$D$105)/2,"")</f>
        <v>-3.7466209999999975</v>
      </c>
      <c r="CX276" s="7">
        <f>IF(101&gt;=98,('Testes estatísticos'!$D$103+'Testes estatísticos'!$D$106)/2,"")</f>
        <v>-3.223694499999997</v>
      </c>
      <c r="CY276" s="7">
        <f>IF(102&gt;=98,('Testes estatísticos'!$D$103+'Testes estatísticos'!$D$107)/2,"")</f>
        <v>-3.2793594999999982</v>
      </c>
      <c r="CZ276" s="7">
        <f>IF(103&gt;=98,('Testes estatísticos'!$D$103+'Testes estatísticos'!$D$108)/2,"")</f>
        <v>-3.803525999999998</v>
      </c>
      <c r="DA276" s="7">
        <f>IF(104&gt;=98,('Testes estatísticos'!$D$103+'Testes estatísticos'!$D$109)/2,"")</f>
        <v>-3.5408919999999959</v>
      </c>
      <c r="DB276" s="7">
        <f>IF(105&gt;=98,('Testes estatísticos'!$D$103+'Testes estatísticos'!$D$110)/2,"")</f>
        <v>-3.5065609999999978</v>
      </c>
      <c r="DC276" s="7">
        <f>IF(106&gt;=98,('Testes estatísticos'!$D$103+'Testes estatísticos'!$D$111)/2,"")</f>
        <v>-2.7636399999999988</v>
      </c>
      <c r="DD276" s="7">
        <f>IF(107&gt;=98,('Testes estatísticos'!$D$103+'Testes estatísticos'!$D$112)/2,"")</f>
        <v>0.72953100000000148</v>
      </c>
      <c r="DE276" s="7">
        <f>IF(108&gt;=98,('Testes estatísticos'!$D$103+'Testes estatísticos'!$D$113)/2,"")</f>
        <v>-2.6931044999999969</v>
      </c>
      <c r="DF276" s="7">
        <f>IF(109&gt;=98,('Testes estatísticos'!$D$103+'Testes estatísticos'!$D$114)/2,"")</f>
        <v>-2.729361499999996</v>
      </c>
      <c r="DG276" s="7">
        <f>IF(110&gt;=98,('Testes estatísticos'!$D$103+'Testes estatísticos'!$D$115)/2,"")</f>
        <v>-8.2765009999999997</v>
      </c>
      <c r="DH276" s="7">
        <f>IF(111&gt;=98,('Testes estatísticos'!$D$103+'Testes estatísticos'!$D$116)/2,"")</f>
        <v>-2.5956704999999971</v>
      </c>
      <c r="DI276" s="7">
        <f>IF(112&gt;=98,('Testes estatísticos'!$D$103+'Testes estatísticos'!$D$117)/2,"")</f>
        <v>2.8327695000000013</v>
      </c>
      <c r="DJ276" s="7">
        <f>IF(113&gt;=98,('Testes estatísticos'!$D$103+'Testes estatísticos'!$D$118)/2,"")</f>
        <v>-2.6237874999999988</v>
      </c>
      <c r="DK276" s="7">
        <f>IF(114&gt;=98,('Testes estatísticos'!$D$103+'Testes estatísticos'!$D$119)/2,"")</f>
        <v>-2.7255374999999979</v>
      </c>
      <c r="DL276" s="7">
        <f>IF(115&gt;=98,('Testes estatísticos'!$D$103+'Testes estatísticos'!$D$120)/2,"")</f>
        <v>-2.6790599999999962</v>
      </c>
      <c r="DM276" s="7">
        <f>IF(116&gt;=98,('Testes estatísticos'!$D$103+'Testes estatísticos'!$D$121)/2,"")</f>
        <v>-2.6704574999999977</v>
      </c>
      <c r="DN276" s="7">
        <f>IF(117&gt;=98,('Testes estatísticos'!$D$103+'Testes estatísticos'!$D$122)/2,"")</f>
        <v>-2.6473894999999992</v>
      </c>
      <c r="DO276" s="7">
        <f>IF(118&gt;=98,('Testes estatísticos'!$D$103+'Testes estatísticos'!$D$123)/2,"")</f>
        <v>-2.5974789999999999</v>
      </c>
      <c r="DP276" s="7">
        <f>IF(119&gt;=98,('Testes estatísticos'!$D$103+'Testes estatísticos'!$D$124)/2,"")</f>
        <v>-2.6186904999999996</v>
      </c>
      <c r="DQ276" s="7">
        <f>IF(120&gt;=98,('Testes estatísticos'!$D$103+'Testes estatísticos'!$D$125)/2,"")</f>
        <v>0.43292400000000342</v>
      </c>
      <c r="DR276" s="7">
        <f>IF(121&gt;=98,('Testes estatísticos'!$D$103+'Testes estatísticos'!$D$126)/2,"")</f>
        <v>-2.356092499999999</v>
      </c>
      <c r="DS276" s="7">
        <f>IF(122&gt;=98,('Testes estatísticos'!$D$103+'Testes estatísticos'!$D$127)/2,"")</f>
        <v>-3.4215009999999957</v>
      </c>
      <c r="DT276" s="7">
        <f>IF(123&gt;=98,('Testes estatísticos'!$D$103+'Testes estatísticos'!$D$128)/2,"")</f>
        <v>2.6473684999999989</v>
      </c>
      <c r="DU276" s="7">
        <f>IF(124&gt;=98,('Testes estatísticos'!$D$103+'Testes estatísticos'!$D$129)/2,"")</f>
        <v>-2.2484029999999997</v>
      </c>
      <c r="DV276" s="7">
        <f>IF(125&gt;=98,('Testes estatísticos'!$D$103+'Testes estatísticos'!$D$130)/2,"")</f>
        <v>-1.0900955000000003</v>
      </c>
      <c r="DW276" s="7">
        <f>IF(126&gt;=98,('Testes estatísticos'!$D$103+'Testes estatísticos'!$D$131)/2,"")</f>
        <v>-3.4935714999999981</v>
      </c>
      <c r="DX276" s="7">
        <f>IF(127&gt;=98,('Testes estatísticos'!$D$103+'Testes estatísticos'!$D$132)/2,"")</f>
        <v>-5.5497629999999987</v>
      </c>
      <c r="DY276" s="7">
        <f>IF(128&gt;=98,('Testes estatísticos'!$D$103+'Testes estatísticos'!$D$133)/2,"")</f>
        <v>-5.8908524999999976</v>
      </c>
      <c r="DZ276" s="7">
        <f>IF(129&gt;=98,('Testes estatísticos'!$D$103+'Testes estatísticos'!$D$134)/2,"")</f>
        <v>-9.3146424999999979</v>
      </c>
      <c r="EA276" s="7">
        <f>IF(130&gt;=98,('Testes estatísticos'!$D$103+'Testes estatísticos'!$D$135)/2,"")</f>
        <v>-3.5528724999999959</v>
      </c>
      <c r="EB276" s="7">
        <f>IF(131&gt;=98,('Testes estatísticos'!$D$103+'Testes estatísticos'!$D$136)/2,"")</f>
        <v>-3.4649995000000011</v>
      </c>
      <c r="EC276" s="7">
        <f>IF(132&gt;=98,('Testes estatísticos'!$D$103+'Testes estatísticos'!$D$137)/2,"")</f>
        <v>-4.9517360000000004</v>
      </c>
      <c r="ED276" s="7">
        <f>IF(133&gt;=98,('Testes estatísticos'!$D$103+'Testes estatísticos'!$D$138)/2,"")</f>
        <v>-2.7627984999999988</v>
      </c>
      <c r="EE276" s="7">
        <f>IF(134&gt;=98,('Testes estatísticos'!$D$103+'Testes estatísticos'!$D$139)/2,"")</f>
        <v>-5.0599890000000016</v>
      </c>
      <c r="EF276" s="7">
        <f>IF(135&gt;=98,('Testes estatísticos'!$D$103+'Testes estatísticos'!$D$140)/2,"")</f>
        <v>-1.8455564999999972</v>
      </c>
      <c r="EG276" s="7">
        <f>IF(136&gt;=98,('Testes estatísticos'!$D$103+'Testes estatísticos'!$D$141)/2,"")</f>
        <v>-3.5390465000000013</v>
      </c>
      <c r="EH276" s="7">
        <f>IF(137&gt;=98,('Testes estatísticos'!$D$103+'Testes estatísticos'!$D$142)/2,"")</f>
        <v>-1.8343065000000003</v>
      </c>
      <c r="EI276" s="7">
        <f>IF(138&gt;=98,('Testes estatísticos'!$D$103+'Testes estatísticos'!$D$143)/2,"")</f>
        <v>-3.4993219999999958</v>
      </c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</row>
    <row r="277" spans="2:151" x14ac:dyDescent="0.3">
      <c r="B277" s="7" t="str">
        <f>IF(1&gt;=99,('Testes estatísticos'!$D$104+'Testes estatísticos'!$D$6)/2,"")</f>
        <v/>
      </c>
      <c r="C277" s="7" t="str">
        <f>IF(2&gt;=99,('Testes estatísticos'!$D$104+'Testes estatísticos'!$D$7)/2,"")</f>
        <v/>
      </c>
      <c r="D277" s="7" t="str">
        <f>IF(3&gt;=99,('Testes estatísticos'!$D$104+'Testes estatísticos'!$D$8)/2,"")</f>
        <v/>
      </c>
      <c r="E277" s="7" t="str">
        <f>IF(4&gt;=99,('Testes estatísticos'!$D$104+'Testes estatísticos'!$D$9)/2,"")</f>
        <v/>
      </c>
      <c r="F277" s="7" t="str">
        <f>IF(5&gt;=99,('Testes estatísticos'!$D$104+'Testes estatísticos'!$D$10)/2,"")</f>
        <v/>
      </c>
      <c r="G277" s="7" t="str">
        <f>IF(6&gt;=99,('Testes estatísticos'!$D$104+'Testes estatísticos'!$D$11)/2,"")</f>
        <v/>
      </c>
      <c r="H277" s="7" t="str">
        <f>IF(7&gt;=99,('Testes estatísticos'!$D$104+'Testes estatísticos'!$D$12)/2,"")</f>
        <v/>
      </c>
      <c r="I277" s="7" t="str">
        <f>IF(8&gt;=99,('Testes estatísticos'!$D$104+'Testes estatísticos'!$D$13)/2,"")</f>
        <v/>
      </c>
      <c r="J277" s="7" t="str">
        <f>IF(9&gt;=99,('Testes estatísticos'!$D$104+'Testes estatísticos'!$D$14)/2,"")</f>
        <v/>
      </c>
      <c r="K277" s="7" t="str">
        <f>IF(10&gt;=99,('Testes estatísticos'!$D$104+'Testes estatísticos'!$D$15)/2,"")</f>
        <v/>
      </c>
      <c r="L277" s="7" t="str">
        <f>IF(11&gt;=99,('Testes estatísticos'!$D$104+'Testes estatísticos'!$D$16)/2,"")</f>
        <v/>
      </c>
      <c r="M277" s="7" t="str">
        <f>IF(12&gt;=99,('Testes estatísticos'!$D$104+'Testes estatísticos'!$D$17)/2,"")</f>
        <v/>
      </c>
      <c r="N277" s="7" t="str">
        <f>IF(13&gt;=99,('Testes estatísticos'!$D$104+'Testes estatísticos'!$D$18)/2,"")</f>
        <v/>
      </c>
      <c r="O277" s="7" t="str">
        <f>IF(14&gt;=99,('Testes estatísticos'!$D$104+'Testes estatísticos'!$D$19)/2,"")</f>
        <v/>
      </c>
      <c r="P277" s="7" t="str">
        <f>IF(15&gt;=99,('Testes estatísticos'!$D$104+'Testes estatísticos'!$D$20)/2,"")</f>
        <v/>
      </c>
      <c r="Q277" s="7" t="str">
        <f>IF(16&gt;=99,('Testes estatísticos'!$D$104+'Testes estatísticos'!$D$21)/2,"")</f>
        <v/>
      </c>
      <c r="R277" s="7" t="str">
        <f>IF(17&gt;=99,('Testes estatísticos'!$D$104+'Testes estatísticos'!$D$22)/2,"")</f>
        <v/>
      </c>
      <c r="S277" s="7" t="str">
        <f>IF(18&gt;=99,('Testes estatísticos'!$D$104+'Testes estatísticos'!$D$23)/2,"")</f>
        <v/>
      </c>
      <c r="T277" s="7" t="str">
        <f>IF(19&gt;=99,('Testes estatísticos'!$D$104+'Testes estatísticos'!$D$24)/2,"")</f>
        <v/>
      </c>
      <c r="U277" s="7" t="str">
        <f>IF(20&gt;=99,('Testes estatísticos'!$D$104+'Testes estatísticos'!$D$25)/2,"")</f>
        <v/>
      </c>
      <c r="V277" s="7" t="str">
        <f>IF(21&gt;=99,('Testes estatísticos'!$D$104+'Testes estatísticos'!$D$26)/2,"")</f>
        <v/>
      </c>
      <c r="W277" s="7" t="str">
        <f>IF(22&gt;=99,('Testes estatísticos'!$D$104+'Testes estatísticos'!$D$27)/2,"")</f>
        <v/>
      </c>
      <c r="X277" s="7" t="str">
        <f>IF(23&gt;=99,('Testes estatísticos'!$D$104+'Testes estatísticos'!$D$28)/2,"")</f>
        <v/>
      </c>
      <c r="Y277" s="7" t="str">
        <f>IF(24&gt;=99,('Testes estatísticos'!$D$104+'Testes estatísticos'!$D$29)/2,"")</f>
        <v/>
      </c>
      <c r="Z277" s="7" t="str">
        <f>IF(25&gt;=99,('Testes estatísticos'!$D$104+'Testes estatísticos'!$D$30)/2,"")</f>
        <v/>
      </c>
      <c r="AA277" s="7" t="str">
        <f>IF(26&gt;=99,('Testes estatísticos'!$D$104+'Testes estatísticos'!$D$31)/2,"")</f>
        <v/>
      </c>
      <c r="AB277" s="7" t="str">
        <f>IF(27&gt;=99,('Testes estatísticos'!$D$104+'Testes estatísticos'!$D$32)/2,"")</f>
        <v/>
      </c>
      <c r="AC277" s="7" t="str">
        <f>IF(28&gt;=99,('Testes estatísticos'!$D$104+'Testes estatísticos'!$D$33)/2,"")</f>
        <v/>
      </c>
      <c r="AD277" s="7" t="str">
        <f>IF(29&gt;=99,('Testes estatísticos'!$D$104+'Testes estatísticos'!$D$34)/2,"")</f>
        <v/>
      </c>
      <c r="AE277" s="7" t="str">
        <f>IF(30&gt;=99,('Testes estatísticos'!$D$104+'Testes estatísticos'!$D$35)/2,"")</f>
        <v/>
      </c>
      <c r="AF277" s="7" t="str">
        <f>IF(31&gt;=99,('Testes estatísticos'!$D$104+'Testes estatísticos'!$D$36)/2,"")</f>
        <v/>
      </c>
      <c r="AG277" s="7" t="str">
        <f>IF(32&gt;=99,('Testes estatísticos'!$D$104+'Testes estatísticos'!$D$37)/2,"")</f>
        <v/>
      </c>
      <c r="AH277" s="7" t="str">
        <f>IF(33&gt;=99,('Testes estatísticos'!$D$104+'Testes estatísticos'!$D$38)/2,"")</f>
        <v/>
      </c>
      <c r="AI277" s="7" t="str">
        <f>IF(34&gt;=99,('Testes estatísticos'!$D$104+'Testes estatísticos'!$D$39)/2,"")</f>
        <v/>
      </c>
      <c r="AJ277" s="7" t="str">
        <f>IF(35&gt;=99,('Testes estatísticos'!$D$104+'Testes estatísticos'!$D$40)/2,"")</f>
        <v/>
      </c>
      <c r="AK277" s="7" t="str">
        <f>IF(36&gt;=99,('Testes estatísticos'!$D$104+'Testes estatísticos'!$D$41)/2,"")</f>
        <v/>
      </c>
      <c r="AL277" s="7" t="str">
        <f>IF(37&gt;=99,('Testes estatísticos'!$D$104+'Testes estatísticos'!$D$42)/2,"")</f>
        <v/>
      </c>
      <c r="AM277" s="7" t="str">
        <f>IF(38&gt;=99,('Testes estatísticos'!$D$104+'Testes estatísticos'!$D$43)/2,"")</f>
        <v/>
      </c>
      <c r="AN277" s="7" t="str">
        <f>IF(39&gt;=99,('Testes estatísticos'!$D$104+'Testes estatísticos'!$D$44)/2,"")</f>
        <v/>
      </c>
      <c r="AO277" s="7" t="str">
        <f>IF(40&gt;=99,('Testes estatísticos'!$D$104+'Testes estatísticos'!$D$45)/2,"")</f>
        <v/>
      </c>
      <c r="AP277" s="7" t="str">
        <f>IF(41&gt;=99,('Testes estatísticos'!$D$104+'Testes estatísticos'!$D$46)/2,"")</f>
        <v/>
      </c>
      <c r="AQ277" s="7" t="str">
        <f>IF(42&gt;=99,('Testes estatísticos'!$D$104+'Testes estatísticos'!$D$47)/2,"")</f>
        <v/>
      </c>
      <c r="AR277" s="7" t="str">
        <f>IF(43&gt;=99,('Testes estatísticos'!$D$104+'Testes estatísticos'!$D$48)/2,"")</f>
        <v/>
      </c>
      <c r="AS277" s="7" t="str">
        <f>IF(44&gt;=99,('Testes estatísticos'!$D$104+'Testes estatísticos'!$D$49)/2,"")</f>
        <v/>
      </c>
      <c r="AT277" s="7" t="str">
        <f>IF(45&gt;=99,('Testes estatísticos'!$D$104+'Testes estatísticos'!$D$50)/2,"")</f>
        <v/>
      </c>
      <c r="AU277" s="7" t="str">
        <f>IF(46&gt;=99,('Testes estatísticos'!$D$104+'Testes estatísticos'!$D$51)/2,"")</f>
        <v/>
      </c>
      <c r="AV277" s="7" t="str">
        <f>IF(47&gt;=99,('Testes estatísticos'!$D$104+'Testes estatísticos'!$D$52)/2,"")</f>
        <v/>
      </c>
      <c r="AW277" s="7" t="str">
        <f>IF(48&gt;=99,('Testes estatísticos'!$D$104+'Testes estatísticos'!$D$53)/2,"")</f>
        <v/>
      </c>
      <c r="AX277" s="7" t="str">
        <f>IF(49&gt;=99,('Testes estatísticos'!$D$104+'Testes estatísticos'!$D$54)/2,"")</f>
        <v/>
      </c>
      <c r="AY277" s="7" t="str">
        <f>IF(50&gt;=99,('Testes estatísticos'!$D$104+'Testes estatísticos'!$D$55)/2,"")</f>
        <v/>
      </c>
      <c r="AZ277" s="7" t="str">
        <f>IF(51&gt;=99,('Testes estatísticos'!$D$104+'Testes estatísticos'!$D$56)/2,"")</f>
        <v/>
      </c>
      <c r="BA277" s="7" t="str">
        <f>IF(52&gt;=99,('Testes estatísticos'!$D$104+'Testes estatísticos'!$D$57)/2,"")</f>
        <v/>
      </c>
      <c r="BB277" s="7" t="str">
        <f>IF(53&gt;=99,('Testes estatísticos'!$D$104+'Testes estatísticos'!$D$58)/2,"")</f>
        <v/>
      </c>
      <c r="BC277" s="7" t="str">
        <f>IF(54&gt;=99,('Testes estatísticos'!$D$104+'Testes estatísticos'!$D$59)/2,"")</f>
        <v/>
      </c>
      <c r="BD277" s="7" t="str">
        <f>IF(55&gt;=99,('Testes estatísticos'!$D$104+'Testes estatísticos'!$D$60)/2,"")</f>
        <v/>
      </c>
      <c r="BE277" s="7" t="str">
        <f>IF(56&gt;=99,('Testes estatísticos'!$D$104+'Testes estatísticos'!$D$61)/2,"")</f>
        <v/>
      </c>
      <c r="BF277" s="7" t="str">
        <f>IF(57&gt;=99,('Testes estatísticos'!$D$104+'Testes estatísticos'!$D$62)/2,"")</f>
        <v/>
      </c>
      <c r="BG277" s="7" t="str">
        <f>IF(58&gt;=99,('Testes estatísticos'!$D$104+'Testes estatísticos'!$D$63)/2,"")</f>
        <v/>
      </c>
      <c r="BH277" s="7" t="str">
        <f>IF(59&gt;=99,('Testes estatísticos'!$D$104+'Testes estatísticos'!$D$64)/2,"")</f>
        <v/>
      </c>
      <c r="BI277" s="7" t="str">
        <f>IF(60&gt;=99,('Testes estatísticos'!$D$104+'Testes estatísticos'!$D$65)/2,"")</f>
        <v/>
      </c>
      <c r="BJ277" s="7" t="str">
        <f>IF(61&gt;=99,('Testes estatísticos'!$D$104+'Testes estatísticos'!$D$66)/2,"")</f>
        <v/>
      </c>
      <c r="BK277" s="7" t="str">
        <f>IF(62&gt;=99,('Testes estatísticos'!$D$104+'Testes estatísticos'!$D$67)/2,"")</f>
        <v/>
      </c>
      <c r="BL277" s="7" t="str">
        <f>IF(63&gt;=99,('Testes estatísticos'!$D$104+'Testes estatísticos'!$D$68)/2,"")</f>
        <v/>
      </c>
      <c r="BM277" s="7" t="str">
        <f>IF(64&gt;=99,('Testes estatísticos'!$D$104+'Testes estatísticos'!$D$69)/2,"")</f>
        <v/>
      </c>
      <c r="BN277" s="7" t="str">
        <f>IF(65&gt;=99,('Testes estatísticos'!$D$104+'Testes estatísticos'!$D$70)/2,"")</f>
        <v/>
      </c>
      <c r="BO277" s="7" t="str">
        <f>IF(66&gt;=99,('Testes estatísticos'!$D$104+'Testes estatísticos'!$D$71)/2,"")</f>
        <v/>
      </c>
      <c r="BP277" s="7" t="str">
        <f>IF(67&gt;=99,('Testes estatísticos'!$D$104+'Testes estatísticos'!$D$72)/2,"")</f>
        <v/>
      </c>
      <c r="BQ277" s="7" t="str">
        <f>IF(68&gt;=99,('Testes estatísticos'!$D$104+'Testes estatísticos'!$D$73)/2,"")</f>
        <v/>
      </c>
      <c r="BR277" s="7" t="str">
        <f>IF(69&gt;=99,('Testes estatísticos'!$D$104+'Testes estatísticos'!$D$74)/2,"")</f>
        <v/>
      </c>
      <c r="BS277" s="7" t="str">
        <f>IF(70&gt;=99,('Testes estatísticos'!$D$104+'Testes estatísticos'!$D$75)/2,"")</f>
        <v/>
      </c>
      <c r="BT277" s="7" t="str">
        <f>IF(71&gt;=99,('Testes estatísticos'!$D$104+'Testes estatísticos'!$D$76)/2,"")</f>
        <v/>
      </c>
      <c r="BU277" s="7" t="str">
        <f>IF(72&gt;=99,('Testes estatísticos'!$D$104+'Testes estatísticos'!$D$77)/2,"")</f>
        <v/>
      </c>
      <c r="BV277" s="7" t="str">
        <f>IF(73&gt;=99,('Testes estatísticos'!$D$104+'Testes estatísticos'!$D$78)/2,"")</f>
        <v/>
      </c>
      <c r="BW277" s="7" t="str">
        <f>IF(74&gt;=99,('Testes estatísticos'!$D$104+'Testes estatísticos'!$D$79)/2,"")</f>
        <v/>
      </c>
      <c r="BX277" s="7" t="str">
        <f>IF(75&gt;=99,('Testes estatísticos'!$D$104+'Testes estatísticos'!$D$80)/2,"")</f>
        <v/>
      </c>
      <c r="BY277" s="7" t="str">
        <f>IF(76&gt;=99,('Testes estatísticos'!$D$104+'Testes estatísticos'!$D$81)/2,"")</f>
        <v/>
      </c>
      <c r="BZ277" s="7" t="str">
        <f>IF(77&gt;=99,('Testes estatísticos'!$D$104+'Testes estatísticos'!$D$82)/2,"")</f>
        <v/>
      </c>
      <c r="CA277" s="7" t="str">
        <f>IF(78&gt;=99,('Testes estatísticos'!$D$104+'Testes estatísticos'!$D$83)/2,"")</f>
        <v/>
      </c>
      <c r="CB277" s="7" t="str">
        <f>IF(79&gt;=99,('Testes estatísticos'!$D$104+'Testes estatísticos'!$D$84)/2,"")</f>
        <v/>
      </c>
      <c r="CC277" s="7" t="str">
        <f>IF(80&gt;=99,('Testes estatísticos'!$D$104+'Testes estatísticos'!$D$85)/2,"")</f>
        <v/>
      </c>
      <c r="CD277" s="7" t="str">
        <f>IF(81&gt;=99,('Testes estatísticos'!$D$104+'Testes estatísticos'!$D$86)/2,"")</f>
        <v/>
      </c>
      <c r="CE277" s="7" t="str">
        <f>IF(82&gt;=99,('Testes estatísticos'!$D$104+'Testes estatísticos'!$D$87)/2,"")</f>
        <v/>
      </c>
      <c r="CF277" s="7" t="str">
        <f>IF(83&gt;=99,('Testes estatísticos'!$D$104+'Testes estatísticos'!$D$88)/2,"")</f>
        <v/>
      </c>
      <c r="CG277" s="7" t="str">
        <f>IF(84&gt;=99,('Testes estatísticos'!$D$104+'Testes estatísticos'!$D$89)/2,"")</f>
        <v/>
      </c>
      <c r="CH277" s="7" t="str">
        <f>IF(85&gt;=99,('Testes estatísticos'!$D$104+'Testes estatísticos'!$D$90)/2,"")</f>
        <v/>
      </c>
      <c r="CI277" s="7" t="str">
        <f>IF(86&gt;=99,('Testes estatísticos'!$D$104+'Testes estatísticos'!$D$91)/2,"")</f>
        <v/>
      </c>
      <c r="CJ277" s="7" t="str">
        <f>IF(87&gt;=99,('Testes estatísticos'!$D$104+'Testes estatísticos'!$D$92)/2,"")</f>
        <v/>
      </c>
      <c r="CK277" s="7" t="str">
        <f>IF(88&gt;=99,('Testes estatísticos'!$D$104+'Testes estatísticos'!$D$93)/2,"")</f>
        <v/>
      </c>
      <c r="CL277" s="7" t="str">
        <f>IF(89&gt;=99,('Testes estatísticos'!$D$104+'Testes estatísticos'!$D$94)/2,"")</f>
        <v/>
      </c>
      <c r="CM277" s="7" t="str">
        <f>IF(90&gt;=99,('Testes estatísticos'!$D$104+'Testes estatísticos'!$D$95)/2,"")</f>
        <v/>
      </c>
      <c r="CN277" s="7" t="str">
        <f>IF(91&gt;=99,('Testes estatísticos'!$D$104+'Testes estatísticos'!$D$96)/2,"")</f>
        <v/>
      </c>
      <c r="CO277" s="7" t="str">
        <f>IF(92&gt;=99,('Testes estatísticos'!$D$104+'Testes estatísticos'!$D$97)/2,"")</f>
        <v/>
      </c>
      <c r="CP277" s="7" t="str">
        <f>IF(93&gt;=99,('Testes estatísticos'!$D$104+'Testes estatísticos'!$D$98)/2,"")</f>
        <v/>
      </c>
      <c r="CQ277" s="7" t="str">
        <f>IF(94&gt;=99,('Testes estatísticos'!$D$104+'Testes estatísticos'!$D$99)/2,"")</f>
        <v/>
      </c>
      <c r="CR277" s="7" t="str">
        <f>IF(95&gt;=99,('Testes estatísticos'!$D$104+'Testes estatísticos'!$D$100)/2,"")</f>
        <v/>
      </c>
      <c r="CS277" s="7" t="str">
        <f>IF(96&gt;=99,('Testes estatísticos'!$D$104+'Testes estatísticos'!$D$101)/2,"")</f>
        <v/>
      </c>
      <c r="CT277" s="7" t="str">
        <f>IF(97&gt;=99,('Testes estatísticos'!$D$104+'Testes estatísticos'!$D$102)/2,"")</f>
        <v/>
      </c>
      <c r="CU277" s="7" t="str">
        <f>IF(98&gt;=99,('Testes estatísticos'!$D$104+'Testes estatísticos'!$D$103)/2,"")</f>
        <v/>
      </c>
      <c r="CV277" s="7">
        <f>IF(99&gt;=99,('Testes estatísticos'!$D$104+'Testes estatísticos'!$D$104)/2,"")</f>
        <v>-4.081980999999999</v>
      </c>
      <c r="CW277" s="7">
        <f>IF(100&gt;=99,('Testes estatísticos'!$D$104+'Testes estatísticos'!$D$105)/2,"")</f>
        <v>-4.1814469999999986</v>
      </c>
      <c r="CX277" s="7">
        <f>IF(101&gt;=99,('Testes estatísticos'!$D$104+'Testes estatísticos'!$D$106)/2,"")</f>
        <v>-3.6585204999999981</v>
      </c>
      <c r="CY277" s="7">
        <f>IF(102&gt;=99,('Testes estatísticos'!$D$104+'Testes estatísticos'!$D$107)/2,"")</f>
        <v>-3.7141854999999993</v>
      </c>
      <c r="CZ277" s="7">
        <f>IF(103&gt;=99,('Testes estatísticos'!$D$104+'Testes estatísticos'!$D$108)/2,"")</f>
        <v>-4.238351999999999</v>
      </c>
      <c r="DA277" s="7">
        <f>IF(104&gt;=99,('Testes estatísticos'!$D$104+'Testes estatísticos'!$D$109)/2,"")</f>
        <v>-3.975717999999997</v>
      </c>
      <c r="DB277" s="7">
        <f>IF(105&gt;=99,('Testes estatísticos'!$D$104+'Testes estatísticos'!$D$110)/2,"")</f>
        <v>-3.9413869999999989</v>
      </c>
      <c r="DC277" s="7">
        <f>IF(106&gt;=99,('Testes estatísticos'!$D$104+'Testes estatísticos'!$D$111)/2,"")</f>
        <v>-3.1984659999999998</v>
      </c>
      <c r="DD277" s="7">
        <f>IF(107&gt;=99,('Testes estatísticos'!$D$104+'Testes estatísticos'!$D$112)/2,"")</f>
        <v>0.29470500000000044</v>
      </c>
      <c r="DE277" s="7">
        <f>IF(108&gt;=99,('Testes estatísticos'!$D$104+'Testes estatísticos'!$D$113)/2,"")</f>
        <v>-3.1279304999999979</v>
      </c>
      <c r="DF277" s="7">
        <f>IF(109&gt;=99,('Testes estatísticos'!$D$104+'Testes estatísticos'!$D$114)/2,"")</f>
        <v>-3.164187499999997</v>
      </c>
      <c r="DG277" s="7">
        <f>IF(110&gt;=99,('Testes estatísticos'!$D$104+'Testes estatísticos'!$D$115)/2,"")</f>
        <v>-8.7113270000000007</v>
      </c>
      <c r="DH277" s="7">
        <f>IF(111&gt;=99,('Testes estatísticos'!$D$104+'Testes estatísticos'!$D$116)/2,"")</f>
        <v>-3.0304964999999982</v>
      </c>
      <c r="DI277" s="7">
        <f>IF(112&gt;=99,('Testes estatísticos'!$D$104+'Testes estatísticos'!$D$117)/2,"")</f>
        <v>2.3979435000000002</v>
      </c>
      <c r="DJ277" s="7">
        <f>IF(113&gt;=99,('Testes estatísticos'!$D$104+'Testes estatísticos'!$D$118)/2,"")</f>
        <v>-3.0586134999999999</v>
      </c>
      <c r="DK277" s="7">
        <f>IF(114&gt;=99,('Testes estatísticos'!$D$104+'Testes estatísticos'!$D$119)/2,"")</f>
        <v>-3.160363499999999</v>
      </c>
      <c r="DL277" s="7">
        <f>IF(115&gt;=99,('Testes estatísticos'!$D$104+'Testes estatísticos'!$D$120)/2,"")</f>
        <v>-3.1138859999999973</v>
      </c>
      <c r="DM277" s="7">
        <f>IF(116&gt;=99,('Testes estatísticos'!$D$104+'Testes estatísticos'!$D$121)/2,"")</f>
        <v>-3.1052834999999988</v>
      </c>
      <c r="DN277" s="7">
        <f>IF(117&gt;=99,('Testes estatísticos'!$D$104+'Testes estatísticos'!$D$122)/2,"")</f>
        <v>-3.0822155000000002</v>
      </c>
      <c r="DO277" s="7">
        <f>IF(118&gt;=99,('Testes estatísticos'!$D$104+'Testes estatísticos'!$D$123)/2,"")</f>
        <v>-3.0323050000000009</v>
      </c>
      <c r="DP277" s="7">
        <f>IF(119&gt;=99,('Testes estatísticos'!$D$104+'Testes estatísticos'!$D$124)/2,"")</f>
        <v>-3.0535165000000006</v>
      </c>
      <c r="DQ277" s="7">
        <f>IF(120&gt;=99,('Testes estatísticos'!$D$104+'Testes estatísticos'!$D$125)/2,"")</f>
        <v>-1.9019999999976278E-3</v>
      </c>
      <c r="DR277" s="7">
        <f>IF(121&gt;=99,('Testes estatísticos'!$D$104+'Testes estatísticos'!$D$126)/2,"")</f>
        <v>-2.7909185000000001</v>
      </c>
      <c r="DS277" s="7">
        <f>IF(122&gt;=99,('Testes estatísticos'!$D$104+'Testes estatísticos'!$D$127)/2,"")</f>
        <v>-3.8563269999999967</v>
      </c>
      <c r="DT277" s="7">
        <f>IF(123&gt;=99,('Testes estatísticos'!$D$104+'Testes estatísticos'!$D$128)/2,"")</f>
        <v>2.2125424999999979</v>
      </c>
      <c r="DU277" s="7">
        <f>IF(124&gt;=99,('Testes estatísticos'!$D$104+'Testes estatísticos'!$D$129)/2,"")</f>
        <v>-2.6832290000000008</v>
      </c>
      <c r="DV277" s="7">
        <f>IF(125&gt;=99,('Testes estatísticos'!$D$104+'Testes estatísticos'!$D$130)/2,"")</f>
        <v>-1.5249215000000014</v>
      </c>
      <c r="DW277" s="7">
        <f>IF(126&gt;=99,('Testes estatísticos'!$D$104+'Testes estatísticos'!$D$131)/2,"")</f>
        <v>-3.9283974999999991</v>
      </c>
      <c r="DX277" s="7">
        <f>IF(127&gt;=99,('Testes estatísticos'!$D$104+'Testes estatísticos'!$D$132)/2,"")</f>
        <v>-5.9845889999999997</v>
      </c>
      <c r="DY277" s="7">
        <f>IF(128&gt;=99,('Testes estatísticos'!$D$104+'Testes estatísticos'!$D$133)/2,"")</f>
        <v>-6.3256784999999986</v>
      </c>
      <c r="DZ277" s="7">
        <f>IF(129&gt;=99,('Testes estatísticos'!$D$104+'Testes estatísticos'!$D$134)/2,"")</f>
        <v>-9.749468499999999</v>
      </c>
      <c r="EA277" s="7">
        <f>IF(130&gt;=99,('Testes estatísticos'!$D$104+'Testes estatísticos'!$D$135)/2,"")</f>
        <v>-3.9876984999999969</v>
      </c>
      <c r="EB277" s="7">
        <f>IF(131&gt;=99,('Testes estatísticos'!$D$104+'Testes estatísticos'!$D$136)/2,"")</f>
        <v>-3.8998255000000022</v>
      </c>
      <c r="EC277" s="7">
        <f>IF(132&gt;=99,('Testes estatísticos'!$D$104+'Testes estatísticos'!$D$137)/2,"")</f>
        <v>-5.3865620000000014</v>
      </c>
      <c r="ED277" s="7">
        <f>IF(133&gt;=99,('Testes estatísticos'!$D$104+'Testes estatísticos'!$D$138)/2,"")</f>
        <v>-3.1976244999999999</v>
      </c>
      <c r="EE277" s="7">
        <f>IF(134&gt;=99,('Testes estatísticos'!$D$104+'Testes estatísticos'!$D$139)/2,"")</f>
        <v>-5.4948150000000027</v>
      </c>
      <c r="EF277" s="7">
        <f>IF(135&gt;=99,('Testes estatísticos'!$D$104+'Testes estatísticos'!$D$140)/2,"")</f>
        <v>-2.2803824999999982</v>
      </c>
      <c r="EG277" s="7">
        <f>IF(136&gt;=99,('Testes estatísticos'!$D$104+'Testes estatísticos'!$D$141)/2,"")</f>
        <v>-3.9738725000000024</v>
      </c>
      <c r="EH277" s="7">
        <f>IF(137&gt;=99,('Testes estatísticos'!$D$104+'Testes estatísticos'!$D$142)/2,"")</f>
        <v>-2.2691325000000013</v>
      </c>
      <c r="EI277" s="7">
        <f>IF(138&gt;=99,('Testes estatísticos'!$D$104+'Testes estatísticos'!$D$143)/2,"")</f>
        <v>-3.9341479999999969</v>
      </c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</row>
    <row r="278" spans="2:151" x14ac:dyDescent="0.3">
      <c r="B278" s="7" t="str">
        <f>IF(1&gt;=100,('Testes estatísticos'!$D$105+'Testes estatísticos'!$D$6)/2,"")</f>
        <v/>
      </c>
      <c r="C278" s="7" t="str">
        <f>IF(2&gt;=100,('Testes estatísticos'!$D$105+'Testes estatísticos'!$D$7)/2,"")</f>
        <v/>
      </c>
      <c r="D278" s="7" t="str">
        <f>IF(3&gt;=100,('Testes estatísticos'!$D$105+'Testes estatísticos'!$D$8)/2,"")</f>
        <v/>
      </c>
      <c r="E278" s="7" t="str">
        <f>IF(4&gt;=100,('Testes estatísticos'!$D$105+'Testes estatísticos'!$D$9)/2,"")</f>
        <v/>
      </c>
      <c r="F278" s="7" t="str">
        <f>IF(5&gt;=100,('Testes estatísticos'!$D$105+'Testes estatísticos'!$D$10)/2,"")</f>
        <v/>
      </c>
      <c r="G278" s="7" t="str">
        <f>IF(6&gt;=100,('Testes estatísticos'!$D$105+'Testes estatísticos'!$D$11)/2,"")</f>
        <v/>
      </c>
      <c r="H278" s="7" t="str">
        <f>IF(7&gt;=100,('Testes estatísticos'!$D$105+'Testes estatísticos'!$D$12)/2,"")</f>
        <v/>
      </c>
      <c r="I278" s="7" t="str">
        <f>IF(8&gt;=100,('Testes estatísticos'!$D$105+'Testes estatísticos'!$D$13)/2,"")</f>
        <v/>
      </c>
      <c r="J278" s="7" t="str">
        <f>IF(9&gt;=100,('Testes estatísticos'!$D$105+'Testes estatísticos'!$D$14)/2,"")</f>
        <v/>
      </c>
      <c r="K278" s="7" t="str">
        <f>IF(10&gt;=100,('Testes estatísticos'!$D$105+'Testes estatísticos'!$D$15)/2,"")</f>
        <v/>
      </c>
      <c r="L278" s="7" t="str">
        <f>IF(11&gt;=100,('Testes estatísticos'!$D$105+'Testes estatísticos'!$D$16)/2,"")</f>
        <v/>
      </c>
      <c r="M278" s="7" t="str">
        <f>IF(12&gt;=100,('Testes estatísticos'!$D$105+'Testes estatísticos'!$D$17)/2,"")</f>
        <v/>
      </c>
      <c r="N278" s="7" t="str">
        <f>IF(13&gt;=100,('Testes estatísticos'!$D$105+'Testes estatísticos'!$D$18)/2,"")</f>
        <v/>
      </c>
      <c r="O278" s="7" t="str">
        <f>IF(14&gt;=100,('Testes estatísticos'!$D$105+'Testes estatísticos'!$D$19)/2,"")</f>
        <v/>
      </c>
      <c r="P278" s="7" t="str">
        <f>IF(15&gt;=100,('Testes estatísticos'!$D$105+'Testes estatísticos'!$D$20)/2,"")</f>
        <v/>
      </c>
      <c r="Q278" s="7" t="str">
        <f>IF(16&gt;=100,('Testes estatísticos'!$D$105+'Testes estatísticos'!$D$21)/2,"")</f>
        <v/>
      </c>
      <c r="R278" s="7" t="str">
        <f>IF(17&gt;=100,('Testes estatísticos'!$D$105+'Testes estatísticos'!$D$22)/2,"")</f>
        <v/>
      </c>
      <c r="S278" s="7" t="str">
        <f>IF(18&gt;=100,('Testes estatísticos'!$D$105+'Testes estatísticos'!$D$23)/2,"")</f>
        <v/>
      </c>
      <c r="T278" s="7" t="str">
        <f>IF(19&gt;=100,('Testes estatísticos'!$D$105+'Testes estatísticos'!$D$24)/2,"")</f>
        <v/>
      </c>
      <c r="U278" s="7" t="str">
        <f>IF(20&gt;=100,('Testes estatísticos'!$D$105+'Testes estatísticos'!$D$25)/2,"")</f>
        <v/>
      </c>
      <c r="V278" s="7" t="str">
        <f>IF(21&gt;=100,('Testes estatísticos'!$D$105+'Testes estatísticos'!$D$26)/2,"")</f>
        <v/>
      </c>
      <c r="W278" s="7" t="str">
        <f>IF(22&gt;=100,('Testes estatísticos'!$D$105+'Testes estatísticos'!$D$27)/2,"")</f>
        <v/>
      </c>
      <c r="X278" s="7" t="str">
        <f>IF(23&gt;=100,('Testes estatísticos'!$D$105+'Testes estatísticos'!$D$28)/2,"")</f>
        <v/>
      </c>
      <c r="Y278" s="7" t="str">
        <f>IF(24&gt;=100,('Testes estatísticos'!$D$105+'Testes estatísticos'!$D$29)/2,"")</f>
        <v/>
      </c>
      <c r="Z278" s="7" t="str">
        <f>IF(25&gt;=100,('Testes estatísticos'!$D$105+'Testes estatísticos'!$D$30)/2,"")</f>
        <v/>
      </c>
      <c r="AA278" s="7" t="str">
        <f>IF(26&gt;=100,('Testes estatísticos'!$D$105+'Testes estatísticos'!$D$31)/2,"")</f>
        <v/>
      </c>
      <c r="AB278" s="7" t="str">
        <f>IF(27&gt;=100,('Testes estatísticos'!$D$105+'Testes estatísticos'!$D$32)/2,"")</f>
        <v/>
      </c>
      <c r="AC278" s="7" t="str">
        <f>IF(28&gt;=100,('Testes estatísticos'!$D$105+'Testes estatísticos'!$D$33)/2,"")</f>
        <v/>
      </c>
      <c r="AD278" s="7" t="str">
        <f>IF(29&gt;=100,('Testes estatísticos'!$D$105+'Testes estatísticos'!$D$34)/2,"")</f>
        <v/>
      </c>
      <c r="AE278" s="7" t="str">
        <f>IF(30&gt;=100,('Testes estatísticos'!$D$105+'Testes estatísticos'!$D$35)/2,"")</f>
        <v/>
      </c>
      <c r="AF278" s="7" t="str">
        <f>IF(31&gt;=100,('Testes estatísticos'!$D$105+'Testes estatísticos'!$D$36)/2,"")</f>
        <v/>
      </c>
      <c r="AG278" s="7" t="str">
        <f>IF(32&gt;=100,('Testes estatísticos'!$D$105+'Testes estatísticos'!$D$37)/2,"")</f>
        <v/>
      </c>
      <c r="AH278" s="7" t="str">
        <f>IF(33&gt;=100,('Testes estatísticos'!$D$105+'Testes estatísticos'!$D$38)/2,"")</f>
        <v/>
      </c>
      <c r="AI278" s="7" t="str">
        <f>IF(34&gt;=100,('Testes estatísticos'!$D$105+'Testes estatísticos'!$D$39)/2,"")</f>
        <v/>
      </c>
      <c r="AJ278" s="7" t="str">
        <f>IF(35&gt;=100,('Testes estatísticos'!$D$105+'Testes estatísticos'!$D$40)/2,"")</f>
        <v/>
      </c>
      <c r="AK278" s="7" t="str">
        <f>IF(36&gt;=100,('Testes estatísticos'!$D$105+'Testes estatísticos'!$D$41)/2,"")</f>
        <v/>
      </c>
      <c r="AL278" s="7" t="str">
        <f>IF(37&gt;=100,('Testes estatísticos'!$D$105+'Testes estatísticos'!$D$42)/2,"")</f>
        <v/>
      </c>
      <c r="AM278" s="7" t="str">
        <f>IF(38&gt;=100,('Testes estatísticos'!$D$105+'Testes estatísticos'!$D$43)/2,"")</f>
        <v/>
      </c>
      <c r="AN278" s="7" t="str">
        <f>IF(39&gt;=100,('Testes estatísticos'!$D$105+'Testes estatísticos'!$D$44)/2,"")</f>
        <v/>
      </c>
      <c r="AO278" s="7" t="str">
        <f>IF(40&gt;=100,('Testes estatísticos'!$D$105+'Testes estatísticos'!$D$45)/2,"")</f>
        <v/>
      </c>
      <c r="AP278" s="7" t="str">
        <f>IF(41&gt;=100,('Testes estatísticos'!$D$105+'Testes estatísticos'!$D$46)/2,"")</f>
        <v/>
      </c>
      <c r="AQ278" s="7" t="str">
        <f>IF(42&gt;=100,('Testes estatísticos'!$D$105+'Testes estatísticos'!$D$47)/2,"")</f>
        <v/>
      </c>
      <c r="AR278" s="7" t="str">
        <f>IF(43&gt;=100,('Testes estatísticos'!$D$105+'Testes estatísticos'!$D$48)/2,"")</f>
        <v/>
      </c>
      <c r="AS278" s="7" t="str">
        <f>IF(44&gt;=100,('Testes estatísticos'!$D$105+'Testes estatísticos'!$D$49)/2,"")</f>
        <v/>
      </c>
      <c r="AT278" s="7" t="str">
        <f>IF(45&gt;=100,('Testes estatísticos'!$D$105+'Testes estatísticos'!$D$50)/2,"")</f>
        <v/>
      </c>
      <c r="AU278" s="7" t="str">
        <f>IF(46&gt;=100,('Testes estatísticos'!$D$105+'Testes estatísticos'!$D$51)/2,"")</f>
        <v/>
      </c>
      <c r="AV278" s="7" t="str">
        <f>IF(47&gt;=100,('Testes estatísticos'!$D$105+'Testes estatísticos'!$D$52)/2,"")</f>
        <v/>
      </c>
      <c r="AW278" s="7" t="str">
        <f>IF(48&gt;=100,('Testes estatísticos'!$D$105+'Testes estatísticos'!$D$53)/2,"")</f>
        <v/>
      </c>
      <c r="AX278" s="7" t="str">
        <f>IF(49&gt;=100,('Testes estatísticos'!$D$105+'Testes estatísticos'!$D$54)/2,"")</f>
        <v/>
      </c>
      <c r="AY278" s="7" t="str">
        <f>IF(50&gt;=100,('Testes estatísticos'!$D$105+'Testes estatísticos'!$D$55)/2,"")</f>
        <v/>
      </c>
      <c r="AZ278" s="7" t="str">
        <f>IF(51&gt;=100,('Testes estatísticos'!$D$105+'Testes estatísticos'!$D$56)/2,"")</f>
        <v/>
      </c>
      <c r="BA278" s="7" t="str">
        <f>IF(52&gt;=100,('Testes estatísticos'!$D$105+'Testes estatísticos'!$D$57)/2,"")</f>
        <v/>
      </c>
      <c r="BB278" s="7" t="str">
        <f>IF(53&gt;=100,('Testes estatísticos'!$D$105+'Testes estatísticos'!$D$58)/2,"")</f>
        <v/>
      </c>
      <c r="BC278" s="7" t="str">
        <f>IF(54&gt;=100,('Testes estatísticos'!$D$105+'Testes estatísticos'!$D$59)/2,"")</f>
        <v/>
      </c>
      <c r="BD278" s="7" t="str">
        <f>IF(55&gt;=100,('Testes estatísticos'!$D$105+'Testes estatísticos'!$D$60)/2,"")</f>
        <v/>
      </c>
      <c r="BE278" s="7" t="str">
        <f>IF(56&gt;=100,('Testes estatísticos'!$D$105+'Testes estatísticos'!$D$61)/2,"")</f>
        <v/>
      </c>
      <c r="BF278" s="7" t="str">
        <f>IF(57&gt;=100,('Testes estatísticos'!$D$105+'Testes estatísticos'!$D$62)/2,"")</f>
        <v/>
      </c>
      <c r="BG278" s="7" t="str">
        <f>IF(58&gt;=100,('Testes estatísticos'!$D$105+'Testes estatísticos'!$D$63)/2,"")</f>
        <v/>
      </c>
      <c r="BH278" s="7" t="str">
        <f>IF(59&gt;=100,('Testes estatísticos'!$D$105+'Testes estatísticos'!$D$64)/2,"")</f>
        <v/>
      </c>
      <c r="BI278" s="7" t="str">
        <f>IF(60&gt;=100,('Testes estatísticos'!$D$105+'Testes estatísticos'!$D$65)/2,"")</f>
        <v/>
      </c>
      <c r="BJ278" s="7" t="str">
        <f>IF(61&gt;=100,('Testes estatísticos'!$D$105+'Testes estatísticos'!$D$66)/2,"")</f>
        <v/>
      </c>
      <c r="BK278" s="7" t="str">
        <f>IF(62&gt;=100,('Testes estatísticos'!$D$105+'Testes estatísticos'!$D$67)/2,"")</f>
        <v/>
      </c>
      <c r="BL278" s="7" t="str">
        <f>IF(63&gt;=100,('Testes estatísticos'!$D$105+'Testes estatísticos'!$D$68)/2,"")</f>
        <v/>
      </c>
      <c r="BM278" s="7" t="str">
        <f>IF(64&gt;=100,('Testes estatísticos'!$D$105+'Testes estatísticos'!$D$69)/2,"")</f>
        <v/>
      </c>
      <c r="BN278" s="7" t="str">
        <f>IF(65&gt;=100,('Testes estatísticos'!$D$105+'Testes estatísticos'!$D$70)/2,"")</f>
        <v/>
      </c>
      <c r="BO278" s="7" t="str">
        <f>IF(66&gt;=100,('Testes estatísticos'!$D$105+'Testes estatísticos'!$D$71)/2,"")</f>
        <v/>
      </c>
      <c r="BP278" s="7" t="str">
        <f>IF(67&gt;=100,('Testes estatísticos'!$D$105+'Testes estatísticos'!$D$72)/2,"")</f>
        <v/>
      </c>
      <c r="BQ278" s="7" t="str">
        <f>IF(68&gt;=100,('Testes estatísticos'!$D$105+'Testes estatísticos'!$D$73)/2,"")</f>
        <v/>
      </c>
      <c r="BR278" s="7" t="str">
        <f>IF(69&gt;=100,('Testes estatísticos'!$D$105+'Testes estatísticos'!$D$74)/2,"")</f>
        <v/>
      </c>
      <c r="BS278" s="7" t="str">
        <f>IF(70&gt;=100,('Testes estatísticos'!$D$105+'Testes estatísticos'!$D$75)/2,"")</f>
        <v/>
      </c>
      <c r="BT278" s="7" t="str">
        <f>IF(71&gt;=100,('Testes estatísticos'!$D$105+'Testes estatísticos'!$D$76)/2,"")</f>
        <v/>
      </c>
      <c r="BU278" s="7" t="str">
        <f>IF(72&gt;=100,('Testes estatísticos'!$D$105+'Testes estatísticos'!$D$77)/2,"")</f>
        <v/>
      </c>
      <c r="BV278" s="7" t="str">
        <f>IF(73&gt;=100,('Testes estatísticos'!$D$105+'Testes estatísticos'!$D$78)/2,"")</f>
        <v/>
      </c>
      <c r="BW278" s="7" t="str">
        <f>IF(74&gt;=100,('Testes estatísticos'!$D$105+'Testes estatísticos'!$D$79)/2,"")</f>
        <v/>
      </c>
      <c r="BX278" s="7" t="str">
        <f>IF(75&gt;=100,('Testes estatísticos'!$D$105+'Testes estatísticos'!$D$80)/2,"")</f>
        <v/>
      </c>
      <c r="BY278" s="7" t="str">
        <f>IF(76&gt;=100,('Testes estatísticos'!$D$105+'Testes estatísticos'!$D$81)/2,"")</f>
        <v/>
      </c>
      <c r="BZ278" s="7" t="str">
        <f>IF(77&gt;=100,('Testes estatísticos'!$D$105+'Testes estatísticos'!$D$82)/2,"")</f>
        <v/>
      </c>
      <c r="CA278" s="7" t="str">
        <f>IF(78&gt;=100,('Testes estatísticos'!$D$105+'Testes estatísticos'!$D$83)/2,"")</f>
        <v/>
      </c>
      <c r="CB278" s="7" t="str">
        <f>IF(79&gt;=100,('Testes estatísticos'!$D$105+'Testes estatísticos'!$D$84)/2,"")</f>
        <v/>
      </c>
      <c r="CC278" s="7" t="str">
        <f>IF(80&gt;=100,('Testes estatísticos'!$D$105+'Testes estatísticos'!$D$85)/2,"")</f>
        <v/>
      </c>
      <c r="CD278" s="7" t="str">
        <f>IF(81&gt;=100,('Testes estatísticos'!$D$105+'Testes estatísticos'!$D$86)/2,"")</f>
        <v/>
      </c>
      <c r="CE278" s="7" t="str">
        <f>IF(82&gt;=100,('Testes estatísticos'!$D$105+'Testes estatísticos'!$D$87)/2,"")</f>
        <v/>
      </c>
      <c r="CF278" s="7" t="str">
        <f>IF(83&gt;=100,('Testes estatísticos'!$D$105+'Testes estatísticos'!$D$88)/2,"")</f>
        <v/>
      </c>
      <c r="CG278" s="7" t="str">
        <f>IF(84&gt;=100,('Testes estatísticos'!$D$105+'Testes estatísticos'!$D$89)/2,"")</f>
        <v/>
      </c>
      <c r="CH278" s="7" t="str">
        <f>IF(85&gt;=100,('Testes estatísticos'!$D$105+'Testes estatísticos'!$D$90)/2,"")</f>
        <v/>
      </c>
      <c r="CI278" s="7" t="str">
        <f>IF(86&gt;=100,('Testes estatísticos'!$D$105+'Testes estatísticos'!$D$91)/2,"")</f>
        <v/>
      </c>
      <c r="CJ278" s="7" t="str">
        <f>IF(87&gt;=100,('Testes estatísticos'!$D$105+'Testes estatísticos'!$D$92)/2,"")</f>
        <v/>
      </c>
      <c r="CK278" s="7" t="str">
        <f>IF(88&gt;=100,('Testes estatísticos'!$D$105+'Testes estatísticos'!$D$93)/2,"")</f>
        <v/>
      </c>
      <c r="CL278" s="7" t="str">
        <f>IF(89&gt;=100,('Testes estatísticos'!$D$105+'Testes estatísticos'!$D$94)/2,"")</f>
        <v/>
      </c>
      <c r="CM278" s="7" t="str">
        <f>IF(90&gt;=100,('Testes estatísticos'!$D$105+'Testes estatísticos'!$D$95)/2,"")</f>
        <v/>
      </c>
      <c r="CN278" s="7" t="str">
        <f>IF(91&gt;=100,('Testes estatísticos'!$D$105+'Testes estatísticos'!$D$96)/2,"")</f>
        <v/>
      </c>
      <c r="CO278" s="7" t="str">
        <f>IF(92&gt;=100,('Testes estatísticos'!$D$105+'Testes estatísticos'!$D$97)/2,"")</f>
        <v/>
      </c>
      <c r="CP278" s="7" t="str">
        <f>IF(93&gt;=100,('Testes estatísticos'!$D$105+'Testes estatísticos'!$D$98)/2,"")</f>
        <v/>
      </c>
      <c r="CQ278" s="7" t="str">
        <f>IF(94&gt;=100,('Testes estatísticos'!$D$105+'Testes estatísticos'!$D$99)/2,"")</f>
        <v/>
      </c>
      <c r="CR278" s="7" t="str">
        <f>IF(95&gt;=100,('Testes estatísticos'!$D$105+'Testes estatísticos'!$D$100)/2,"")</f>
        <v/>
      </c>
      <c r="CS278" s="7" t="str">
        <f>IF(96&gt;=100,('Testes estatísticos'!$D$105+'Testes estatísticos'!$D$101)/2,"")</f>
        <v/>
      </c>
      <c r="CT278" s="7" t="str">
        <f>IF(97&gt;=100,('Testes estatísticos'!$D$105+'Testes estatísticos'!$D$102)/2,"")</f>
        <v/>
      </c>
      <c r="CU278" s="7" t="str">
        <f>IF(98&gt;=100,('Testes estatísticos'!$D$105+'Testes estatísticos'!$D$103)/2,"")</f>
        <v/>
      </c>
      <c r="CV278" s="7" t="str">
        <f>IF(99&gt;=100,('Testes estatísticos'!$D$105+'Testes estatísticos'!$D$104)/2,"")</f>
        <v/>
      </c>
      <c r="CW278" s="7">
        <f>IF(100&gt;=100,('Testes estatísticos'!$D$105+'Testes estatísticos'!$D$105)/2,"")</f>
        <v>-4.2809129999999982</v>
      </c>
      <c r="CX278" s="7">
        <f>IF(101&gt;=100,('Testes estatísticos'!$D$105+'Testes estatísticos'!$D$106)/2,"")</f>
        <v>-3.7579864999999977</v>
      </c>
      <c r="CY278" s="7">
        <f>IF(102&gt;=100,('Testes estatísticos'!$D$105+'Testes estatísticos'!$D$107)/2,"")</f>
        <v>-3.8136514999999989</v>
      </c>
      <c r="CZ278" s="7">
        <f>IF(103&gt;=100,('Testes estatísticos'!$D$105+'Testes estatísticos'!$D$108)/2,"")</f>
        <v>-4.3378179999999986</v>
      </c>
      <c r="DA278" s="7">
        <f>IF(104&gt;=100,('Testes estatísticos'!$D$105+'Testes estatísticos'!$D$109)/2,"")</f>
        <v>-4.0751839999999966</v>
      </c>
      <c r="DB278" s="7">
        <f>IF(105&gt;=100,('Testes estatísticos'!$D$105+'Testes estatísticos'!$D$110)/2,"")</f>
        <v>-4.0408529999999985</v>
      </c>
      <c r="DC278" s="7">
        <f>IF(106&gt;=100,('Testes estatísticos'!$D$105+'Testes estatísticos'!$D$111)/2,"")</f>
        <v>-3.2979319999999994</v>
      </c>
      <c r="DD278" s="7">
        <f>IF(107&gt;=100,('Testes estatísticos'!$D$105+'Testes estatísticos'!$D$112)/2,"")</f>
        <v>0.19523900000000083</v>
      </c>
      <c r="DE278" s="7">
        <f>IF(108&gt;=100,('Testes estatísticos'!$D$105+'Testes estatísticos'!$D$113)/2,"")</f>
        <v>-3.2273964999999976</v>
      </c>
      <c r="DF278" s="7">
        <f>IF(109&gt;=100,('Testes estatísticos'!$D$105+'Testes estatísticos'!$D$114)/2,"")</f>
        <v>-3.2636534999999967</v>
      </c>
      <c r="DG278" s="7">
        <f>IF(110&gt;=100,('Testes estatísticos'!$D$105+'Testes estatísticos'!$D$115)/2,"")</f>
        <v>-8.8107930000000003</v>
      </c>
      <c r="DH278" s="7">
        <f>IF(111&gt;=100,('Testes estatísticos'!$D$105+'Testes estatísticos'!$D$116)/2,"")</f>
        <v>-3.1299624999999978</v>
      </c>
      <c r="DI278" s="7">
        <f>IF(112&gt;=100,('Testes estatísticos'!$D$105+'Testes estatísticos'!$D$117)/2,"")</f>
        <v>2.2984775000000006</v>
      </c>
      <c r="DJ278" s="7">
        <f>IF(113&gt;=100,('Testes estatísticos'!$D$105+'Testes estatísticos'!$D$118)/2,"")</f>
        <v>-3.1580794999999995</v>
      </c>
      <c r="DK278" s="7">
        <f>IF(114&gt;=100,('Testes estatísticos'!$D$105+'Testes estatísticos'!$D$119)/2,"")</f>
        <v>-3.2598294999999986</v>
      </c>
      <c r="DL278" s="7">
        <f>IF(115&gt;=100,('Testes estatísticos'!$D$105+'Testes estatísticos'!$D$120)/2,"")</f>
        <v>-3.2133519999999969</v>
      </c>
      <c r="DM278" s="7">
        <f>IF(116&gt;=100,('Testes estatísticos'!$D$105+'Testes estatísticos'!$D$121)/2,"")</f>
        <v>-3.2047494999999984</v>
      </c>
      <c r="DN278" s="7">
        <f>IF(117&gt;=100,('Testes estatísticos'!$D$105+'Testes estatísticos'!$D$122)/2,"")</f>
        <v>-3.1816814999999998</v>
      </c>
      <c r="DO278" s="7">
        <f>IF(118&gt;=100,('Testes estatísticos'!$D$105+'Testes estatísticos'!$D$123)/2,"")</f>
        <v>-3.1317710000000005</v>
      </c>
      <c r="DP278" s="7">
        <f>IF(119&gt;=100,('Testes estatísticos'!$D$105+'Testes estatísticos'!$D$124)/2,"")</f>
        <v>-3.1529825000000002</v>
      </c>
      <c r="DQ278" s="7">
        <f>IF(120&gt;=100,('Testes estatísticos'!$D$105+'Testes estatísticos'!$D$125)/2,"")</f>
        <v>-0.10136799999999724</v>
      </c>
      <c r="DR278" s="7">
        <f>IF(121&gt;=100,('Testes estatísticos'!$D$105+'Testes estatísticos'!$D$126)/2,"")</f>
        <v>-2.8903844999999997</v>
      </c>
      <c r="DS278" s="7">
        <f>IF(122&gt;=100,('Testes estatísticos'!$D$105+'Testes estatísticos'!$D$127)/2,"")</f>
        <v>-3.9557929999999963</v>
      </c>
      <c r="DT278" s="7">
        <f>IF(123&gt;=100,('Testes estatísticos'!$D$105+'Testes estatísticos'!$D$128)/2,"")</f>
        <v>2.1130764999999982</v>
      </c>
      <c r="DU278" s="7">
        <f>IF(124&gt;=100,('Testes estatísticos'!$D$105+'Testes estatísticos'!$D$129)/2,"")</f>
        <v>-2.7826950000000004</v>
      </c>
      <c r="DV278" s="7">
        <f>IF(125&gt;=100,('Testes estatísticos'!$D$105+'Testes estatísticos'!$D$130)/2,"")</f>
        <v>-1.624387500000001</v>
      </c>
      <c r="DW278" s="7">
        <f>IF(126&gt;=100,('Testes estatísticos'!$D$105+'Testes estatísticos'!$D$131)/2,"")</f>
        <v>-4.0278634999999987</v>
      </c>
      <c r="DX278" s="7">
        <f>IF(127&gt;=100,('Testes estatísticos'!$D$105+'Testes estatísticos'!$D$132)/2,"")</f>
        <v>-6.0840549999999993</v>
      </c>
      <c r="DY278" s="7">
        <f>IF(128&gt;=100,('Testes estatísticos'!$D$105+'Testes estatísticos'!$D$133)/2,"")</f>
        <v>-6.4251444999999983</v>
      </c>
      <c r="DZ278" s="7">
        <f>IF(129&gt;=100,('Testes estatísticos'!$D$105+'Testes estatísticos'!$D$134)/2,"")</f>
        <v>-9.8489344999999986</v>
      </c>
      <c r="EA278" s="7">
        <f>IF(130&gt;=100,('Testes estatísticos'!$D$105+'Testes estatísticos'!$D$135)/2,"")</f>
        <v>-4.0871644999999965</v>
      </c>
      <c r="EB278" s="7">
        <f>IF(131&gt;=100,('Testes estatísticos'!$D$105+'Testes estatísticos'!$D$136)/2,"")</f>
        <v>-3.9992915000000018</v>
      </c>
      <c r="EC278" s="7">
        <f>IF(132&gt;=100,('Testes estatísticos'!$D$105+'Testes estatísticos'!$D$137)/2,"")</f>
        <v>-5.486028000000001</v>
      </c>
      <c r="ED278" s="7">
        <f>IF(133&gt;=100,('Testes estatísticos'!$D$105+'Testes estatísticos'!$D$138)/2,"")</f>
        <v>-3.2970904999999995</v>
      </c>
      <c r="EE278" s="7">
        <f>IF(134&gt;=100,('Testes estatísticos'!$D$105+'Testes estatísticos'!$D$139)/2,"")</f>
        <v>-5.5942810000000023</v>
      </c>
      <c r="EF278" s="7">
        <f>IF(135&gt;=100,('Testes estatísticos'!$D$105+'Testes estatísticos'!$D$140)/2,"")</f>
        <v>-2.3798484999999978</v>
      </c>
      <c r="EG278" s="7">
        <f>IF(136&gt;=100,('Testes estatísticos'!$D$105+'Testes estatísticos'!$D$141)/2,"")</f>
        <v>-4.073338500000002</v>
      </c>
      <c r="EH278" s="7">
        <f>IF(137&gt;=100,('Testes estatísticos'!$D$105+'Testes estatísticos'!$D$142)/2,"")</f>
        <v>-2.3685985000000009</v>
      </c>
      <c r="EI278" s="7">
        <f>IF(138&gt;=100,('Testes estatísticos'!$D$105+'Testes estatísticos'!$D$143)/2,"")</f>
        <v>-4.0336139999999965</v>
      </c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</row>
    <row r="279" spans="2:151" x14ac:dyDescent="0.3">
      <c r="B279" s="7" t="str">
        <f>IF(1&gt;=101,('Testes estatísticos'!$D$106+'Testes estatísticos'!$D$6)/2,"")</f>
        <v/>
      </c>
      <c r="C279" s="7" t="str">
        <f>IF(2&gt;=101,('Testes estatísticos'!$D$106+'Testes estatísticos'!$D$7)/2,"")</f>
        <v/>
      </c>
      <c r="D279" s="7" t="str">
        <f>IF(3&gt;=101,('Testes estatísticos'!$D$106+'Testes estatísticos'!$D$8)/2,"")</f>
        <v/>
      </c>
      <c r="E279" s="7" t="str">
        <f>IF(4&gt;=101,('Testes estatísticos'!$D$106+'Testes estatísticos'!$D$9)/2,"")</f>
        <v/>
      </c>
      <c r="F279" s="7" t="str">
        <f>IF(5&gt;=101,('Testes estatísticos'!$D$106+'Testes estatísticos'!$D$10)/2,"")</f>
        <v/>
      </c>
      <c r="G279" s="7" t="str">
        <f>IF(6&gt;=101,('Testes estatísticos'!$D$106+'Testes estatísticos'!$D$11)/2,"")</f>
        <v/>
      </c>
      <c r="H279" s="7" t="str">
        <f>IF(7&gt;=101,('Testes estatísticos'!$D$106+'Testes estatísticos'!$D$12)/2,"")</f>
        <v/>
      </c>
      <c r="I279" s="7" t="str">
        <f>IF(8&gt;=101,('Testes estatísticos'!$D$106+'Testes estatísticos'!$D$13)/2,"")</f>
        <v/>
      </c>
      <c r="J279" s="7" t="str">
        <f>IF(9&gt;=101,('Testes estatísticos'!$D$106+'Testes estatísticos'!$D$14)/2,"")</f>
        <v/>
      </c>
      <c r="K279" s="7" t="str">
        <f>IF(10&gt;=101,('Testes estatísticos'!$D$106+'Testes estatísticos'!$D$15)/2,"")</f>
        <v/>
      </c>
      <c r="L279" s="7" t="str">
        <f>IF(11&gt;=101,('Testes estatísticos'!$D$106+'Testes estatísticos'!$D$16)/2,"")</f>
        <v/>
      </c>
      <c r="M279" s="7" t="str">
        <f>IF(12&gt;=101,('Testes estatísticos'!$D$106+'Testes estatísticos'!$D$17)/2,"")</f>
        <v/>
      </c>
      <c r="N279" s="7" t="str">
        <f>IF(13&gt;=101,('Testes estatísticos'!$D$106+'Testes estatísticos'!$D$18)/2,"")</f>
        <v/>
      </c>
      <c r="O279" s="7" t="str">
        <f>IF(14&gt;=101,('Testes estatísticos'!$D$106+'Testes estatísticos'!$D$19)/2,"")</f>
        <v/>
      </c>
      <c r="P279" s="7" t="str">
        <f>IF(15&gt;=101,('Testes estatísticos'!$D$106+'Testes estatísticos'!$D$20)/2,"")</f>
        <v/>
      </c>
      <c r="Q279" s="7" t="str">
        <f>IF(16&gt;=101,('Testes estatísticos'!$D$106+'Testes estatísticos'!$D$21)/2,"")</f>
        <v/>
      </c>
      <c r="R279" s="7" t="str">
        <f>IF(17&gt;=101,('Testes estatísticos'!$D$106+'Testes estatísticos'!$D$22)/2,"")</f>
        <v/>
      </c>
      <c r="S279" s="7" t="str">
        <f>IF(18&gt;=101,('Testes estatísticos'!$D$106+'Testes estatísticos'!$D$23)/2,"")</f>
        <v/>
      </c>
      <c r="T279" s="7" t="str">
        <f>IF(19&gt;=101,('Testes estatísticos'!$D$106+'Testes estatísticos'!$D$24)/2,"")</f>
        <v/>
      </c>
      <c r="U279" s="7" t="str">
        <f>IF(20&gt;=101,('Testes estatísticos'!$D$106+'Testes estatísticos'!$D$25)/2,"")</f>
        <v/>
      </c>
      <c r="V279" s="7" t="str">
        <f>IF(21&gt;=101,('Testes estatísticos'!$D$106+'Testes estatísticos'!$D$26)/2,"")</f>
        <v/>
      </c>
      <c r="W279" s="7" t="str">
        <f>IF(22&gt;=101,('Testes estatísticos'!$D$106+'Testes estatísticos'!$D$27)/2,"")</f>
        <v/>
      </c>
      <c r="X279" s="7" t="str">
        <f>IF(23&gt;=101,('Testes estatísticos'!$D$106+'Testes estatísticos'!$D$28)/2,"")</f>
        <v/>
      </c>
      <c r="Y279" s="7" t="str">
        <f>IF(24&gt;=101,('Testes estatísticos'!$D$106+'Testes estatísticos'!$D$29)/2,"")</f>
        <v/>
      </c>
      <c r="Z279" s="7" t="str">
        <f>IF(25&gt;=101,('Testes estatísticos'!$D$106+'Testes estatísticos'!$D$30)/2,"")</f>
        <v/>
      </c>
      <c r="AA279" s="7" t="str">
        <f>IF(26&gt;=101,('Testes estatísticos'!$D$106+'Testes estatísticos'!$D$31)/2,"")</f>
        <v/>
      </c>
      <c r="AB279" s="7" t="str">
        <f>IF(27&gt;=101,('Testes estatísticos'!$D$106+'Testes estatísticos'!$D$32)/2,"")</f>
        <v/>
      </c>
      <c r="AC279" s="7" t="str">
        <f>IF(28&gt;=101,('Testes estatísticos'!$D$106+'Testes estatísticos'!$D$33)/2,"")</f>
        <v/>
      </c>
      <c r="AD279" s="7" t="str">
        <f>IF(29&gt;=101,('Testes estatísticos'!$D$106+'Testes estatísticos'!$D$34)/2,"")</f>
        <v/>
      </c>
      <c r="AE279" s="7" t="str">
        <f>IF(30&gt;=101,('Testes estatísticos'!$D$106+'Testes estatísticos'!$D$35)/2,"")</f>
        <v/>
      </c>
      <c r="AF279" s="7" t="str">
        <f>IF(31&gt;=101,('Testes estatísticos'!$D$106+'Testes estatísticos'!$D$36)/2,"")</f>
        <v/>
      </c>
      <c r="AG279" s="7" t="str">
        <f>IF(32&gt;=101,('Testes estatísticos'!$D$106+'Testes estatísticos'!$D$37)/2,"")</f>
        <v/>
      </c>
      <c r="AH279" s="7" t="str">
        <f>IF(33&gt;=101,('Testes estatísticos'!$D$106+'Testes estatísticos'!$D$38)/2,"")</f>
        <v/>
      </c>
      <c r="AI279" s="7" t="str">
        <f>IF(34&gt;=101,('Testes estatísticos'!$D$106+'Testes estatísticos'!$D$39)/2,"")</f>
        <v/>
      </c>
      <c r="AJ279" s="7" t="str">
        <f>IF(35&gt;=101,('Testes estatísticos'!$D$106+'Testes estatísticos'!$D$40)/2,"")</f>
        <v/>
      </c>
      <c r="AK279" s="7" t="str">
        <f>IF(36&gt;=101,('Testes estatísticos'!$D$106+'Testes estatísticos'!$D$41)/2,"")</f>
        <v/>
      </c>
      <c r="AL279" s="7" t="str">
        <f>IF(37&gt;=101,('Testes estatísticos'!$D$106+'Testes estatísticos'!$D$42)/2,"")</f>
        <v/>
      </c>
      <c r="AM279" s="7" t="str">
        <f>IF(38&gt;=101,('Testes estatísticos'!$D$106+'Testes estatísticos'!$D$43)/2,"")</f>
        <v/>
      </c>
      <c r="AN279" s="7" t="str">
        <f>IF(39&gt;=101,('Testes estatísticos'!$D$106+'Testes estatísticos'!$D$44)/2,"")</f>
        <v/>
      </c>
      <c r="AO279" s="7" t="str">
        <f>IF(40&gt;=101,('Testes estatísticos'!$D$106+'Testes estatísticos'!$D$45)/2,"")</f>
        <v/>
      </c>
      <c r="AP279" s="7" t="str">
        <f>IF(41&gt;=101,('Testes estatísticos'!$D$106+'Testes estatísticos'!$D$46)/2,"")</f>
        <v/>
      </c>
      <c r="AQ279" s="7" t="str">
        <f>IF(42&gt;=101,('Testes estatísticos'!$D$106+'Testes estatísticos'!$D$47)/2,"")</f>
        <v/>
      </c>
      <c r="AR279" s="7" t="str">
        <f>IF(43&gt;=101,('Testes estatísticos'!$D$106+'Testes estatísticos'!$D$48)/2,"")</f>
        <v/>
      </c>
      <c r="AS279" s="7" t="str">
        <f>IF(44&gt;=101,('Testes estatísticos'!$D$106+'Testes estatísticos'!$D$49)/2,"")</f>
        <v/>
      </c>
      <c r="AT279" s="7" t="str">
        <f>IF(45&gt;=101,('Testes estatísticos'!$D$106+'Testes estatísticos'!$D$50)/2,"")</f>
        <v/>
      </c>
      <c r="AU279" s="7" t="str">
        <f>IF(46&gt;=101,('Testes estatísticos'!$D$106+'Testes estatísticos'!$D$51)/2,"")</f>
        <v/>
      </c>
      <c r="AV279" s="7" t="str">
        <f>IF(47&gt;=101,('Testes estatísticos'!$D$106+'Testes estatísticos'!$D$52)/2,"")</f>
        <v/>
      </c>
      <c r="AW279" s="7" t="str">
        <f>IF(48&gt;=101,('Testes estatísticos'!$D$106+'Testes estatísticos'!$D$53)/2,"")</f>
        <v/>
      </c>
      <c r="AX279" s="7" t="str">
        <f>IF(49&gt;=101,('Testes estatísticos'!$D$106+'Testes estatísticos'!$D$54)/2,"")</f>
        <v/>
      </c>
      <c r="AY279" s="7" t="str">
        <f>IF(50&gt;=101,('Testes estatísticos'!$D$106+'Testes estatísticos'!$D$55)/2,"")</f>
        <v/>
      </c>
      <c r="AZ279" s="7" t="str">
        <f>IF(51&gt;=101,('Testes estatísticos'!$D$106+'Testes estatísticos'!$D$56)/2,"")</f>
        <v/>
      </c>
      <c r="BA279" s="7" t="str">
        <f>IF(52&gt;=101,('Testes estatísticos'!$D$106+'Testes estatísticos'!$D$57)/2,"")</f>
        <v/>
      </c>
      <c r="BB279" s="7" t="str">
        <f>IF(53&gt;=101,('Testes estatísticos'!$D$106+'Testes estatísticos'!$D$58)/2,"")</f>
        <v/>
      </c>
      <c r="BC279" s="7" t="str">
        <f>IF(54&gt;=101,('Testes estatísticos'!$D$106+'Testes estatísticos'!$D$59)/2,"")</f>
        <v/>
      </c>
      <c r="BD279" s="7" t="str">
        <f>IF(55&gt;=101,('Testes estatísticos'!$D$106+'Testes estatísticos'!$D$60)/2,"")</f>
        <v/>
      </c>
      <c r="BE279" s="7" t="str">
        <f>IF(56&gt;=101,('Testes estatísticos'!$D$106+'Testes estatísticos'!$D$61)/2,"")</f>
        <v/>
      </c>
      <c r="BF279" s="7" t="str">
        <f>IF(57&gt;=101,('Testes estatísticos'!$D$106+'Testes estatísticos'!$D$62)/2,"")</f>
        <v/>
      </c>
      <c r="BG279" s="7" t="str">
        <f>IF(58&gt;=101,('Testes estatísticos'!$D$106+'Testes estatísticos'!$D$63)/2,"")</f>
        <v/>
      </c>
      <c r="BH279" s="7" t="str">
        <f>IF(59&gt;=101,('Testes estatísticos'!$D$106+'Testes estatísticos'!$D$64)/2,"")</f>
        <v/>
      </c>
      <c r="BI279" s="7" t="str">
        <f>IF(60&gt;=101,('Testes estatísticos'!$D$106+'Testes estatísticos'!$D$65)/2,"")</f>
        <v/>
      </c>
      <c r="BJ279" s="7" t="str">
        <f>IF(61&gt;=101,('Testes estatísticos'!$D$106+'Testes estatísticos'!$D$66)/2,"")</f>
        <v/>
      </c>
      <c r="BK279" s="7" t="str">
        <f>IF(62&gt;=101,('Testes estatísticos'!$D$106+'Testes estatísticos'!$D$67)/2,"")</f>
        <v/>
      </c>
      <c r="BL279" s="7" t="str">
        <f>IF(63&gt;=101,('Testes estatísticos'!$D$106+'Testes estatísticos'!$D$68)/2,"")</f>
        <v/>
      </c>
      <c r="BM279" s="7" t="str">
        <f>IF(64&gt;=101,('Testes estatísticos'!$D$106+'Testes estatísticos'!$D$69)/2,"")</f>
        <v/>
      </c>
      <c r="BN279" s="7" t="str">
        <f>IF(65&gt;=101,('Testes estatísticos'!$D$106+'Testes estatísticos'!$D$70)/2,"")</f>
        <v/>
      </c>
      <c r="BO279" s="7" t="str">
        <f>IF(66&gt;=101,('Testes estatísticos'!$D$106+'Testes estatísticos'!$D$71)/2,"")</f>
        <v/>
      </c>
      <c r="BP279" s="7" t="str">
        <f>IF(67&gt;=101,('Testes estatísticos'!$D$106+'Testes estatísticos'!$D$72)/2,"")</f>
        <v/>
      </c>
      <c r="BQ279" s="7" t="str">
        <f>IF(68&gt;=101,('Testes estatísticos'!$D$106+'Testes estatísticos'!$D$73)/2,"")</f>
        <v/>
      </c>
      <c r="BR279" s="7" t="str">
        <f>IF(69&gt;=101,('Testes estatísticos'!$D$106+'Testes estatísticos'!$D$74)/2,"")</f>
        <v/>
      </c>
      <c r="BS279" s="7" t="str">
        <f>IF(70&gt;=101,('Testes estatísticos'!$D$106+'Testes estatísticos'!$D$75)/2,"")</f>
        <v/>
      </c>
      <c r="BT279" s="7" t="str">
        <f>IF(71&gt;=101,('Testes estatísticos'!$D$106+'Testes estatísticos'!$D$76)/2,"")</f>
        <v/>
      </c>
      <c r="BU279" s="7" t="str">
        <f>IF(72&gt;=101,('Testes estatísticos'!$D$106+'Testes estatísticos'!$D$77)/2,"")</f>
        <v/>
      </c>
      <c r="BV279" s="7" t="str">
        <f>IF(73&gt;=101,('Testes estatísticos'!$D$106+'Testes estatísticos'!$D$78)/2,"")</f>
        <v/>
      </c>
      <c r="BW279" s="7" t="str">
        <f>IF(74&gt;=101,('Testes estatísticos'!$D$106+'Testes estatísticos'!$D$79)/2,"")</f>
        <v/>
      </c>
      <c r="BX279" s="7" t="str">
        <f>IF(75&gt;=101,('Testes estatísticos'!$D$106+'Testes estatísticos'!$D$80)/2,"")</f>
        <v/>
      </c>
      <c r="BY279" s="7" t="str">
        <f>IF(76&gt;=101,('Testes estatísticos'!$D$106+'Testes estatísticos'!$D$81)/2,"")</f>
        <v/>
      </c>
      <c r="BZ279" s="7" t="str">
        <f>IF(77&gt;=101,('Testes estatísticos'!$D$106+'Testes estatísticos'!$D$82)/2,"")</f>
        <v/>
      </c>
      <c r="CA279" s="7" t="str">
        <f>IF(78&gt;=101,('Testes estatísticos'!$D$106+'Testes estatísticos'!$D$83)/2,"")</f>
        <v/>
      </c>
      <c r="CB279" s="7" t="str">
        <f>IF(79&gt;=101,('Testes estatísticos'!$D$106+'Testes estatísticos'!$D$84)/2,"")</f>
        <v/>
      </c>
      <c r="CC279" s="7" t="str">
        <f>IF(80&gt;=101,('Testes estatísticos'!$D$106+'Testes estatísticos'!$D$85)/2,"")</f>
        <v/>
      </c>
      <c r="CD279" s="7" t="str">
        <f>IF(81&gt;=101,('Testes estatísticos'!$D$106+'Testes estatísticos'!$D$86)/2,"")</f>
        <v/>
      </c>
      <c r="CE279" s="7" t="str">
        <f>IF(82&gt;=101,('Testes estatísticos'!$D$106+'Testes estatísticos'!$D$87)/2,"")</f>
        <v/>
      </c>
      <c r="CF279" s="7" t="str">
        <f>IF(83&gt;=101,('Testes estatísticos'!$D$106+'Testes estatísticos'!$D$88)/2,"")</f>
        <v/>
      </c>
      <c r="CG279" s="7" t="str">
        <f>IF(84&gt;=101,('Testes estatísticos'!$D$106+'Testes estatísticos'!$D$89)/2,"")</f>
        <v/>
      </c>
      <c r="CH279" s="7" t="str">
        <f>IF(85&gt;=101,('Testes estatísticos'!$D$106+'Testes estatísticos'!$D$90)/2,"")</f>
        <v/>
      </c>
      <c r="CI279" s="7" t="str">
        <f>IF(86&gt;=101,('Testes estatísticos'!$D$106+'Testes estatísticos'!$D$91)/2,"")</f>
        <v/>
      </c>
      <c r="CJ279" s="7" t="str">
        <f>IF(87&gt;=101,('Testes estatísticos'!$D$106+'Testes estatísticos'!$D$92)/2,"")</f>
        <v/>
      </c>
      <c r="CK279" s="7" t="str">
        <f>IF(88&gt;=101,('Testes estatísticos'!$D$106+'Testes estatísticos'!$D$93)/2,"")</f>
        <v/>
      </c>
      <c r="CL279" s="7" t="str">
        <f>IF(89&gt;=101,('Testes estatísticos'!$D$106+'Testes estatísticos'!$D$94)/2,"")</f>
        <v/>
      </c>
      <c r="CM279" s="7" t="str">
        <f>IF(90&gt;=101,('Testes estatísticos'!$D$106+'Testes estatísticos'!$D$95)/2,"")</f>
        <v/>
      </c>
      <c r="CN279" s="7" t="str">
        <f>IF(91&gt;=101,('Testes estatísticos'!$D$106+'Testes estatísticos'!$D$96)/2,"")</f>
        <v/>
      </c>
      <c r="CO279" s="7" t="str">
        <f>IF(92&gt;=101,('Testes estatísticos'!$D$106+'Testes estatísticos'!$D$97)/2,"")</f>
        <v/>
      </c>
      <c r="CP279" s="7" t="str">
        <f>IF(93&gt;=101,('Testes estatísticos'!$D$106+'Testes estatísticos'!$D$98)/2,"")</f>
        <v/>
      </c>
      <c r="CQ279" s="7" t="str">
        <f>IF(94&gt;=101,('Testes estatísticos'!$D$106+'Testes estatísticos'!$D$99)/2,"")</f>
        <v/>
      </c>
      <c r="CR279" s="7" t="str">
        <f>IF(95&gt;=101,('Testes estatísticos'!$D$106+'Testes estatísticos'!$D$100)/2,"")</f>
        <v/>
      </c>
      <c r="CS279" s="7" t="str">
        <f>IF(96&gt;=101,('Testes estatísticos'!$D$106+'Testes estatísticos'!$D$101)/2,"")</f>
        <v/>
      </c>
      <c r="CT279" s="7" t="str">
        <f>IF(97&gt;=101,('Testes estatísticos'!$D$106+'Testes estatísticos'!$D$102)/2,"")</f>
        <v/>
      </c>
      <c r="CU279" s="7" t="str">
        <f>IF(98&gt;=101,('Testes estatísticos'!$D$106+'Testes estatísticos'!$D$103)/2,"")</f>
        <v/>
      </c>
      <c r="CV279" s="7" t="str">
        <f>IF(99&gt;=101,('Testes estatísticos'!$D$106+'Testes estatísticos'!$D$104)/2,"")</f>
        <v/>
      </c>
      <c r="CW279" s="7" t="str">
        <f>IF(100&gt;=101,('Testes estatísticos'!$D$106+'Testes estatísticos'!$D$105)/2,"")</f>
        <v/>
      </c>
      <c r="CX279" s="7">
        <f>IF(101&gt;=101,('Testes estatísticos'!$D$106+'Testes estatísticos'!$D$106)/2,"")</f>
        <v>-3.2350599999999972</v>
      </c>
      <c r="CY279" s="7">
        <f>IF(102&gt;=101,('Testes estatísticos'!$D$106+'Testes estatísticos'!$D$107)/2,"")</f>
        <v>-3.2907249999999983</v>
      </c>
      <c r="CZ279" s="7">
        <f>IF(103&gt;=101,('Testes estatísticos'!$D$106+'Testes estatísticos'!$D$108)/2,"")</f>
        <v>-3.8148914999999981</v>
      </c>
      <c r="DA279" s="7">
        <f>IF(104&gt;=101,('Testes estatísticos'!$D$106+'Testes estatísticos'!$D$109)/2,"")</f>
        <v>-3.5522574999999961</v>
      </c>
      <c r="DB279" s="7">
        <f>IF(105&gt;=101,('Testes estatísticos'!$D$106+'Testes estatísticos'!$D$110)/2,"")</f>
        <v>-3.517926499999998</v>
      </c>
      <c r="DC279" s="7">
        <f>IF(106&gt;=101,('Testes estatísticos'!$D$106+'Testes estatísticos'!$D$111)/2,"")</f>
        <v>-2.7750054999999989</v>
      </c>
      <c r="DD279" s="7">
        <f>IF(107&gt;=101,('Testes estatísticos'!$D$106+'Testes estatísticos'!$D$112)/2,"")</f>
        <v>0.71816550000000134</v>
      </c>
      <c r="DE279" s="7">
        <f>IF(108&gt;=101,('Testes estatísticos'!$D$106+'Testes estatísticos'!$D$113)/2,"")</f>
        <v>-2.704469999999997</v>
      </c>
      <c r="DF279" s="7">
        <f>IF(109&gt;=101,('Testes estatísticos'!$D$106+'Testes estatísticos'!$D$114)/2,"")</f>
        <v>-2.7407269999999961</v>
      </c>
      <c r="DG279" s="7">
        <f>IF(110&gt;=101,('Testes estatísticos'!$D$106+'Testes estatísticos'!$D$115)/2,"")</f>
        <v>-8.2878664999999998</v>
      </c>
      <c r="DH279" s="7">
        <f>IF(111&gt;=101,('Testes estatísticos'!$D$106+'Testes estatísticos'!$D$116)/2,"")</f>
        <v>-2.6070359999999972</v>
      </c>
      <c r="DI279" s="7">
        <f>IF(112&gt;=101,('Testes estatísticos'!$D$106+'Testes estatísticos'!$D$117)/2,"")</f>
        <v>2.8214040000000011</v>
      </c>
      <c r="DJ279" s="7">
        <f>IF(113&gt;=101,('Testes estatísticos'!$D$106+'Testes estatísticos'!$D$118)/2,"")</f>
        <v>-2.635152999999999</v>
      </c>
      <c r="DK279" s="7">
        <f>IF(114&gt;=101,('Testes estatísticos'!$D$106+'Testes estatísticos'!$D$119)/2,"")</f>
        <v>-2.7369029999999981</v>
      </c>
      <c r="DL279" s="7">
        <f>IF(115&gt;=101,('Testes estatísticos'!$D$106+'Testes estatísticos'!$D$120)/2,"")</f>
        <v>-2.6904254999999964</v>
      </c>
      <c r="DM279" s="7">
        <f>IF(116&gt;=101,('Testes estatísticos'!$D$106+'Testes estatísticos'!$D$121)/2,"")</f>
        <v>-2.6818229999999978</v>
      </c>
      <c r="DN279" s="7">
        <f>IF(117&gt;=101,('Testes estatísticos'!$D$106+'Testes estatísticos'!$D$122)/2,"")</f>
        <v>-2.6587549999999993</v>
      </c>
      <c r="DO279" s="7">
        <f>IF(118&gt;=101,('Testes estatísticos'!$D$106+'Testes estatísticos'!$D$123)/2,"")</f>
        <v>-2.6088445</v>
      </c>
      <c r="DP279" s="7">
        <f>IF(119&gt;=101,('Testes estatísticos'!$D$106+'Testes estatísticos'!$D$124)/2,"")</f>
        <v>-2.6300559999999997</v>
      </c>
      <c r="DQ279" s="7">
        <f>IF(120&gt;=101,('Testes estatísticos'!$D$106+'Testes estatísticos'!$D$125)/2,"")</f>
        <v>0.42155850000000328</v>
      </c>
      <c r="DR279" s="7">
        <f>IF(121&gt;=101,('Testes estatísticos'!$D$106+'Testes estatísticos'!$D$126)/2,"")</f>
        <v>-2.3674579999999992</v>
      </c>
      <c r="DS279" s="7">
        <f>IF(122&gt;=101,('Testes estatísticos'!$D$106+'Testes estatísticos'!$D$127)/2,"")</f>
        <v>-3.4328664999999958</v>
      </c>
      <c r="DT279" s="7">
        <f>IF(123&gt;=101,('Testes estatísticos'!$D$106+'Testes estatísticos'!$D$128)/2,"")</f>
        <v>2.6360029999999988</v>
      </c>
      <c r="DU279" s="7">
        <f>IF(124&gt;=101,('Testes estatísticos'!$D$106+'Testes estatísticos'!$D$129)/2,"")</f>
        <v>-2.2597684999999998</v>
      </c>
      <c r="DV279" s="7">
        <f>IF(125&gt;=101,('Testes estatísticos'!$D$106+'Testes estatísticos'!$D$130)/2,"")</f>
        <v>-1.1014610000000005</v>
      </c>
      <c r="DW279" s="7">
        <f>IF(126&gt;=101,('Testes estatísticos'!$D$106+'Testes estatísticos'!$D$131)/2,"")</f>
        <v>-3.5049369999999982</v>
      </c>
      <c r="DX279" s="7">
        <f>IF(127&gt;=101,('Testes estatísticos'!$D$106+'Testes estatísticos'!$D$132)/2,"")</f>
        <v>-5.5611284999999988</v>
      </c>
      <c r="DY279" s="7">
        <f>IF(128&gt;=101,('Testes estatísticos'!$D$106+'Testes estatísticos'!$D$133)/2,"")</f>
        <v>-5.9022179999999977</v>
      </c>
      <c r="DZ279" s="7">
        <f>IF(129&gt;=101,('Testes estatísticos'!$D$106+'Testes estatísticos'!$D$134)/2,"")</f>
        <v>-9.3260079999999981</v>
      </c>
      <c r="EA279" s="7">
        <f>IF(130&gt;=101,('Testes estatísticos'!$D$106+'Testes estatísticos'!$D$135)/2,"")</f>
        <v>-3.564237999999996</v>
      </c>
      <c r="EB279" s="7">
        <f>IF(131&gt;=101,('Testes estatísticos'!$D$106+'Testes estatísticos'!$D$136)/2,"")</f>
        <v>-3.4763650000000013</v>
      </c>
      <c r="EC279" s="7">
        <f>IF(132&gt;=101,('Testes estatísticos'!$D$106+'Testes estatísticos'!$D$137)/2,"")</f>
        <v>-4.9631015000000005</v>
      </c>
      <c r="ED279" s="7">
        <f>IF(133&gt;=101,('Testes estatísticos'!$D$106+'Testes estatísticos'!$D$138)/2,"")</f>
        <v>-2.774163999999999</v>
      </c>
      <c r="EE279" s="7">
        <f>IF(134&gt;=101,('Testes estatísticos'!$D$106+'Testes estatísticos'!$D$139)/2,"")</f>
        <v>-5.0713545000000018</v>
      </c>
      <c r="EF279" s="7">
        <f>IF(135&gt;=101,('Testes estatísticos'!$D$106+'Testes estatísticos'!$D$140)/2,"")</f>
        <v>-1.8569219999999973</v>
      </c>
      <c r="EG279" s="7">
        <f>IF(136&gt;=101,('Testes estatísticos'!$D$106+'Testes estatísticos'!$D$141)/2,"")</f>
        <v>-3.5504120000000015</v>
      </c>
      <c r="EH279" s="7">
        <f>IF(137&gt;=101,('Testes estatísticos'!$D$106+'Testes estatísticos'!$D$142)/2,"")</f>
        <v>-1.8456720000000004</v>
      </c>
      <c r="EI279" s="7">
        <f>IF(138&gt;=101,('Testes estatísticos'!$D$106+'Testes estatísticos'!$D$143)/2,"")</f>
        <v>-3.510687499999996</v>
      </c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</row>
    <row r="280" spans="2:151" x14ac:dyDescent="0.3">
      <c r="B280" s="7" t="str">
        <f>IF(1&gt;=102,('Testes estatísticos'!$D$107+'Testes estatísticos'!$D$6)/2,"")</f>
        <v/>
      </c>
      <c r="C280" s="7" t="str">
        <f>IF(2&gt;=102,('Testes estatísticos'!$D$107+'Testes estatísticos'!$D$7)/2,"")</f>
        <v/>
      </c>
      <c r="D280" s="7" t="str">
        <f>IF(3&gt;=102,('Testes estatísticos'!$D$107+'Testes estatísticos'!$D$8)/2,"")</f>
        <v/>
      </c>
      <c r="E280" s="7" t="str">
        <f>IF(4&gt;=102,('Testes estatísticos'!$D$107+'Testes estatísticos'!$D$9)/2,"")</f>
        <v/>
      </c>
      <c r="F280" s="7" t="str">
        <f>IF(5&gt;=102,('Testes estatísticos'!$D$107+'Testes estatísticos'!$D$10)/2,"")</f>
        <v/>
      </c>
      <c r="G280" s="7" t="str">
        <f>IF(6&gt;=102,('Testes estatísticos'!$D$107+'Testes estatísticos'!$D$11)/2,"")</f>
        <v/>
      </c>
      <c r="H280" s="7" t="str">
        <f>IF(7&gt;=102,('Testes estatísticos'!$D$107+'Testes estatísticos'!$D$12)/2,"")</f>
        <v/>
      </c>
      <c r="I280" s="7" t="str">
        <f>IF(8&gt;=102,('Testes estatísticos'!$D$107+'Testes estatísticos'!$D$13)/2,"")</f>
        <v/>
      </c>
      <c r="J280" s="7" t="str">
        <f>IF(9&gt;=102,('Testes estatísticos'!$D$107+'Testes estatísticos'!$D$14)/2,"")</f>
        <v/>
      </c>
      <c r="K280" s="7" t="str">
        <f>IF(10&gt;=102,('Testes estatísticos'!$D$107+'Testes estatísticos'!$D$15)/2,"")</f>
        <v/>
      </c>
      <c r="L280" s="7" t="str">
        <f>IF(11&gt;=102,('Testes estatísticos'!$D$107+'Testes estatísticos'!$D$16)/2,"")</f>
        <v/>
      </c>
      <c r="M280" s="7" t="str">
        <f>IF(12&gt;=102,('Testes estatísticos'!$D$107+'Testes estatísticos'!$D$17)/2,"")</f>
        <v/>
      </c>
      <c r="N280" s="7" t="str">
        <f>IF(13&gt;=102,('Testes estatísticos'!$D$107+'Testes estatísticos'!$D$18)/2,"")</f>
        <v/>
      </c>
      <c r="O280" s="7" t="str">
        <f>IF(14&gt;=102,('Testes estatísticos'!$D$107+'Testes estatísticos'!$D$19)/2,"")</f>
        <v/>
      </c>
      <c r="P280" s="7" t="str">
        <f>IF(15&gt;=102,('Testes estatísticos'!$D$107+'Testes estatísticos'!$D$20)/2,"")</f>
        <v/>
      </c>
      <c r="Q280" s="7" t="str">
        <f>IF(16&gt;=102,('Testes estatísticos'!$D$107+'Testes estatísticos'!$D$21)/2,"")</f>
        <v/>
      </c>
      <c r="R280" s="7" t="str">
        <f>IF(17&gt;=102,('Testes estatísticos'!$D$107+'Testes estatísticos'!$D$22)/2,"")</f>
        <v/>
      </c>
      <c r="S280" s="7" t="str">
        <f>IF(18&gt;=102,('Testes estatísticos'!$D$107+'Testes estatísticos'!$D$23)/2,"")</f>
        <v/>
      </c>
      <c r="T280" s="7" t="str">
        <f>IF(19&gt;=102,('Testes estatísticos'!$D$107+'Testes estatísticos'!$D$24)/2,"")</f>
        <v/>
      </c>
      <c r="U280" s="7" t="str">
        <f>IF(20&gt;=102,('Testes estatísticos'!$D$107+'Testes estatísticos'!$D$25)/2,"")</f>
        <v/>
      </c>
      <c r="V280" s="7" t="str">
        <f>IF(21&gt;=102,('Testes estatísticos'!$D$107+'Testes estatísticos'!$D$26)/2,"")</f>
        <v/>
      </c>
      <c r="W280" s="7" t="str">
        <f>IF(22&gt;=102,('Testes estatísticos'!$D$107+'Testes estatísticos'!$D$27)/2,"")</f>
        <v/>
      </c>
      <c r="X280" s="7" t="str">
        <f>IF(23&gt;=102,('Testes estatísticos'!$D$107+'Testes estatísticos'!$D$28)/2,"")</f>
        <v/>
      </c>
      <c r="Y280" s="7" t="str">
        <f>IF(24&gt;=102,('Testes estatísticos'!$D$107+'Testes estatísticos'!$D$29)/2,"")</f>
        <v/>
      </c>
      <c r="Z280" s="7" t="str">
        <f>IF(25&gt;=102,('Testes estatísticos'!$D$107+'Testes estatísticos'!$D$30)/2,"")</f>
        <v/>
      </c>
      <c r="AA280" s="7" t="str">
        <f>IF(26&gt;=102,('Testes estatísticos'!$D$107+'Testes estatísticos'!$D$31)/2,"")</f>
        <v/>
      </c>
      <c r="AB280" s="7" t="str">
        <f>IF(27&gt;=102,('Testes estatísticos'!$D$107+'Testes estatísticos'!$D$32)/2,"")</f>
        <v/>
      </c>
      <c r="AC280" s="7" t="str">
        <f>IF(28&gt;=102,('Testes estatísticos'!$D$107+'Testes estatísticos'!$D$33)/2,"")</f>
        <v/>
      </c>
      <c r="AD280" s="7" t="str">
        <f>IF(29&gt;=102,('Testes estatísticos'!$D$107+'Testes estatísticos'!$D$34)/2,"")</f>
        <v/>
      </c>
      <c r="AE280" s="7" t="str">
        <f>IF(30&gt;=102,('Testes estatísticos'!$D$107+'Testes estatísticos'!$D$35)/2,"")</f>
        <v/>
      </c>
      <c r="AF280" s="7" t="str">
        <f>IF(31&gt;=102,('Testes estatísticos'!$D$107+'Testes estatísticos'!$D$36)/2,"")</f>
        <v/>
      </c>
      <c r="AG280" s="7" t="str">
        <f>IF(32&gt;=102,('Testes estatísticos'!$D$107+'Testes estatísticos'!$D$37)/2,"")</f>
        <v/>
      </c>
      <c r="AH280" s="7" t="str">
        <f>IF(33&gt;=102,('Testes estatísticos'!$D$107+'Testes estatísticos'!$D$38)/2,"")</f>
        <v/>
      </c>
      <c r="AI280" s="7" t="str">
        <f>IF(34&gt;=102,('Testes estatísticos'!$D$107+'Testes estatísticos'!$D$39)/2,"")</f>
        <v/>
      </c>
      <c r="AJ280" s="7" t="str">
        <f>IF(35&gt;=102,('Testes estatísticos'!$D$107+'Testes estatísticos'!$D$40)/2,"")</f>
        <v/>
      </c>
      <c r="AK280" s="7" t="str">
        <f>IF(36&gt;=102,('Testes estatísticos'!$D$107+'Testes estatísticos'!$D$41)/2,"")</f>
        <v/>
      </c>
      <c r="AL280" s="7" t="str">
        <f>IF(37&gt;=102,('Testes estatísticos'!$D$107+'Testes estatísticos'!$D$42)/2,"")</f>
        <v/>
      </c>
      <c r="AM280" s="7" t="str">
        <f>IF(38&gt;=102,('Testes estatísticos'!$D$107+'Testes estatísticos'!$D$43)/2,"")</f>
        <v/>
      </c>
      <c r="AN280" s="7" t="str">
        <f>IF(39&gt;=102,('Testes estatísticos'!$D$107+'Testes estatísticos'!$D$44)/2,"")</f>
        <v/>
      </c>
      <c r="AO280" s="7" t="str">
        <f>IF(40&gt;=102,('Testes estatísticos'!$D$107+'Testes estatísticos'!$D$45)/2,"")</f>
        <v/>
      </c>
      <c r="AP280" s="7" t="str">
        <f>IF(41&gt;=102,('Testes estatísticos'!$D$107+'Testes estatísticos'!$D$46)/2,"")</f>
        <v/>
      </c>
      <c r="AQ280" s="7" t="str">
        <f>IF(42&gt;=102,('Testes estatísticos'!$D$107+'Testes estatísticos'!$D$47)/2,"")</f>
        <v/>
      </c>
      <c r="AR280" s="7" t="str">
        <f>IF(43&gt;=102,('Testes estatísticos'!$D$107+'Testes estatísticos'!$D$48)/2,"")</f>
        <v/>
      </c>
      <c r="AS280" s="7" t="str">
        <f>IF(44&gt;=102,('Testes estatísticos'!$D$107+'Testes estatísticos'!$D$49)/2,"")</f>
        <v/>
      </c>
      <c r="AT280" s="7" t="str">
        <f>IF(45&gt;=102,('Testes estatísticos'!$D$107+'Testes estatísticos'!$D$50)/2,"")</f>
        <v/>
      </c>
      <c r="AU280" s="7" t="str">
        <f>IF(46&gt;=102,('Testes estatísticos'!$D$107+'Testes estatísticos'!$D$51)/2,"")</f>
        <v/>
      </c>
      <c r="AV280" s="7" t="str">
        <f>IF(47&gt;=102,('Testes estatísticos'!$D$107+'Testes estatísticos'!$D$52)/2,"")</f>
        <v/>
      </c>
      <c r="AW280" s="7" t="str">
        <f>IF(48&gt;=102,('Testes estatísticos'!$D$107+'Testes estatísticos'!$D$53)/2,"")</f>
        <v/>
      </c>
      <c r="AX280" s="7" t="str">
        <f>IF(49&gt;=102,('Testes estatísticos'!$D$107+'Testes estatísticos'!$D$54)/2,"")</f>
        <v/>
      </c>
      <c r="AY280" s="7" t="str">
        <f>IF(50&gt;=102,('Testes estatísticos'!$D$107+'Testes estatísticos'!$D$55)/2,"")</f>
        <v/>
      </c>
      <c r="AZ280" s="7" t="str">
        <f>IF(51&gt;=102,('Testes estatísticos'!$D$107+'Testes estatísticos'!$D$56)/2,"")</f>
        <v/>
      </c>
      <c r="BA280" s="7" t="str">
        <f>IF(52&gt;=102,('Testes estatísticos'!$D$107+'Testes estatísticos'!$D$57)/2,"")</f>
        <v/>
      </c>
      <c r="BB280" s="7" t="str">
        <f>IF(53&gt;=102,('Testes estatísticos'!$D$107+'Testes estatísticos'!$D$58)/2,"")</f>
        <v/>
      </c>
      <c r="BC280" s="7" t="str">
        <f>IF(54&gt;=102,('Testes estatísticos'!$D$107+'Testes estatísticos'!$D$59)/2,"")</f>
        <v/>
      </c>
      <c r="BD280" s="7" t="str">
        <f>IF(55&gt;=102,('Testes estatísticos'!$D$107+'Testes estatísticos'!$D$60)/2,"")</f>
        <v/>
      </c>
      <c r="BE280" s="7" t="str">
        <f>IF(56&gt;=102,('Testes estatísticos'!$D$107+'Testes estatísticos'!$D$61)/2,"")</f>
        <v/>
      </c>
      <c r="BF280" s="7" t="str">
        <f>IF(57&gt;=102,('Testes estatísticos'!$D$107+'Testes estatísticos'!$D$62)/2,"")</f>
        <v/>
      </c>
      <c r="BG280" s="7" t="str">
        <f>IF(58&gt;=102,('Testes estatísticos'!$D$107+'Testes estatísticos'!$D$63)/2,"")</f>
        <v/>
      </c>
      <c r="BH280" s="7" t="str">
        <f>IF(59&gt;=102,('Testes estatísticos'!$D$107+'Testes estatísticos'!$D$64)/2,"")</f>
        <v/>
      </c>
      <c r="BI280" s="7" t="str">
        <f>IF(60&gt;=102,('Testes estatísticos'!$D$107+'Testes estatísticos'!$D$65)/2,"")</f>
        <v/>
      </c>
      <c r="BJ280" s="7" t="str">
        <f>IF(61&gt;=102,('Testes estatísticos'!$D$107+'Testes estatísticos'!$D$66)/2,"")</f>
        <v/>
      </c>
      <c r="BK280" s="7" t="str">
        <f>IF(62&gt;=102,('Testes estatísticos'!$D$107+'Testes estatísticos'!$D$67)/2,"")</f>
        <v/>
      </c>
      <c r="BL280" s="7" t="str">
        <f>IF(63&gt;=102,('Testes estatísticos'!$D$107+'Testes estatísticos'!$D$68)/2,"")</f>
        <v/>
      </c>
      <c r="BM280" s="7" t="str">
        <f>IF(64&gt;=102,('Testes estatísticos'!$D$107+'Testes estatísticos'!$D$69)/2,"")</f>
        <v/>
      </c>
      <c r="BN280" s="7" t="str">
        <f>IF(65&gt;=102,('Testes estatísticos'!$D$107+'Testes estatísticos'!$D$70)/2,"")</f>
        <v/>
      </c>
      <c r="BO280" s="7" t="str">
        <f>IF(66&gt;=102,('Testes estatísticos'!$D$107+'Testes estatísticos'!$D$71)/2,"")</f>
        <v/>
      </c>
      <c r="BP280" s="7" t="str">
        <f>IF(67&gt;=102,('Testes estatísticos'!$D$107+'Testes estatísticos'!$D$72)/2,"")</f>
        <v/>
      </c>
      <c r="BQ280" s="7" t="str">
        <f>IF(68&gt;=102,('Testes estatísticos'!$D$107+'Testes estatísticos'!$D$73)/2,"")</f>
        <v/>
      </c>
      <c r="BR280" s="7" t="str">
        <f>IF(69&gt;=102,('Testes estatísticos'!$D$107+'Testes estatísticos'!$D$74)/2,"")</f>
        <v/>
      </c>
      <c r="BS280" s="7" t="str">
        <f>IF(70&gt;=102,('Testes estatísticos'!$D$107+'Testes estatísticos'!$D$75)/2,"")</f>
        <v/>
      </c>
      <c r="BT280" s="7" t="str">
        <f>IF(71&gt;=102,('Testes estatísticos'!$D$107+'Testes estatísticos'!$D$76)/2,"")</f>
        <v/>
      </c>
      <c r="BU280" s="7" t="str">
        <f>IF(72&gt;=102,('Testes estatísticos'!$D$107+'Testes estatísticos'!$D$77)/2,"")</f>
        <v/>
      </c>
      <c r="BV280" s="7" t="str">
        <f>IF(73&gt;=102,('Testes estatísticos'!$D$107+'Testes estatísticos'!$D$78)/2,"")</f>
        <v/>
      </c>
      <c r="BW280" s="7" t="str">
        <f>IF(74&gt;=102,('Testes estatísticos'!$D$107+'Testes estatísticos'!$D$79)/2,"")</f>
        <v/>
      </c>
      <c r="BX280" s="7" t="str">
        <f>IF(75&gt;=102,('Testes estatísticos'!$D$107+'Testes estatísticos'!$D$80)/2,"")</f>
        <v/>
      </c>
      <c r="BY280" s="7" t="str">
        <f>IF(76&gt;=102,('Testes estatísticos'!$D$107+'Testes estatísticos'!$D$81)/2,"")</f>
        <v/>
      </c>
      <c r="BZ280" s="7" t="str">
        <f>IF(77&gt;=102,('Testes estatísticos'!$D$107+'Testes estatísticos'!$D$82)/2,"")</f>
        <v/>
      </c>
      <c r="CA280" s="7" t="str">
        <f>IF(78&gt;=102,('Testes estatísticos'!$D$107+'Testes estatísticos'!$D$83)/2,"")</f>
        <v/>
      </c>
      <c r="CB280" s="7" t="str">
        <f>IF(79&gt;=102,('Testes estatísticos'!$D$107+'Testes estatísticos'!$D$84)/2,"")</f>
        <v/>
      </c>
      <c r="CC280" s="7" t="str">
        <f>IF(80&gt;=102,('Testes estatísticos'!$D$107+'Testes estatísticos'!$D$85)/2,"")</f>
        <v/>
      </c>
      <c r="CD280" s="7" t="str">
        <f>IF(81&gt;=102,('Testes estatísticos'!$D$107+'Testes estatísticos'!$D$86)/2,"")</f>
        <v/>
      </c>
      <c r="CE280" s="7" t="str">
        <f>IF(82&gt;=102,('Testes estatísticos'!$D$107+'Testes estatísticos'!$D$87)/2,"")</f>
        <v/>
      </c>
      <c r="CF280" s="7" t="str">
        <f>IF(83&gt;=102,('Testes estatísticos'!$D$107+'Testes estatísticos'!$D$88)/2,"")</f>
        <v/>
      </c>
      <c r="CG280" s="7" t="str">
        <f>IF(84&gt;=102,('Testes estatísticos'!$D$107+'Testes estatísticos'!$D$89)/2,"")</f>
        <v/>
      </c>
      <c r="CH280" s="7" t="str">
        <f>IF(85&gt;=102,('Testes estatísticos'!$D$107+'Testes estatísticos'!$D$90)/2,"")</f>
        <v/>
      </c>
      <c r="CI280" s="7" t="str">
        <f>IF(86&gt;=102,('Testes estatísticos'!$D$107+'Testes estatísticos'!$D$91)/2,"")</f>
        <v/>
      </c>
      <c r="CJ280" s="7" t="str">
        <f>IF(87&gt;=102,('Testes estatísticos'!$D$107+'Testes estatísticos'!$D$92)/2,"")</f>
        <v/>
      </c>
      <c r="CK280" s="7" t="str">
        <f>IF(88&gt;=102,('Testes estatísticos'!$D$107+'Testes estatísticos'!$D$93)/2,"")</f>
        <v/>
      </c>
      <c r="CL280" s="7" t="str">
        <f>IF(89&gt;=102,('Testes estatísticos'!$D$107+'Testes estatísticos'!$D$94)/2,"")</f>
        <v/>
      </c>
      <c r="CM280" s="7" t="str">
        <f>IF(90&gt;=102,('Testes estatísticos'!$D$107+'Testes estatísticos'!$D$95)/2,"")</f>
        <v/>
      </c>
      <c r="CN280" s="7" t="str">
        <f>IF(91&gt;=102,('Testes estatísticos'!$D$107+'Testes estatísticos'!$D$96)/2,"")</f>
        <v/>
      </c>
      <c r="CO280" s="7" t="str">
        <f>IF(92&gt;=102,('Testes estatísticos'!$D$107+'Testes estatísticos'!$D$97)/2,"")</f>
        <v/>
      </c>
      <c r="CP280" s="7" t="str">
        <f>IF(93&gt;=102,('Testes estatísticos'!$D$107+'Testes estatísticos'!$D$98)/2,"")</f>
        <v/>
      </c>
      <c r="CQ280" s="7" t="str">
        <f>IF(94&gt;=102,('Testes estatísticos'!$D$107+'Testes estatísticos'!$D$99)/2,"")</f>
        <v/>
      </c>
      <c r="CR280" s="7" t="str">
        <f>IF(95&gt;=102,('Testes estatísticos'!$D$107+'Testes estatísticos'!$D$100)/2,"")</f>
        <v/>
      </c>
      <c r="CS280" s="7" t="str">
        <f>IF(96&gt;=102,('Testes estatísticos'!$D$107+'Testes estatísticos'!$D$101)/2,"")</f>
        <v/>
      </c>
      <c r="CT280" s="7" t="str">
        <f>IF(97&gt;=102,('Testes estatísticos'!$D$107+'Testes estatísticos'!$D$102)/2,"")</f>
        <v/>
      </c>
      <c r="CU280" s="7" t="str">
        <f>IF(98&gt;=102,('Testes estatísticos'!$D$107+'Testes estatísticos'!$D$103)/2,"")</f>
        <v/>
      </c>
      <c r="CV280" s="7" t="str">
        <f>IF(99&gt;=102,('Testes estatísticos'!$D$107+'Testes estatísticos'!$D$104)/2,"")</f>
        <v/>
      </c>
      <c r="CW280" s="7" t="str">
        <f>IF(100&gt;=102,('Testes estatísticos'!$D$107+'Testes estatísticos'!$D$105)/2,"")</f>
        <v/>
      </c>
      <c r="CX280" s="7" t="str">
        <f>IF(101&gt;=102,('Testes estatísticos'!$D$107+'Testes estatísticos'!$D$106)/2,"")</f>
        <v/>
      </c>
      <c r="CY280" s="7">
        <f>IF(102&gt;=102,('Testes estatísticos'!$D$107+'Testes estatísticos'!$D$107)/2,"")</f>
        <v>-3.3463899999999995</v>
      </c>
      <c r="CZ280" s="7">
        <f>IF(103&gt;=102,('Testes estatísticos'!$D$107+'Testes estatísticos'!$D$108)/2,"")</f>
        <v>-3.8705564999999993</v>
      </c>
      <c r="DA280" s="7">
        <f>IF(104&gt;=102,('Testes estatísticos'!$D$107+'Testes estatísticos'!$D$109)/2,"")</f>
        <v>-3.6079224999999973</v>
      </c>
      <c r="DB280" s="7">
        <f>IF(105&gt;=102,('Testes estatísticos'!$D$107+'Testes estatísticos'!$D$110)/2,"")</f>
        <v>-3.5735914999999991</v>
      </c>
      <c r="DC280" s="7">
        <f>IF(106&gt;=102,('Testes estatísticos'!$D$107+'Testes estatísticos'!$D$111)/2,"")</f>
        <v>-2.8306705000000001</v>
      </c>
      <c r="DD280" s="7">
        <f>IF(107&gt;=102,('Testes estatísticos'!$D$107+'Testes estatísticos'!$D$112)/2,"")</f>
        <v>0.66250050000000016</v>
      </c>
      <c r="DE280" s="7">
        <f>IF(108&gt;=102,('Testes estatísticos'!$D$107+'Testes estatísticos'!$D$113)/2,"")</f>
        <v>-2.7601349999999982</v>
      </c>
      <c r="DF280" s="7">
        <f>IF(109&gt;=102,('Testes estatísticos'!$D$107+'Testes estatísticos'!$D$114)/2,"")</f>
        <v>-2.7963919999999973</v>
      </c>
      <c r="DG280" s="7">
        <f>IF(110&gt;=102,('Testes estatísticos'!$D$107+'Testes estatísticos'!$D$115)/2,"")</f>
        <v>-8.343531500000001</v>
      </c>
      <c r="DH280" s="7">
        <f>IF(111&gt;=102,('Testes estatísticos'!$D$107+'Testes estatísticos'!$D$116)/2,"")</f>
        <v>-2.6627009999999984</v>
      </c>
      <c r="DI280" s="7">
        <f>IF(112&gt;=102,('Testes estatísticos'!$D$107+'Testes estatísticos'!$D$117)/2,"")</f>
        <v>2.7657389999999999</v>
      </c>
      <c r="DJ280" s="7">
        <f>IF(113&gt;=102,('Testes estatísticos'!$D$107+'Testes estatísticos'!$D$118)/2,"")</f>
        <v>-2.6908180000000002</v>
      </c>
      <c r="DK280" s="7">
        <f>IF(114&gt;=102,('Testes estatísticos'!$D$107+'Testes estatísticos'!$D$119)/2,"")</f>
        <v>-2.7925679999999993</v>
      </c>
      <c r="DL280" s="7">
        <f>IF(115&gt;=102,('Testes estatísticos'!$D$107+'Testes estatísticos'!$D$120)/2,"")</f>
        <v>-2.7460904999999975</v>
      </c>
      <c r="DM280" s="7">
        <f>IF(116&gt;=102,('Testes estatísticos'!$D$107+'Testes estatísticos'!$D$121)/2,"")</f>
        <v>-2.737487999999999</v>
      </c>
      <c r="DN280" s="7">
        <f>IF(117&gt;=102,('Testes estatísticos'!$D$107+'Testes estatísticos'!$D$122)/2,"")</f>
        <v>-2.7144200000000005</v>
      </c>
      <c r="DO280" s="7">
        <f>IF(118&gt;=102,('Testes estatísticos'!$D$107+'Testes estatísticos'!$D$123)/2,"")</f>
        <v>-2.6645095000000012</v>
      </c>
      <c r="DP280" s="7">
        <f>IF(119&gt;=102,('Testes estatísticos'!$D$107+'Testes estatísticos'!$D$124)/2,"")</f>
        <v>-2.6857210000000009</v>
      </c>
      <c r="DQ280" s="7">
        <f>IF(120&gt;=102,('Testes estatísticos'!$D$107+'Testes estatísticos'!$D$125)/2,"")</f>
        <v>0.36589350000000209</v>
      </c>
      <c r="DR280" s="7">
        <f>IF(121&gt;=102,('Testes estatísticos'!$D$107+'Testes estatísticos'!$D$126)/2,"")</f>
        <v>-2.4231230000000004</v>
      </c>
      <c r="DS280" s="7">
        <f>IF(122&gt;=102,('Testes estatísticos'!$D$107+'Testes estatísticos'!$D$127)/2,"")</f>
        <v>-3.488531499999997</v>
      </c>
      <c r="DT280" s="7">
        <f>IF(123&gt;=102,('Testes estatísticos'!$D$107+'Testes estatísticos'!$D$128)/2,"")</f>
        <v>2.5803379999999976</v>
      </c>
      <c r="DU280" s="7">
        <f>IF(124&gt;=102,('Testes estatísticos'!$D$107+'Testes estatísticos'!$D$129)/2,"")</f>
        <v>-2.315433500000001</v>
      </c>
      <c r="DV280" s="7">
        <f>IF(125&gt;=102,('Testes estatísticos'!$D$107+'Testes estatísticos'!$D$130)/2,"")</f>
        <v>-1.1571260000000017</v>
      </c>
      <c r="DW280" s="7">
        <f>IF(126&gt;=102,('Testes estatísticos'!$D$107+'Testes estatísticos'!$D$131)/2,"")</f>
        <v>-3.5606019999999994</v>
      </c>
      <c r="DX280" s="7">
        <f>IF(127&gt;=102,('Testes estatísticos'!$D$107+'Testes estatísticos'!$D$132)/2,"")</f>
        <v>-5.6167935</v>
      </c>
      <c r="DY280" s="7">
        <f>IF(128&gt;=102,('Testes estatísticos'!$D$107+'Testes estatísticos'!$D$133)/2,"")</f>
        <v>-5.9578829999999989</v>
      </c>
      <c r="DZ280" s="7">
        <f>IF(129&gt;=102,('Testes estatísticos'!$D$107+'Testes estatísticos'!$D$134)/2,"")</f>
        <v>-9.3816729999999993</v>
      </c>
      <c r="EA280" s="7">
        <f>IF(130&gt;=102,('Testes estatísticos'!$D$107+'Testes estatísticos'!$D$135)/2,"")</f>
        <v>-3.6199029999999972</v>
      </c>
      <c r="EB280" s="7">
        <f>IF(131&gt;=102,('Testes estatísticos'!$D$107+'Testes estatísticos'!$D$136)/2,"")</f>
        <v>-3.5320300000000024</v>
      </c>
      <c r="EC280" s="7">
        <f>IF(132&gt;=102,('Testes estatísticos'!$D$107+'Testes estatísticos'!$D$137)/2,"")</f>
        <v>-5.0187665000000017</v>
      </c>
      <c r="ED280" s="7">
        <f>IF(133&gt;=102,('Testes estatísticos'!$D$107+'Testes estatísticos'!$D$138)/2,"")</f>
        <v>-2.8298290000000001</v>
      </c>
      <c r="EE280" s="7">
        <f>IF(134&gt;=102,('Testes estatísticos'!$D$107+'Testes estatísticos'!$D$139)/2,"")</f>
        <v>-5.1270195000000029</v>
      </c>
      <c r="EF280" s="7">
        <f>IF(135&gt;=102,('Testes estatísticos'!$D$107+'Testes estatísticos'!$D$140)/2,"")</f>
        <v>-1.9125869999999985</v>
      </c>
      <c r="EG280" s="7">
        <f>IF(136&gt;=102,('Testes estatísticos'!$D$107+'Testes estatísticos'!$D$141)/2,"")</f>
        <v>-3.6060770000000026</v>
      </c>
      <c r="EH280" s="7">
        <f>IF(137&gt;=102,('Testes estatísticos'!$D$107+'Testes estatísticos'!$D$142)/2,"")</f>
        <v>-1.9013370000000016</v>
      </c>
      <c r="EI280" s="7">
        <f>IF(138&gt;=102,('Testes estatísticos'!$D$107+'Testes estatísticos'!$D$143)/2,"")</f>
        <v>-3.5663524999999971</v>
      </c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</row>
    <row r="281" spans="2:151" x14ac:dyDescent="0.3">
      <c r="B281" s="7" t="str">
        <f>IF(1&gt;=103,('Testes estatísticos'!$D$108+'Testes estatísticos'!$D$6)/2,"")</f>
        <v/>
      </c>
      <c r="C281" s="7" t="str">
        <f>IF(2&gt;=103,('Testes estatísticos'!$D$108+'Testes estatísticos'!$D$7)/2,"")</f>
        <v/>
      </c>
      <c r="D281" s="7" t="str">
        <f>IF(3&gt;=103,('Testes estatísticos'!$D$108+'Testes estatísticos'!$D$8)/2,"")</f>
        <v/>
      </c>
      <c r="E281" s="7" t="str">
        <f>IF(4&gt;=103,('Testes estatísticos'!$D$108+'Testes estatísticos'!$D$9)/2,"")</f>
        <v/>
      </c>
      <c r="F281" s="7" t="str">
        <f>IF(5&gt;=103,('Testes estatísticos'!$D$108+'Testes estatísticos'!$D$10)/2,"")</f>
        <v/>
      </c>
      <c r="G281" s="7" t="str">
        <f>IF(6&gt;=103,('Testes estatísticos'!$D$108+'Testes estatísticos'!$D$11)/2,"")</f>
        <v/>
      </c>
      <c r="H281" s="7" t="str">
        <f>IF(7&gt;=103,('Testes estatísticos'!$D$108+'Testes estatísticos'!$D$12)/2,"")</f>
        <v/>
      </c>
      <c r="I281" s="7" t="str">
        <f>IF(8&gt;=103,('Testes estatísticos'!$D$108+'Testes estatísticos'!$D$13)/2,"")</f>
        <v/>
      </c>
      <c r="J281" s="7" t="str">
        <f>IF(9&gt;=103,('Testes estatísticos'!$D$108+'Testes estatísticos'!$D$14)/2,"")</f>
        <v/>
      </c>
      <c r="K281" s="7" t="str">
        <f>IF(10&gt;=103,('Testes estatísticos'!$D$108+'Testes estatísticos'!$D$15)/2,"")</f>
        <v/>
      </c>
      <c r="L281" s="7" t="str">
        <f>IF(11&gt;=103,('Testes estatísticos'!$D$108+'Testes estatísticos'!$D$16)/2,"")</f>
        <v/>
      </c>
      <c r="M281" s="7" t="str">
        <f>IF(12&gt;=103,('Testes estatísticos'!$D$108+'Testes estatísticos'!$D$17)/2,"")</f>
        <v/>
      </c>
      <c r="N281" s="7" t="str">
        <f>IF(13&gt;=103,('Testes estatísticos'!$D$108+'Testes estatísticos'!$D$18)/2,"")</f>
        <v/>
      </c>
      <c r="O281" s="7" t="str">
        <f>IF(14&gt;=103,('Testes estatísticos'!$D$108+'Testes estatísticos'!$D$19)/2,"")</f>
        <v/>
      </c>
      <c r="P281" s="7" t="str">
        <f>IF(15&gt;=103,('Testes estatísticos'!$D$108+'Testes estatísticos'!$D$20)/2,"")</f>
        <v/>
      </c>
      <c r="Q281" s="7" t="str">
        <f>IF(16&gt;=103,('Testes estatísticos'!$D$108+'Testes estatísticos'!$D$21)/2,"")</f>
        <v/>
      </c>
      <c r="R281" s="7" t="str">
        <f>IF(17&gt;=103,('Testes estatísticos'!$D$108+'Testes estatísticos'!$D$22)/2,"")</f>
        <v/>
      </c>
      <c r="S281" s="7" t="str">
        <f>IF(18&gt;=103,('Testes estatísticos'!$D$108+'Testes estatísticos'!$D$23)/2,"")</f>
        <v/>
      </c>
      <c r="T281" s="7" t="str">
        <f>IF(19&gt;=103,('Testes estatísticos'!$D$108+'Testes estatísticos'!$D$24)/2,"")</f>
        <v/>
      </c>
      <c r="U281" s="7" t="str">
        <f>IF(20&gt;=103,('Testes estatísticos'!$D$108+'Testes estatísticos'!$D$25)/2,"")</f>
        <v/>
      </c>
      <c r="V281" s="7" t="str">
        <f>IF(21&gt;=103,('Testes estatísticos'!$D$108+'Testes estatísticos'!$D$26)/2,"")</f>
        <v/>
      </c>
      <c r="W281" s="7" t="str">
        <f>IF(22&gt;=103,('Testes estatísticos'!$D$108+'Testes estatísticos'!$D$27)/2,"")</f>
        <v/>
      </c>
      <c r="X281" s="7" t="str">
        <f>IF(23&gt;=103,('Testes estatísticos'!$D$108+'Testes estatísticos'!$D$28)/2,"")</f>
        <v/>
      </c>
      <c r="Y281" s="7" t="str">
        <f>IF(24&gt;=103,('Testes estatísticos'!$D$108+'Testes estatísticos'!$D$29)/2,"")</f>
        <v/>
      </c>
      <c r="Z281" s="7" t="str">
        <f>IF(25&gt;=103,('Testes estatísticos'!$D$108+'Testes estatísticos'!$D$30)/2,"")</f>
        <v/>
      </c>
      <c r="AA281" s="7" t="str">
        <f>IF(26&gt;=103,('Testes estatísticos'!$D$108+'Testes estatísticos'!$D$31)/2,"")</f>
        <v/>
      </c>
      <c r="AB281" s="7" t="str">
        <f>IF(27&gt;=103,('Testes estatísticos'!$D$108+'Testes estatísticos'!$D$32)/2,"")</f>
        <v/>
      </c>
      <c r="AC281" s="7" t="str">
        <f>IF(28&gt;=103,('Testes estatísticos'!$D$108+'Testes estatísticos'!$D$33)/2,"")</f>
        <v/>
      </c>
      <c r="AD281" s="7" t="str">
        <f>IF(29&gt;=103,('Testes estatísticos'!$D$108+'Testes estatísticos'!$D$34)/2,"")</f>
        <v/>
      </c>
      <c r="AE281" s="7" t="str">
        <f>IF(30&gt;=103,('Testes estatísticos'!$D$108+'Testes estatísticos'!$D$35)/2,"")</f>
        <v/>
      </c>
      <c r="AF281" s="7" t="str">
        <f>IF(31&gt;=103,('Testes estatísticos'!$D$108+'Testes estatísticos'!$D$36)/2,"")</f>
        <v/>
      </c>
      <c r="AG281" s="7" t="str">
        <f>IF(32&gt;=103,('Testes estatísticos'!$D$108+'Testes estatísticos'!$D$37)/2,"")</f>
        <v/>
      </c>
      <c r="AH281" s="7" t="str">
        <f>IF(33&gt;=103,('Testes estatísticos'!$D$108+'Testes estatísticos'!$D$38)/2,"")</f>
        <v/>
      </c>
      <c r="AI281" s="7" t="str">
        <f>IF(34&gt;=103,('Testes estatísticos'!$D$108+'Testes estatísticos'!$D$39)/2,"")</f>
        <v/>
      </c>
      <c r="AJ281" s="7" t="str">
        <f>IF(35&gt;=103,('Testes estatísticos'!$D$108+'Testes estatísticos'!$D$40)/2,"")</f>
        <v/>
      </c>
      <c r="AK281" s="7" t="str">
        <f>IF(36&gt;=103,('Testes estatísticos'!$D$108+'Testes estatísticos'!$D$41)/2,"")</f>
        <v/>
      </c>
      <c r="AL281" s="7" t="str">
        <f>IF(37&gt;=103,('Testes estatísticos'!$D$108+'Testes estatísticos'!$D$42)/2,"")</f>
        <v/>
      </c>
      <c r="AM281" s="7" t="str">
        <f>IF(38&gt;=103,('Testes estatísticos'!$D$108+'Testes estatísticos'!$D$43)/2,"")</f>
        <v/>
      </c>
      <c r="AN281" s="7" t="str">
        <f>IF(39&gt;=103,('Testes estatísticos'!$D$108+'Testes estatísticos'!$D$44)/2,"")</f>
        <v/>
      </c>
      <c r="AO281" s="7" t="str">
        <f>IF(40&gt;=103,('Testes estatísticos'!$D$108+'Testes estatísticos'!$D$45)/2,"")</f>
        <v/>
      </c>
      <c r="AP281" s="7" t="str">
        <f>IF(41&gt;=103,('Testes estatísticos'!$D$108+'Testes estatísticos'!$D$46)/2,"")</f>
        <v/>
      </c>
      <c r="AQ281" s="7" t="str">
        <f>IF(42&gt;=103,('Testes estatísticos'!$D$108+'Testes estatísticos'!$D$47)/2,"")</f>
        <v/>
      </c>
      <c r="AR281" s="7" t="str">
        <f>IF(43&gt;=103,('Testes estatísticos'!$D$108+'Testes estatísticos'!$D$48)/2,"")</f>
        <v/>
      </c>
      <c r="AS281" s="7" t="str">
        <f>IF(44&gt;=103,('Testes estatísticos'!$D$108+'Testes estatísticos'!$D$49)/2,"")</f>
        <v/>
      </c>
      <c r="AT281" s="7" t="str">
        <f>IF(45&gt;=103,('Testes estatísticos'!$D$108+'Testes estatísticos'!$D$50)/2,"")</f>
        <v/>
      </c>
      <c r="AU281" s="7" t="str">
        <f>IF(46&gt;=103,('Testes estatísticos'!$D$108+'Testes estatísticos'!$D$51)/2,"")</f>
        <v/>
      </c>
      <c r="AV281" s="7" t="str">
        <f>IF(47&gt;=103,('Testes estatísticos'!$D$108+'Testes estatísticos'!$D$52)/2,"")</f>
        <v/>
      </c>
      <c r="AW281" s="7" t="str">
        <f>IF(48&gt;=103,('Testes estatísticos'!$D$108+'Testes estatísticos'!$D$53)/2,"")</f>
        <v/>
      </c>
      <c r="AX281" s="7" t="str">
        <f>IF(49&gt;=103,('Testes estatísticos'!$D$108+'Testes estatísticos'!$D$54)/2,"")</f>
        <v/>
      </c>
      <c r="AY281" s="7" t="str">
        <f>IF(50&gt;=103,('Testes estatísticos'!$D$108+'Testes estatísticos'!$D$55)/2,"")</f>
        <v/>
      </c>
      <c r="AZ281" s="7" t="str">
        <f>IF(51&gt;=103,('Testes estatísticos'!$D$108+'Testes estatísticos'!$D$56)/2,"")</f>
        <v/>
      </c>
      <c r="BA281" s="7" t="str">
        <f>IF(52&gt;=103,('Testes estatísticos'!$D$108+'Testes estatísticos'!$D$57)/2,"")</f>
        <v/>
      </c>
      <c r="BB281" s="7" t="str">
        <f>IF(53&gt;=103,('Testes estatísticos'!$D$108+'Testes estatísticos'!$D$58)/2,"")</f>
        <v/>
      </c>
      <c r="BC281" s="7" t="str">
        <f>IF(54&gt;=103,('Testes estatísticos'!$D$108+'Testes estatísticos'!$D$59)/2,"")</f>
        <v/>
      </c>
      <c r="BD281" s="7" t="str">
        <f>IF(55&gt;=103,('Testes estatísticos'!$D$108+'Testes estatísticos'!$D$60)/2,"")</f>
        <v/>
      </c>
      <c r="BE281" s="7" t="str">
        <f>IF(56&gt;=103,('Testes estatísticos'!$D$108+'Testes estatísticos'!$D$61)/2,"")</f>
        <v/>
      </c>
      <c r="BF281" s="7" t="str">
        <f>IF(57&gt;=103,('Testes estatísticos'!$D$108+'Testes estatísticos'!$D$62)/2,"")</f>
        <v/>
      </c>
      <c r="BG281" s="7" t="str">
        <f>IF(58&gt;=103,('Testes estatísticos'!$D$108+'Testes estatísticos'!$D$63)/2,"")</f>
        <v/>
      </c>
      <c r="BH281" s="7" t="str">
        <f>IF(59&gt;=103,('Testes estatísticos'!$D$108+'Testes estatísticos'!$D$64)/2,"")</f>
        <v/>
      </c>
      <c r="BI281" s="7" t="str">
        <f>IF(60&gt;=103,('Testes estatísticos'!$D$108+'Testes estatísticos'!$D$65)/2,"")</f>
        <v/>
      </c>
      <c r="BJ281" s="7" t="str">
        <f>IF(61&gt;=103,('Testes estatísticos'!$D$108+'Testes estatísticos'!$D$66)/2,"")</f>
        <v/>
      </c>
      <c r="BK281" s="7" t="str">
        <f>IF(62&gt;=103,('Testes estatísticos'!$D$108+'Testes estatísticos'!$D$67)/2,"")</f>
        <v/>
      </c>
      <c r="BL281" s="7" t="str">
        <f>IF(63&gt;=103,('Testes estatísticos'!$D$108+'Testes estatísticos'!$D$68)/2,"")</f>
        <v/>
      </c>
      <c r="BM281" s="7" t="str">
        <f>IF(64&gt;=103,('Testes estatísticos'!$D$108+'Testes estatísticos'!$D$69)/2,"")</f>
        <v/>
      </c>
      <c r="BN281" s="7" t="str">
        <f>IF(65&gt;=103,('Testes estatísticos'!$D$108+'Testes estatísticos'!$D$70)/2,"")</f>
        <v/>
      </c>
      <c r="BO281" s="7" t="str">
        <f>IF(66&gt;=103,('Testes estatísticos'!$D$108+'Testes estatísticos'!$D$71)/2,"")</f>
        <v/>
      </c>
      <c r="BP281" s="7" t="str">
        <f>IF(67&gt;=103,('Testes estatísticos'!$D$108+'Testes estatísticos'!$D$72)/2,"")</f>
        <v/>
      </c>
      <c r="BQ281" s="7" t="str">
        <f>IF(68&gt;=103,('Testes estatísticos'!$D$108+'Testes estatísticos'!$D$73)/2,"")</f>
        <v/>
      </c>
      <c r="BR281" s="7" t="str">
        <f>IF(69&gt;=103,('Testes estatísticos'!$D$108+'Testes estatísticos'!$D$74)/2,"")</f>
        <v/>
      </c>
      <c r="BS281" s="7" t="str">
        <f>IF(70&gt;=103,('Testes estatísticos'!$D$108+'Testes estatísticos'!$D$75)/2,"")</f>
        <v/>
      </c>
      <c r="BT281" s="7" t="str">
        <f>IF(71&gt;=103,('Testes estatísticos'!$D$108+'Testes estatísticos'!$D$76)/2,"")</f>
        <v/>
      </c>
      <c r="BU281" s="7" t="str">
        <f>IF(72&gt;=103,('Testes estatísticos'!$D$108+'Testes estatísticos'!$D$77)/2,"")</f>
        <v/>
      </c>
      <c r="BV281" s="7" t="str">
        <f>IF(73&gt;=103,('Testes estatísticos'!$D$108+'Testes estatísticos'!$D$78)/2,"")</f>
        <v/>
      </c>
      <c r="BW281" s="7" t="str">
        <f>IF(74&gt;=103,('Testes estatísticos'!$D$108+'Testes estatísticos'!$D$79)/2,"")</f>
        <v/>
      </c>
      <c r="BX281" s="7" t="str">
        <f>IF(75&gt;=103,('Testes estatísticos'!$D$108+'Testes estatísticos'!$D$80)/2,"")</f>
        <v/>
      </c>
      <c r="BY281" s="7" t="str">
        <f>IF(76&gt;=103,('Testes estatísticos'!$D$108+'Testes estatísticos'!$D$81)/2,"")</f>
        <v/>
      </c>
      <c r="BZ281" s="7" t="str">
        <f>IF(77&gt;=103,('Testes estatísticos'!$D$108+'Testes estatísticos'!$D$82)/2,"")</f>
        <v/>
      </c>
      <c r="CA281" s="7" t="str">
        <f>IF(78&gt;=103,('Testes estatísticos'!$D$108+'Testes estatísticos'!$D$83)/2,"")</f>
        <v/>
      </c>
      <c r="CB281" s="7" t="str">
        <f>IF(79&gt;=103,('Testes estatísticos'!$D$108+'Testes estatísticos'!$D$84)/2,"")</f>
        <v/>
      </c>
      <c r="CC281" s="7" t="str">
        <f>IF(80&gt;=103,('Testes estatísticos'!$D$108+'Testes estatísticos'!$D$85)/2,"")</f>
        <v/>
      </c>
      <c r="CD281" s="7" t="str">
        <f>IF(81&gt;=103,('Testes estatísticos'!$D$108+'Testes estatísticos'!$D$86)/2,"")</f>
        <v/>
      </c>
      <c r="CE281" s="7" t="str">
        <f>IF(82&gt;=103,('Testes estatísticos'!$D$108+'Testes estatísticos'!$D$87)/2,"")</f>
        <v/>
      </c>
      <c r="CF281" s="7" t="str">
        <f>IF(83&gt;=103,('Testes estatísticos'!$D$108+'Testes estatísticos'!$D$88)/2,"")</f>
        <v/>
      </c>
      <c r="CG281" s="7" t="str">
        <f>IF(84&gt;=103,('Testes estatísticos'!$D$108+'Testes estatísticos'!$D$89)/2,"")</f>
        <v/>
      </c>
      <c r="CH281" s="7" t="str">
        <f>IF(85&gt;=103,('Testes estatísticos'!$D$108+'Testes estatísticos'!$D$90)/2,"")</f>
        <v/>
      </c>
      <c r="CI281" s="7" t="str">
        <f>IF(86&gt;=103,('Testes estatísticos'!$D$108+'Testes estatísticos'!$D$91)/2,"")</f>
        <v/>
      </c>
      <c r="CJ281" s="7" t="str">
        <f>IF(87&gt;=103,('Testes estatísticos'!$D$108+'Testes estatísticos'!$D$92)/2,"")</f>
        <v/>
      </c>
      <c r="CK281" s="7" t="str">
        <f>IF(88&gt;=103,('Testes estatísticos'!$D$108+'Testes estatísticos'!$D$93)/2,"")</f>
        <v/>
      </c>
      <c r="CL281" s="7" t="str">
        <f>IF(89&gt;=103,('Testes estatísticos'!$D$108+'Testes estatísticos'!$D$94)/2,"")</f>
        <v/>
      </c>
      <c r="CM281" s="7" t="str">
        <f>IF(90&gt;=103,('Testes estatísticos'!$D$108+'Testes estatísticos'!$D$95)/2,"")</f>
        <v/>
      </c>
      <c r="CN281" s="7" t="str">
        <f>IF(91&gt;=103,('Testes estatísticos'!$D$108+'Testes estatísticos'!$D$96)/2,"")</f>
        <v/>
      </c>
      <c r="CO281" s="7" t="str">
        <f>IF(92&gt;=103,('Testes estatísticos'!$D$108+'Testes estatísticos'!$D$97)/2,"")</f>
        <v/>
      </c>
      <c r="CP281" s="7" t="str">
        <f>IF(93&gt;=103,('Testes estatísticos'!$D$108+'Testes estatísticos'!$D$98)/2,"")</f>
        <v/>
      </c>
      <c r="CQ281" s="7" t="str">
        <f>IF(94&gt;=103,('Testes estatísticos'!$D$108+'Testes estatísticos'!$D$99)/2,"")</f>
        <v/>
      </c>
      <c r="CR281" s="7" t="str">
        <f>IF(95&gt;=103,('Testes estatísticos'!$D$108+'Testes estatísticos'!$D$100)/2,"")</f>
        <v/>
      </c>
      <c r="CS281" s="7" t="str">
        <f>IF(96&gt;=103,('Testes estatísticos'!$D$108+'Testes estatísticos'!$D$101)/2,"")</f>
        <v/>
      </c>
      <c r="CT281" s="7" t="str">
        <f>IF(97&gt;=103,('Testes estatísticos'!$D$108+'Testes estatísticos'!$D$102)/2,"")</f>
        <v/>
      </c>
      <c r="CU281" s="7" t="str">
        <f>IF(98&gt;=103,('Testes estatísticos'!$D$108+'Testes estatísticos'!$D$103)/2,"")</f>
        <v/>
      </c>
      <c r="CV281" s="7" t="str">
        <f>IF(99&gt;=103,('Testes estatísticos'!$D$108+'Testes estatísticos'!$D$104)/2,"")</f>
        <v/>
      </c>
      <c r="CW281" s="7" t="str">
        <f>IF(100&gt;=103,('Testes estatísticos'!$D$108+'Testes estatísticos'!$D$105)/2,"")</f>
        <v/>
      </c>
      <c r="CX281" s="7" t="str">
        <f>IF(101&gt;=103,('Testes estatísticos'!$D$108+'Testes estatísticos'!$D$106)/2,"")</f>
        <v/>
      </c>
      <c r="CY281" s="7" t="str">
        <f>IF(102&gt;=103,('Testes estatísticos'!$D$108+'Testes estatísticos'!$D$107)/2,"")</f>
        <v/>
      </c>
      <c r="CZ281" s="7">
        <f>IF(103&gt;=103,('Testes estatísticos'!$D$108+'Testes estatísticos'!$D$108)/2,"")</f>
        <v>-4.394722999999999</v>
      </c>
      <c r="DA281" s="7">
        <f>IF(104&gt;=103,('Testes estatísticos'!$D$108+'Testes estatísticos'!$D$109)/2,"")</f>
        <v>-4.132088999999997</v>
      </c>
      <c r="DB281" s="7">
        <f>IF(105&gt;=103,('Testes estatísticos'!$D$108+'Testes estatísticos'!$D$110)/2,"")</f>
        <v>-4.0977579999999989</v>
      </c>
      <c r="DC281" s="7">
        <f>IF(106&gt;=103,('Testes estatísticos'!$D$108+'Testes estatísticos'!$D$111)/2,"")</f>
        <v>-3.3548369999999998</v>
      </c>
      <c r="DD281" s="7">
        <f>IF(107&gt;=103,('Testes estatísticos'!$D$108+'Testes estatísticos'!$D$112)/2,"")</f>
        <v>0.1383340000000004</v>
      </c>
      <c r="DE281" s="7">
        <f>IF(108&gt;=103,('Testes estatísticos'!$D$108+'Testes estatísticos'!$D$113)/2,"")</f>
        <v>-3.284301499999998</v>
      </c>
      <c r="DF281" s="7">
        <f>IF(109&gt;=103,('Testes estatísticos'!$D$108+'Testes estatísticos'!$D$114)/2,"")</f>
        <v>-3.3205584999999971</v>
      </c>
      <c r="DG281" s="7">
        <f>IF(110&gt;=103,('Testes estatísticos'!$D$108+'Testes estatísticos'!$D$115)/2,"")</f>
        <v>-8.8676980000000007</v>
      </c>
      <c r="DH281" s="7">
        <f>IF(111&gt;=103,('Testes estatísticos'!$D$108+'Testes estatísticos'!$D$116)/2,"")</f>
        <v>-3.1868674999999982</v>
      </c>
      <c r="DI281" s="7">
        <f>IF(112&gt;=103,('Testes estatísticos'!$D$108+'Testes estatísticos'!$D$117)/2,"")</f>
        <v>2.2415725000000002</v>
      </c>
      <c r="DJ281" s="7">
        <f>IF(113&gt;=103,('Testes estatísticos'!$D$108+'Testes estatísticos'!$D$118)/2,"")</f>
        <v>-3.2149844999999999</v>
      </c>
      <c r="DK281" s="7">
        <f>IF(114&gt;=103,('Testes estatísticos'!$D$108+'Testes estatísticos'!$D$119)/2,"")</f>
        <v>-3.316734499999999</v>
      </c>
      <c r="DL281" s="7">
        <f>IF(115&gt;=103,('Testes estatísticos'!$D$108+'Testes estatísticos'!$D$120)/2,"")</f>
        <v>-3.2702569999999973</v>
      </c>
      <c r="DM281" s="7">
        <f>IF(116&gt;=103,('Testes estatísticos'!$D$108+'Testes estatísticos'!$D$121)/2,"")</f>
        <v>-3.2616544999999988</v>
      </c>
      <c r="DN281" s="7">
        <f>IF(117&gt;=103,('Testes estatísticos'!$D$108+'Testes estatísticos'!$D$122)/2,"")</f>
        <v>-3.2385865000000003</v>
      </c>
      <c r="DO281" s="7">
        <f>IF(118&gt;=103,('Testes estatísticos'!$D$108+'Testes estatísticos'!$D$123)/2,"")</f>
        <v>-3.188676000000001</v>
      </c>
      <c r="DP281" s="7">
        <f>IF(119&gt;=103,('Testes estatísticos'!$D$108+'Testes estatísticos'!$D$124)/2,"")</f>
        <v>-3.2098875000000007</v>
      </c>
      <c r="DQ281" s="7">
        <f>IF(120&gt;=103,('Testes estatísticos'!$D$108+'Testes estatísticos'!$D$125)/2,"")</f>
        <v>-0.15827299999999767</v>
      </c>
      <c r="DR281" s="7">
        <f>IF(121&gt;=103,('Testes estatísticos'!$D$108+'Testes estatísticos'!$D$126)/2,"")</f>
        <v>-2.9472895000000001</v>
      </c>
      <c r="DS281" s="7">
        <f>IF(122&gt;=103,('Testes estatísticos'!$D$108+'Testes estatísticos'!$D$127)/2,"")</f>
        <v>-4.0126979999999968</v>
      </c>
      <c r="DT281" s="7">
        <f>IF(123&gt;=103,('Testes estatísticos'!$D$108+'Testes estatísticos'!$D$128)/2,"")</f>
        <v>2.0561714999999978</v>
      </c>
      <c r="DU281" s="7">
        <f>IF(124&gt;=103,('Testes estatísticos'!$D$108+'Testes estatísticos'!$D$129)/2,"")</f>
        <v>-2.8396000000000008</v>
      </c>
      <c r="DV281" s="7">
        <f>IF(125&gt;=103,('Testes estatísticos'!$D$108+'Testes estatísticos'!$D$130)/2,"")</f>
        <v>-1.6812925000000014</v>
      </c>
      <c r="DW281" s="7">
        <f>IF(126&gt;=103,('Testes estatísticos'!$D$108+'Testes estatísticos'!$D$131)/2,"")</f>
        <v>-4.0847684999999991</v>
      </c>
      <c r="DX281" s="7">
        <f>IF(127&gt;=103,('Testes estatísticos'!$D$108+'Testes estatísticos'!$D$132)/2,"")</f>
        <v>-6.1409599999999998</v>
      </c>
      <c r="DY281" s="7">
        <f>IF(128&gt;=103,('Testes estatísticos'!$D$108+'Testes estatísticos'!$D$133)/2,"")</f>
        <v>-6.4820494999999987</v>
      </c>
      <c r="DZ281" s="7">
        <f>IF(129&gt;=103,('Testes estatísticos'!$D$108+'Testes estatísticos'!$D$134)/2,"")</f>
        <v>-9.905839499999999</v>
      </c>
      <c r="EA281" s="7">
        <f>IF(130&gt;=103,('Testes estatísticos'!$D$108+'Testes estatísticos'!$D$135)/2,"")</f>
        <v>-4.144069499999997</v>
      </c>
      <c r="EB281" s="7">
        <f>IF(131&gt;=103,('Testes estatísticos'!$D$108+'Testes estatísticos'!$D$136)/2,"")</f>
        <v>-4.0561965000000022</v>
      </c>
      <c r="EC281" s="7">
        <f>IF(132&gt;=103,('Testes estatísticos'!$D$108+'Testes estatísticos'!$D$137)/2,"")</f>
        <v>-5.5429330000000014</v>
      </c>
      <c r="ED281" s="7">
        <f>IF(133&gt;=103,('Testes estatísticos'!$D$108+'Testes estatísticos'!$D$138)/2,"")</f>
        <v>-3.3539954999999999</v>
      </c>
      <c r="EE281" s="7">
        <f>IF(134&gt;=103,('Testes estatísticos'!$D$108+'Testes estatísticos'!$D$139)/2,"")</f>
        <v>-5.6511860000000027</v>
      </c>
      <c r="EF281" s="7">
        <f>IF(135&gt;=103,('Testes estatísticos'!$D$108+'Testes estatísticos'!$D$140)/2,"")</f>
        <v>-2.4367534999999982</v>
      </c>
      <c r="EG281" s="7">
        <f>IF(136&gt;=103,('Testes estatísticos'!$D$108+'Testes estatísticos'!$D$141)/2,"")</f>
        <v>-4.1302435000000024</v>
      </c>
      <c r="EH281" s="7">
        <f>IF(137&gt;=103,('Testes estatísticos'!$D$108+'Testes estatísticos'!$D$142)/2,"")</f>
        <v>-2.4255035000000014</v>
      </c>
      <c r="EI281" s="7">
        <f>IF(138&gt;=103,('Testes estatísticos'!$D$108+'Testes estatísticos'!$D$143)/2,"")</f>
        <v>-4.0905189999999969</v>
      </c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</row>
    <row r="282" spans="2:151" x14ac:dyDescent="0.3">
      <c r="B282" s="7" t="str">
        <f>IF(1&gt;=104,('Testes estatísticos'!$D$109+'Testes estatísticos'!$D$6)/2,"")</f>
        <v/>
      </c>
      <c r="C282" s="7" t="str">
        <f>IF(2&gt;=104,('Testes estatísticos'!$D$109+'Testes estatísticos'!$D$7)/2,"")</f>
        <v/>
      </c>
      <c r="D282" s="7" t="str">
        <f>IF(3&gt;=104,('Testes estatísticos'!$D$109+'Testes estatísticos'!$D$8)/2,"")</f>
        <v/>
      </c>
      <c r="E282" s="7" t="str">
        <f>IF(4&gt;=104,('Testes estatísticos'!$D$109+'Testes estatísticos'!$D$9)/2,"")</f>
        <v/>
      </c>
      <c r="F282" s="7" t="str">
        <f>IF(5&gt;=104,('Testes estatísticos'!$D$109+'Testes estatísticos'!$D$10)/2,"")</f>
        <v/>
      </c>
      <c r="G282" s="7" t="str">
        <f>IF(6&gt;=104,('Testes estatísticos'!$D$109+'Testes estatísticos'!$D$11)/2,"")</f>
        <v/>
      </c>
      <c r="H282" s="7" t="str">
        <f>IF(7&gt;=104,('Testes estatísticos'!$D$109+'Testes estatísticos'!$D$12)/2,"")</f>
        <v/>
      </c>
      <c r="I282" s="7" t="str">
        <f>IF(8&gt;=104,('Testes estatísticos'!$D$109+'Testes estatísticos'!$D$13)/2,"")</f>
        <v/>
      </c>
      <c r="J282" s="7" t="str">
        <f>IF(9&gt;=104,('Testes estatísticos'!$D$109+'Testes estatísticos'!$D$14)/2,"")</f>
        <v/>
      </c>
      <c r="K282" s="7" t="str">
        <f>IF(10&gt;=104,('Testes estatísticos'!$D$109+'Testes estatísticos'!$D$15)/2,"")</f>
        <v/>
      </c>
      <c r="L282" s="7" t="str">
        <f>IF(11&gt;=104,('Testes estatísticos'!$D$109+'Testes estatísticos'!$D$16)/2,"")</f>
        <v/>
      </c>
      <c r="M282" s="7" t="str">
        <f>IF(12&gt;=104,('Testes estatísticos'!$D$109+'Testes estatísticos'!$D$17)/2,"")</f>
        <v/>
      </c>
      <c r="N282" s="7" t="str">
        <f>IF(13&gt;=104,('Testes estatísticos'!$D$109+'Testes estatísticos'!$D$18)/2,"")</f>
        <v/>
      </c>
      <c r="O282" s="7" t="str">
        <f>IF(14&gt;=104,('Testes estatísticos'!$D$109+'Testes estatísticos'!$D$19)/2,"")</f>
        <v/>
      </c>
      <c r="P282" s="7" t="str">
        <f>IF(15&gt;=104,('Testes estatísticos'!$D$109+'Testes estatísticos'!$D$20)/2,"")</f>
        <v/>
      </c>
      <c r="Q282" s="7" t="str">
        <f>IF(16&gt;=104,('Testes estatísticos'!$D$109+'Testes estatísticos'!$D$21)/2,"")</f>
        <v/>
      </c>
      <c r="R282" s="7" t="str">
        <f>IF(17&gt;=104,('Testes estatísticos'!$D$109+'Testes estatísticos'!$D$22)/2,"")</f>
        <v/>
      </c>
      <c r="S282" s="7" t="str">
        <f>IF(18&gt;=104,('Testes estatísticos'!$D$109+'Testes estatísticos'!$D$23)/2,"")</f>
        <v/>
      </c>
      <c r="T282" s="7" t="str">
        <f>IF(19&gt;=104,('Testes estatísticos'!$D$109+'Testes estatísticos'!$D$24)/2,"")</f>
        <v/>
      </c>
      <c r="U282" s="7" t="str">
        <f>IF(20&gt;=104,('Testes estatísticos'!$D$109+'Testes estatísticos'!$D$25)/2,"")</f>
        <v/>
      </c>
      <c r="V282" s="7" t="str">
        <f>IF(21&gt;=104,('Testes estatísticos'!$D$109+'Testes estatísticos'!$D$26)/2,"")</f>
        <v/>
      </c>
      <c r="W282" s="7" t="str">
        <f>IF(22&gt;=104,('Testes estatísticos'!$D$109+'Testes estatísticos'!$D$27)/2,"")</f>
        <v/>
      </c>
      <c r="X282" s="7" t="str">
        <f>IF(23&gt;=104,('Testes estatísticos'!$D$109+'Testes estatísticos'!$D$28)/2,"")</f>
        <v/>
      </c>
      <c r="Y282" s="7" t="str">
        <f>IF(24&gt;=104,('Testes estatísticos'!$D$109+'Testes estatísticos'!$D$29)/2,"")</f>
        <v/>
      </c>
      <c r="Z282" s="7" t="str">
        <f>IF(25&gt;=104,('Testes estatísticos'!$D$109+'Testes estatísticos'!$D$30)/2,"")</f>
        <v/>
      </c>
      <c r="AA282" s="7" t="str">
        <f>IF(26&gt;=104,('Testes estatísticos'!$D$109+'Testes estatísticos'!$D$31)/2,"")</f>
        <v/>
      </c>
      <c r="AB282" s="7" t="str">
        <f>IF(27&gt;=104,('Testes estatísticos'!$D$109+'Testes estatísticos'!$D$32)/2,"")</f>
        <v/>
      </c>
      <c r="AC282" s="7" t="str">
        <f>IF(28&gt;=104,('Testes estatísticos'!$D$109+'Testes estatísticos'!$D$33)/2,"")</f>
        <v/>
      </c>
      <c r="AD282" s="7" t="str">
        <f>IF(29&gt;=104,('Testes estatísticos'!$D$109+'Testes estatísticos'!$D$34)/2,"")</f>
        <v/>
      </c>
      <c r="AE282" s="7" t="str">
        <f>IF(30&gt;=104,('Testes estatísticos'!$D$109+'Testes estatísticos'!$D$35)/2,"")</f>
        <v/>
      </c>
      <c r="AF282" s="7" t="str">
        <f>IF(31&gt;=104,('Testes estatísticos'!$D$109+'Testes estatísticos'!$D$36)/2,"")</f>
        <v/>
      </c>
      <c r="AG282" s="7" t="str">
        <f>IF(32&gt;=104,('Testes estatísticos'!$D$109+'Testes estatísticos'!$D$37)/2,"")</f>
        <v/>
      </c>
      <c r="AH282" s="7" t="str">
        <f>IF(33&gt;=104,('Testes estatísticos'!$D$109+'Testes estatísticos'!$D$38)/2,"")</f>
        <v/>
      </c>
      <c r="AI282" s="7" t="str">
        <f>IF(34&gt;=104,('Testes estatísticos'!$D$109+'Testes estatísticos'!$D$39)/2,"")</f>
        <v/>
      </c>
      <c r="AJ282" s="7" t="str">
        <f>IF(35&gt;=104,('Testes estatísticos'!$D$109+'Testes estatísticos'!$D$40)/2,"")</f>
        <v/>
      </c>
      <c r="AK282" s="7" t="str">
        <f>IF(36&gt;=104,('Testes estatísticos'!$D$109+'Testes estatísticos'!$D$41)/2,"")</f>
        <v/>
      </c>
      <c r="AL282" s="7" t="str">
        <f>IF(37&gt;=104,('Testes estatísticos'!$D$109+'Testes estatísticos'!$D$42)/2,"")</f>
        <v/>
      </c>
      <c r="AM282" s="7" t="str">
        <f>IF(38&gt;=104,('Testes estatísticos'!$D$109+'Testes estatísticos'!$D$43)/2,"")</f>
        <v/>
      </c>
      <c r="AN282" s="7" t="str">
        <f>IF(39&gt;=104,('Testes estatísticos'!$D$109+'Testes estatísticos'!$D$44)/2,"")</f>
        <v/>
      </c>
      <c r="AO282" s="7" t="str">
        <f>IF(40&gt;=104,('Testes estatísticos'!$D$109+'Testes estatísticos'!$D$45)/2,"")</f>
        <v/>
      </c>
      <c r="AP282" s="7" t="str">
        <f>IF(41&gt;=104,('Testes estatísticos'!$D$109+'Testes estatísticos'!$D$46)/2,"")</f>
        <v/>
      </c>
      <c r="AQ282" s="7" t="str">
        <f>IF(42&gt;=104,('Testes estatísticos'!$D$109+'Testes estatísticos'!$D$47)/2,"")</f>
        <v/>
      </c>
      <c r="AR282" s="7" t="str">
        <f>IF(43&gt;=104,('Testes estatísticos'!$D$109+'Testes estatísticos'!$D$48)/2,"")</f>
        <v/>
      </c>
      <c r="AS282" s="7" t="str">
        <f>IF(44&gt;=104,('Testes estatísticos'!$D$109+'Testes estatísticos'!$D$49)/2,"")</f>
        <v/>
      </c>
      <c r="AT282" s="7" t="str">
        <f>IF(45&gt;=104,('Testes estatísticos'!$D$109+'Testes estatísticos'!$D$50)/2,"")</f>
        <v/>
      </c>
      <c r="AU282" s="7" t="str">
        <f>IF(46&gt;=104,('Testes estatísticos'!$D$109+'Testes estatísticos'!$D$51)/2,"")</f>
        <v/>
      </c>
      <c r="AV282" s="7" t="str">
        <f>IF(47&gt;=104,('Testes estatísticos'!$D$109+'Testes estatísticos'!$D$52)/2,"")</f>
        <v/>
      </c>
      <c r="AW282" s="7" t="str">
        <f>IF(48&gt;=104,('Testes estatísticos'!$D$109+'Testes estatísticos'!$D$53)/2,"")</f>
        <v/>
      </c>
      <c r="AX282" s="7" t="str">
        <f>IF(49&gt;=104,('Testes estatísticos'!$D$109+'Testes estatísticos'!$D$54)/2,"")</f>
        <v/>
      </c>
      <c r="AY282" s="7" t="str">
        <f>IF(50&gt;=104,('Testes estatísticos'!$D$109+'Testes estatísticos'!$D$55)/2,"")</f>
        <v/>
      </c>
      <c r="AZ282" s="7" t="str">
        <f>IF(51&gt;=104,('Testes estatísticos'!$D$109+'Testes estatísticos'!$D$56)/2,"")</f>
        <v/>
      </c>
      <c r="BA282" s="7" t="str">
        <f>IF(52&gt;=104,('Testes estatísticos'!$D$109+'Testes estatísticos'!$D$57)/2,"")</f>
        <v/>
      </c>
      <c r="BB282" s="7" t="str">
        <f>IF(53&gt;=104,('Testes estatísticos'!$D$109+'Testes estatísticos'!$D$58)/2,"")</f>
        <v/>
      </c>
      <c r="BC282" s="7" t="str">
        <f>IF(54&gt;=104,('Testes estatísticos'!$D$109+'Testes estatísticos'!$D$59)/2,"")</f>
        <v/>
      </c>
      <c r="BD282" s="7" t="str">
        <f>IF(55&gt;=104,('Testes estatísticos'!$D$109+'Testes estatísticos'!$D$60)/2,"")</f>
        <v/>
      </c>
      <c r="BE282" s="7" t="str">
        <f>IF(56&gt;=104,('Testes estatísticos'!$D$109+'Testes estatísticos'!$D$61)/2,"")</f>
        <v/>
      </c>
      <c r="BF282" s="7" t="str">
        <f>IF(57&gt;=104,('Testes estatísticos'!$D$109+'Testes estatísticos'!$D$62)/2,"")</f>
        <v/>
      </c>
      <c r="BG282" s="7" t="str">
        <f>IF(58&gt;=104,('Testes estatísticos'!$D$109+'Testes estatísticos'!$D$63)/2,"")</f>
        <v/>
      </c>
      <c r="BH282" s="7" t="str">
        <f>IF(59&gt;=104,('Testes estatísticos'!$D$109+'Testes estatísticos'!$D$64)/2,"")</f>
        <v/>
      </c>
      <c r="BI282" s="7" t="str">
        <f>IF(60&gt;=104,('Testes estatísticos'!$D$109+'Testes estatísticos'!$D$65)/2,"")</f>
        <v/>
      </c>
      <c r="BJ282" s="7" t="str">
        <f>IF(61&gt;=104,('Testes estatísticos'!$D$109+'Testes estatísticos'!$D$66)/2,"")</f>
        <v/>
      </c>
      <c r="BK282" s="7" t="str">
        <f>IF(62&gt;=104,('Testes estatísticos'!$D$109+'Testes estatísticos'!$D$67)/2,"")</f>
        <v/>
      </c>
      <c r="BL282" s="7" t="str">
        <f>IF(63&gt;=104,('Testes estatísticos'!$D$109+'Testes estatísticos'!$D$68)/2,"")</f>
        <v/>
      </c>
      <c r="BM282" s="7" t="str">
        <f>IF(64&gt;=104,('Testes estatísticos'!$D$109+'Testes estatísticos'!$D$69)/2,"")</f>
        <v/>
      </c>
      <c r="BN282" s="7" t="str">
        <f>IF(65&gt;=104,('Testes estatísticos'!$D$109+'Testes estatísticos'!$D$70)/2,"")</f>
        <v/>
      </c>
      <c r="BO282" s="7" t="str">
        <f>IF(66&gt;=104,('Testes estatísticos'!$D$109+'Testes estatísticos'!$D$71)/2,"")</f>
        <v/>
      </c>
      <c r="BP282" s="7" t="str">
        <f>IF(67&gt;=104,('Testes estatísticos'!$D$109+'Testes estatísticos'!$D$72)/2,"")</f>
        <v/>
      </c>
      <c r="BQ282" s="7" t="str">
        <f>IF(68&gt;=104,('Testes estatísticos'!$D$109+'Testes estatísticos'!$D$73)/2,"")</f>
        <v/>
      </c>
      <c r="BR282" s="7" t="str">
        <f>IF(69&gt;=104,('Testes estatísticos'!$D$109+'Testes estatísticos'!$D$74)/2,"")</f>
        <v/>
      </c>
      <c r="BS282" s="7" t="str">
        <f>IF(70&gt;=104,('Testes estatísticos'!$D$109+'Testes estatísticos'!$D$75)/2,"")</f>
        <v/>
      </c>
      <c r="BT282" s="7" t="str">
        <f>IF(71&gt;=104,('Testes estatísticos'!$D$109+'Testes estatísticos'!$D$76)/2,"")</f>
        <v/>
      </c>
      <c r="BU282" s="7" t="str">
        <f>IF(72&gt;=104,('Testes estatísticos'!$D$109+'Testes estatísticos'!$D$77)/2,"")</f>
        <v/>
      </c>
      <c r="BV282" s="7" t="str">
        <f>IF(73&gt;=104,('Testes estatísticos'!$D$109+'Testes estatísticos'!$D$78)/2,"")</f>
        <v/>
      </c>
      <c r="BW282" s="7" t="str">
        <f>IF(74&gt;=104,('Testes estatísticos'!$D$109+'Testes estatísticos'!$D$79)/2,"")</f>
        <v/>
      </c>
      <c r="BX282" s="7" t="str">
        <f>IF(75&gt;=104,('Testes estatísticos'!$D$109+'Testes estatísticos'!$D$80)/2,"")</f>
        <v/>
      </c>
      <c r="BY282" s="7" t="str">
        <f>IF(76&gt;=104,('Testes estatísticos'!$D$109+'Testes estatísticos'!$D$81)/2,"")</f>
        <v/>
      </c>
      <c r="BZ282" s="7" t="str">
        <f>IF(77&gt;=104,('Testes estatísticos'!$D$109+'Testes estatísticos'!$D$82)/2,"")</f>
        <v/>
      </c>
      <c r="CA282" s="7" t="str">
        <f>IF(78&gt;=104,('Testes estatísticos'!$D$109+'Testes estatísticos'!$D$83)/2,"")</f>
        <v/>
      </c>
      <c r="CB282" s="7" t="str">
        <f>IF(79&gt;=104,('Testes estatísticos'!$D$109+'Testes estatísticos'!$D$84)/2,"")</f>
        <v/>
      </c>
      <c r="CC282" s="7" t="str">
        <f>IF(80&gt;=104,('Testes estatísticos'!$D$109+'Testes estatísticos'!$D$85)/2,"")</f>
        <v/>
      </c>
      <c r="CD282" s="7" t="str">
        <f>IF(81&gt;=104,('Testes estatísticos'!$D$109+'Testes estatísticos'!$D$86)/2,"")</f>
        <v/>
      </c>
      <c r="CE282" s="7" t="str">
        <f>IF(82&gt;=104,('Testes estatísticos'!$D$109+'Testes estatísticos'!$D$87)/2,"")</f>
        <v/>
      </c>
      <c r="CF282" s="7" t="str">
        <f>IF(83&gt;=104,('Testes estatísticos'!$D$109+'Testes estatísticos'!$D$88)/2,"")</f>
        <v/>
      </c>
      <c r="CG282" s="7" t="str">
        <f>IF(84&gt;=104,('Testes estatísticos'!$D$109+'Testes estatísticos'!$D$89)/2,"")</f>
        <v/>
      </c>
      <c r="CH282" s="7" t="str">
        <f>IF(85&gt;=104,('Testes estatísticos'!$D$109+'Testes estatísticos'!$D$90)/2,"")</f>
        <v/>
      </c>
      <c r="CI282" s="7" t="str">
        <f>IF(86&gt;=104,('Testes estatísticos'!$D$109+'Testes estatísticos'!$D$91)/2,"")</f>
        <v/>
      </c>
      <c r="CJ282" s="7" t="str">
        <f>IF(87&gt;=104,('Testes estatísticos'!$D$109+'Testes estatísticos'!$D$92)/2,"")</f>
        <v/>
      </c>
      <c r="CK282" s="7" t="str">
        <f>IF(88&gt;=104,('Testes estatísticos'!$D$109+'Testes estatísticos'!$D$93)/2,"")</f>
        <v/>
      </c>
      <c r="CL282" s="7" t="str">
        <f>IF(89&gt;=104,('Testes estatísticos'!$D$109+'Testes estatísticos'!$D$94)/2,"")</f>
        <v/>
      </c>
      <c r="CM282" s="7" t="str">
        <f>IF(90&gt;=104,('Testes estatísticos'!$D$109+'Testes estatísticos'!$D$95)/2,"")</f>
        <v/>
      </c>
      <c r="CN282" s="7" t="str">
        <f>IF(91&gt;=104,('Testes estatísticos'!$D$109+'Testes estatísticos'!$D$96)/2,"")</f>
        <v/>
      </c>
      <c r="CO282" s="7" t="str">
        <f>IF(92&gt;=104,('Testes estatísticos'!$D$109+'Testes estatísticos'!$D$97)/2,"")</f>
        <v/>
      </c>
      <c r="CP282" s="7" t="str">
        <f>IF(93&gt;=104,('Testes estatísticos'!$D$109+'Testes estatísticos'!$D$98)/2,"")</f>
        <v/>
      </c>
      <c r="CQ282" s="7" t="str">
        <f>IF(94&gt;=104,('Testes estatísticos'!$D$109+'Testes estatísticos'!$D$99)/2,"")</f>
        <v/>
      </c>
      <c r="CR282" s="7" t="str">
        <f>IF(95&gt;=104,('Testes estatísticos'!$D$109+'Testes estatísticos'!$D$100)/2,"")</f>
        <v/>
      </c>
      <c r="CS282" s="7" t="str">
        <f>IF(96&gt;=104,('Testes estatísticos'!$D$109+'Testes estatísticos'!$D$101)/2,"")</f>
        <v/>
      </c>
      <c r="CT282" s="7" t="str">
        <f>IF(97&gt;=104,('Testes estatísticos'!$D$109+'Testes estatísticos'!$D$102)/2,"")</f>
        <v/>
      </c>
      <c r="CU282" s="7" t="str">
        <f>IF(98&gt;=104,('Testes estatísticos'!$D$109+'Testes estatísticos'!$D$103)/2,"")</f>
        <v/>
      </c>
      <c r="CV282" s="7" t="str">
        <f>IF(99&gt;=104,('Testes estatísticos'!$D$109+'Testes estatísticos'!$D$104)/2,"")</f>
        <v/>
      </c>
      <c r="CW282" s="7" t="str">
        <f>IF(100&gt;=104,('Testes estatísticos'!$D$109+'Testes estatísticos'!$D$105)/2,"")</f>
        <v/>
      </c>
      <c r="CX282" s="7" t="str">
        <f>IF(101&gt;=104,('Testes estatísticos'!$D$109+'Testes estatísticos'!$D$106)/2,"")</f>
        <v/>
      </c>
      <c r="CY282" s="7" t="str">
        <f>IF(102&gt;=104,('Testes estatísticos'!$D$109+'Testes estatísticos'!$D$107)/2,"")</f>
        <v/>
      </c>
      <c r="CZ282" s="7" t="str">
        <f>IF(103&gt;=104,('Testes estatísticos'!$D$109+'Testes estatísticos'!$D$108)/2,"")</f>
        <v/>
      </c>
      <c r="DA282" s="7">
        <f>IF(104&gt;=104,('Testes estatísticos'!$D$109+'Testes estatísticos'!$D$109)/2,"")</f>
        <v>-3.869454999999995</v>
      </c>
      <c r="DB282" s="7">
        <f>IF(105&gt;=104,('Testes estatísticos'!$D$109+'Testes estatísticos'!$D$110)/2,"")</f>
        <v>-3.8351239999999969</v>
      </c>
      <c r="DC282" s="7">
        <f>IF(106&gt;=104,('Testes estatísticos'!$D$109+'Testes estatísticos'!$D$111)/2,"")</f>
        <v>-3.0922029999999978</v>
      </c>
      <c r="DD282" s="7">
        <f>IF(107&gt;=104,('Testes estatísticos'!$D$109+'Testes estatísticos'!$D$112)/2,"")</f>
        <v>0.40096800000000243</v>
      </c>
      <c r="DE282" s="7">
        <f>IF(108&gt;=104,('Testes estatísticos'!$D$109+'Testes estatísticos'!$D$113)/2,"")</f>
        <v>-3.021667499999996</v>
      </c>
      <c r="DF282" s="7">
        <f>IF(109&gt;=104,('Testes estatísticos'!$D$109+'Testes estatísticos'!$D$114)/2,"")</f>
        <v>-3.057924499999995</v>
      </c>
      <c r="DG282" s="7">
        <f>IF(110&gt;=104,('Testes estatísticos'!$D$109+'Testes estatísticos'!$D$115)/2,"")</f>
        <v>-8.6050639999999987</v>
      </c>
      <c r="DH282" s="7">
        <f>IF(111&gt;=104,('Testes estatísticos'!$D$109+'Testes estatísticos'!$D$116)/2,"")</f>
        <v>-2.9242334999999962</v>
      </c>
      <c r="DI282" s="7">
        <f>IF(112&gt;=104,('Testes estatísticos'!$D$109+'Testes estatísticos'!$D$117)/2,"")</f>
        <v>2.5042065000000022</v>
      </c>
      <c r="DJ282" s="7">
        <f>IF(113&gt;=104,('Testes estatísticos'!$D$109+'Testes estatísticos'!$D$118)/2,"")</f>
        <v>-2.9523504999999979</v>
      </c>
      <c r="DK282" s="7">
        <f>IF(114&gt;=104,('Testes estatísticos'!$D$109+'Testes estatísticos'!$D$119)/2,"")</f>
        <v>-3.054100499999997</v>
      </c>
      <c r="DL282" s="7">
        <f>IF(115&gt;=104,('Testes estatísticos'!$D$109+'Testes estatísticos'!$D$120)/2,"")</f>
        <v>-3.0076229999999953</v>
      </c>
      <c r="DM282" s="7">
        <f>IF(116&gt;=104,('Testes estatísticos'!$D$109+'Testes estatísticos'!$D$121)/2,"")</f>
        <v>-2.9990204999999968</v>
      </c>
      <c r="DN282" s="7">
        <f>IF(117&gt;=104,('Testes estatísticos'!$D$109+'Testes estatísticos'!$D$122)/2,"")</f>
        <v>-2.9759524999999982</v>
      </c>
      <c r="DO282" s="7">
        <f>IF(118&gt;=104,('Testes estatísticos'!$D$109+'Testes estatísticos'!$D$123)/2,"")</f>
        <v>-2.9260419999999989</v>
      </c>
      <c r="DP282" s="7">
        <f>IF(119&gt;=104,('Testes estatísticos'!$D$109+'Testes estatísticos'!$D$124)/2,"")</f>
        <v>-2.9472534999999986</v>
      </c>
      <c r="DQ282" s="7">
        <f>IF(120&gt;=104,('Testes estatísticos'!$D$109+'Testes estatísticos'!$D$125)/2,"")</f>
        <v>0.10436100000000437</v>
      </c>
      <c r="DR282" s="7">
        <f>IF(121&gt;=104,('Testes estatísticos'!$D$109+'Testes estatísticos'!$D$126)/2,"")</f>
        <v>-2.6846554999999981</v>
      </c>
      <c r="DS282" s="7">
        <f>IF(122&gt;=104,('Testes estatísticos'!$D$109+'Testes estatísticos'!$D$127)/2,"")</f>
        <v>-3.7500639999999947</v>
      </c>
      <c r="DT282" s="7">
        <f>IF(123&gt;=104,('Testes estatísticos'!$D$109+'Testes estatísticos'!$D$128)/2,"")</f>
        <v>2.3188054999999999</v>
      </c>
      <c r="DU282" s="7">
        <f>IF(124&gt;=104,('Testes estatísticos'!$D$109+'Testes estatísticos'!$D$129)/2,"")</f>
        <v>-2.5769659999999988</v>
      </c>
      <c r="DV282" s="7">
        <f>IF(125&gt;=104,('Testes estatísticos'!$D$109+'Testes estatísticos'!$D$130)/2,"")</f>
        <v>-1.4186584999999994</v>
      </c>
      <c r="DW282" s="7">
        <f>IF(126&gt;=104,('Testes estatísticos'!$D$109+'Testes estatísticos'!$D$131)/2,"")</f>
        <v>-3.8221344999999971</v>
      </c>
      <c r="DX282" s="7">
        <f>IF(127&gt;=104,('Testes estatísticos'!$D$109+'Testes estatísticos'!$D$132)/2,"")</f>
        <v>-5.8783259999999977</v>
      </c>
      <c r="DY282" s="7">
        <f>IF(128&gt;=104,('Testes estatísticos'!$D$109+'Testes estatísticos'!$D$133)/2,"")</f>
        <v>-6.2194154999999967</v>
      </c>
      <c r="DZ282" s="7">
        <f>IF(129&gt;=104,('Testes estatísticos'!$D$109+'Testes estatísticos'!$D$134)/2,"")</f>
        <v>-9.643205499999997</v>
      </c>
      <c r="EA282" s="7">
        <f>IF(130&gt;=104,('Testes estatísticos'!$D$109+'Testes estatísticos'!$D$135)/2,"")</f>
        <v>-3.8814354999999949</v>
      </c>
      <c r="EB282" s="7">
        <f>IF(131&gt;=104,('Testes estatísticos'!$D$109+'Testes estatísticos'!$D$136)/2,"")</f>
        <v>-3.7935625000000002</v>
      </c>
      <c r="EC282" s="7">
        <f>IF(132&gt;=104,('Testes estatísticos'!$D$109+'Testes estatísticos'!$D$137)/2,"")</f>
        <v>-5.2802989999999994</v>
      </c>
      <c r="ED282" s="7">
        <f>IF(133&gt;=104,('Testes estatísticos'!$D$109+'Testes estatísticos'!$D$138)/2,"")</f>
        <v>-3.0913614999999979</v>
      </c>
      <c r="EE282" s="7">
        <f>IF(134&gt;=104,('Testes estatísticos'!$D$109+'Testes estatísticos'!$D$139)/2,"")</f>
        <v>-5.3885520000000007</v>
      </c>
      <c r="EF282" s="7">
        <f>IF(135&gt;=104,('Testes estatísticos'!$D$109+'Testes estatísticos'!$D$140)/2,"")</f>
        <v>-2.1741194999999962</v>
      </c>
      <c r="EG282" s="7">
        <f>IF(136&gt;=104,('Testes estatísticos'!$D$109+'Testes estatísticos'!$D$141)/2,"")</f>
        <v>-3.8676095000000004</v>
      </c>
      <c r="EH282" s="7">
        <f>IF(137&gt;=104,('Testes estatísticos'!$D$109+'Testes estatísticos'!$D$142)/2,"")</f>
        <v>-2.1628694999999993</v>
      </c>
      <c r="EI282" s="7">
        <f>IF(138&gt;=104,('Testes estatísticos'!$D$109+'Testes estatísticos'!$D$143)/2,"")</f>
        <v>-3.8278849999999949</v>
      </c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</row>
    <row r="283" spans="2:151" x14ac:dyDescent="0.3">
      <c r="B283" s="7" t="str">
        <f>IF(1&gt;=105,('Testes estatísticos'!$D$110+'Testes estatísticos'!$D$6)/2,"")</f>
        <v/>
      </c>
      <c r="C283" s="7" t="str">
        <f>IF(2&gt;=105,('Testes estatísticos'!$D$110+'Testes estatísticos'!$D$7)/2,"")</f>
        <v/>
      </c>
      <c r="D283" s="7" t="str">
        <f>IF(3&gt;=105,('Testes estatísticos'!$D$110+'Testes estatísticos'!$D$8)/2,"")</f>
        <v/>
      </c>
      <c r="E283" s="7" t="str">
        <f>IF(4&gt;=105,('Testes estatísticos'!$D$110+'Testes estatísticos'!$D$9)/2,"")</f>
        <v/>
      </c>
      <c r="F283" s="7" t="str">
        <f>IF(5&gt;=105,('Testes estatísticos'!$D$110+'Testes estatísticos'!$D$10)/2,"")</f>
        <v/>
      </c>
      <c r="G283" s="7" t="str">
        <f>IF(6&gt;=105,('Testes estatísticos'!$D$110+'Testes estatísticos'!$D$11)/2,"")</f>
        <v/>
      </c>
      <c r="H283" s="7" t="str">
        <f>IF(7&gt;=105,('Testes estatísticos'!$D$110+'Testes estatísticos'!$D$12)/2,"")</f>
        <v/>
      </c>
      <c r="I283" s="7" t="str">
        <f>IF(8&gt;=105,('Testes estatísticos'!$D$110+'Testes estatísticos'!$D$13)/2,"")</f>
        <v/>
      </c>
      <c r="J283" s="7" t="str">
        <f>IF(9&gt;=105,('Testes estatísticos'!$D$110+'Testes estatísticos'!$D$14)/2,"")</f>
        <v/>
      </c>
      <c r="K283" s="7" t="str">
        <f>IF(10&gt;=105,('Testes estatísticos'!$D$110+'Testes estatísticos'!$D$15)/2,"")</f>
        <v/>
      </c>
      <c r="L283" s="7" t="str">
        <f>IF(11&gt;=105,('Testes estatísticos'!$D$110+'Testes estatísticos'!$D$16)/2,"")</f>
        <v/>
      </c>
      <c r="M283" s="7" t="str">
        <f>IF(12&gt;=105,('Testes estatísticos'!$D$110+'Testes estatísticos'!$D$17)/2,"")</f>
        <v/>
      </c>
      <c r="N283" s="7" t="str">
        <f>IF(13&gt;=105,('Testes estatísticos'!$D$110+'Testes estatísticos'!$D$18)/2,"")</f>
        <v/>
      </c>
      <c r="O283" s="7" t="str">
        <f>IF(14&gt;=105,('Testes estatísticos'!$D$110+'Testes estatísticos'!$D$19)/2,"")</f>
        <v/>
      </c>
      <c r="P283" s="7" t="str">
        <f>IF(15&gt;=105,('Testes estatísticos'!$D$110+'Testes estatísticos'!$D$20)/2,"")</f>
        <v/>
      </c>
      <c r="Q283" s="7" t="str">
        <f>IF(16&gt;=105,('Testes estatísticos'!$D$110+'Testes estatísticos'!$D$21)/2,"")</f>
        <v/>
      </c>
      <c r="R283" s="7" t="str">
        <f>IF(17&gt;=105,('Testes estatísticos'!$D$110+'Testes estatísticos'!$D$22)/2,"")</f>
        <v/>
      </c>
      <c r="S283" s="7" t="str">
        <f>IF(18&gt;=105,('Testes estatísticos'!$D$110+'Testes estatísticos'!$D$23)/2,"")</f>
        <v/>
      </c>
      <c r="T283" s="7" t="str">
        <f>IF(19&gt;=105,('Testes estatísticos'!$D$110+'Testes estatísticos'!$D$24)/2,"")</f>
        <v/>
      </c>
      <c r="U283" s="7" t="str">
        <f>IF(20&gt;=105,('Testes estatísticos'!$D$110+'Testes estatísticos'!$D$25)/2,"")</f>
        <v/>
      </c>
      <c r="V283" s="7" t="str">
        <f>IF(21&gt;=105,('Testes estatísticos'!$D$110+'Testes estatísticos'!$D$26)/2,"")</f>
        <v/>
      </c>
      <c r="W283" s="7" t="str">
        <f>IF(22&gt;=105,('Testes estatísticos'!$D$110+'Testes estatísticos'!$D$27)/2,"")</f>
        <v/>
      </c>
      <c r="X283" s="7" t="str">
        <f>IF(23&gt;=105,('Testes estatísticos'!$D$110+'Testes estatísticos'!$D$28)/2,"")</f>
        <v/>
      </c>
      <c r="Y283" s="7" t="str">
        <f>IF(24&gt;=105,('Testes estatísticos'!$D$110+'Testes estatísticos'!$D$29)/2,"")</f>
        <v/>
      </c>
      <c r="Z283" s="7" t="str">
        <f>IF(25&gt;=105,('Testes estatísticos'!$D$110+'Testes estatísticos'!$D$30)/2,"")</f>
        <v/>
      </c>
      <c r="AA283" s="7" t="str">
        <f>IF(26&gt;=105,('Testes estatísticos'!$D$110+'Testes estatísticos'!$D$31)/2,"")</f>
        <v/>
      </c>
      <c r="AB283" s="7" t="str">
        <f>IF(27&gt;=105,('Testes estatísticos'!$D$110+'Testes estatísticos'!$D$32)/2,"")</f>
        <v/>
      </c>
      <c r="AC283" s="7" t="str">
        <f>IF(28&gt;=105,('Testes estatísticos'!$D$110+'Testes estatísticos'!$D$33)/2,"")</f>
        <v/>
      </c>
      <c r="AD283" s="7" t="str">
        <f>IF(29&gt;=105,('Testes estatísticos'!$D$110+'Testes estatísticos'!$D$34)/2,"")</f>
        <v/>
      </c>
      <c r="AE283" s="7" t="str">
        <f>IF(30&gt;=105,('Testes estatísticos'!$D$110+'Testes estatísticos'!$D$35)/2,"")</f>
        <v/>
      </c>
      <c r="AF283" s="7" t="str">
        <f>IF(31&gt;=105,('Testes estatísticos'!$D$110+'Testes estatísticos'!$D$36)/2,"")</f>
        <v/>
      </c>
      <c r="AG283" s="7" t="str">
        <f>IF(32&gt;=105,('Testes estatísticos'!$D$110+'Testes estatísticos'!$D$37)/2,"")</f>
        <v/>
      </c>
      <c r="AH283" s="7" t="str">
        <f>IF(33&gt;=105,('Testes estatísticos'!$D$110+'Testes estatísticos'!$D$38)/2,"")</f>
        <v/>
      </c>
      <c r="AI283" s="7" t="str">
        <f>IF(34&gt;=105,('Testes estatísticos'!$D$110+'Testes estatísticos'!$D$39)/2,"")</f>
        <v/>
      </c>
      <c r="AJ283" s="7" t="str">
        <f>IF(35&gt;=105,('Testes estatísticos'!$D$110+'Testes estatísticos'!$D$40)/2,"")</f>
        <v/>
      </c>
      <c r="AK283" s="7" t="str">
        <f>IF(36&gt;=105,('Testes estatísticos'!$D$110+'Testes estatísticos'!$D$41)/2,"")</f>
        <v/>
      </c>
      <c r="AL283" s="7" t="str">
        <f>IF(37&gt;=105,('Testes estatísticos'!$D$110+'Testes estatísticos'!$D$42)/2,"")</f>
        <v/>
      </c>
      <c r="AM283" s="7" t="str">
        <f>IF(38&gt;=105,('Testes estatísticos'!$D$110+'Testes estatísticos'!$D$43)/2,"")</f>
        <v/>
      </c>
      <c r="AN283" s="7" t="str">
        <f>IF(39&gt;=105,('Testes estatísticos'!$D$110+'Testes estatísticos'!$D$44)/2,"")</f>
        <v/>
      </c>
      <c r="AO283" s="7" t="str">
        <f>IF(40&gt;=105,('Testes estatísticos'!$D$110+'Testes estatísticos'!$D$45)/2,"")</f>
        <v/>
      </c>
      <c r="AP283" s="7" t="str">
        <f>IF(41&gt;=105,('Testes estatísticos'!$D$110+'Testes estatísticos'!$D$46)/2,"")</f>
        <v/>
      </c>
      <c r="AQ283" s="7" t="str">
        <f>IF(42&gt;=105,('Testes estatísticos'!$D$110+'Testes estatísticos'!$D$47)/2,"")</f>
        <v/>
      </c>
      <c r="AR283" s="7" t="str">
        <f>IF(43&gt;=105,('Testes estatísticos'!$D$110+'Testes estatísticos'!$D$48)/2,"")</f>
        <v/>
      </c>
      <c r="AS283" s="7" t="str">
        <f>IF(44&gt;=105,('Testes estatísticos'!$D$110+'Testes estatísticos'!$D$49)/2,"")</f>
        <v/>
      </c>
      <c r="AT283" s="7" t="str">
        <f>IF(45&gt;=105,('Testes estatísticos'!$D$110+'Testes estatísticos'!$D$50)/2,"")</f>
        <v/>
      </c>
      <c r="AU283" s="7" t="str">
        <f>IF(46&gt;=105,('Testes estatísticos'!$D$110+'Testes estatísticos'!$D$51)/2,"")</f>
        <v/>
      </c>
      <c r="AV283" s="7" t="str">
        <f>IF(47&gt;=105,('Testes estatísticos'!$D$110+'Testes estatísticos'!$D$52)/2,"")</f>
        <v/>
      </c>
      <c r="AW283" s="7" t="str">
        <f>IF(48&gt;=105,('Testes estatísticos'!$D$110+'Testes estatísticos'!$D$53)/2,"")</f>
        <v/>
      </c>
      <c r="AX283" s="7" t="str">
        <f>IF(49&gt;=105,('Testes estatísticos'!$D$110+'Testes estatísticos'!$D$54)/2,"")</f>
        <v/>
      </c>
      <c r="AY283" s="7" t="str">
        <f>IF(50&gt;=105,('Testes estatísticos'!$D$110+'Testes estatísticos'!$D$55)/2,"")</f>
        <v/>
      </c>
      <c r="AZ283" s="7" t="str">
        <f>IF(51&gt;=105,('Testes estatísticos'!$D$110+'Testes estatísticos'!$D$56)/2,"")</f>
        <v/>
      </c>
      <c r="BA283" s="7" t="str">
        <f>IF(52&gt;=105,('Testes estatísticos'!$D$110+'Testes estatísticos'!$D$57)/2,"")</f>
        <v/>
      </c>
      <c r="BB283" s="7" t="str">
        <f>IF(53&gt;=105,('Testes estatísticos'!$D$110+'Testes estatísticos'!$D$58)/2,"")</f>
        <v/>
      </c>
      <c r="BC283" s="7" t="str">
        <f>IF(54&gt;=105,('Testes estatísticos'!$D$110+'Testes estatísticos'!$D$59)/2,"")</f>
        <v/>
      </c>
      <c r="BD283" s="7" t="str">
        <f>IF(55&gt;=105,('Testes estatísticos'!$D$110+'Testes estatísticos'!$D$60)/2,"")</f>
        <v/>
      </c>
      <c r="BE283" s="7" t="str">
        <f>IF(56&gt;=105,('Testes estatísticos'!$D$110+'Testes estatísticos'!$D$61)/2,"")</f>
        <v/>
      </c>
      <c r="BF283" s="7" t="str">
        <f>IF(57&gt;=105,('Testes estatísticos'!$D$110+'Testes estatísticos'!$D$62)/2,"")</f>
        <v/>
      </c>
      <c r="BG283" s="7" t="str">
        <f>IF(58&gt;=105,('Testes estatísticos'!$D$110+'Testes estatísticos'!$D$63)/2,"")</f>
        <v/>
      </c>
      <c r="BH283" s="7" t="str">
        <f>IF(59&gt;=105,('Testes estatísticos'!$D$110+'Testes estatísticos'!$D$64)/2,"")</f>
        <v/>
      </c>
      <c r="BI283" s="7" t="str">
        <f>IF(60&gt;=105,('Testes estatísticos'!$D$110+'Testes estatísticos'!$D$65)/2,"")</f>
        <v/>
      </c>
      <c r="BJ283" s="7" t="str">
        <f>IF(61&gt;=105,('Testes estatísticos'!$D$110+'Testes estatísticos'!$D$66)/2,"")</f>
        <v/>
      </c>
      <c r="BK283" s="7" t="str">
        <f>IF(62&gt;=105,('Testes estatísticos'!$D$110+'Testes estatísticos'!$D$67)/2,"")</f>
        <v/>
      </c>
      <c r="BL283" s="7" t="str">
        <f>IF(63&gt;=105,('Testes estatísticos'!$D$110+'Testes estatísticos'!$D$68)/2,"")</f>
        <v/>
      </c>
      <c r="BM283" s="7" t="str">
        <f>IF(64&gt;=105,('Testes estatísticos'!$D$110+'Testes estatísticos'!$D$69)/2,"")</f>
        <v/>
      </c>
      <c r="BN283" s="7" t="str">
        <f>IF(65&gt;=105,('Testes estatísticos'!$D$110+'Testes estatísticos'!$D$70)/2,"")</f>
        <v/>
      </c>
      <c r="BO283" s="7" t="str">
        <f>IF(66&gt;=105,('Testes estatísticos'!$D$110+'Testes estatísticos'!$D$71)/2,"")</f>
        <v/>
      </c>
      <c r="BP283" s="7" t="str">
        <f>IF(67&gt;=105,('Testes estatísticos'!$D$110+'Testes estatísticos'!$D$72)/2,"")</f>
        <v/>
      </c>
      <c r="BQ283" s="7" t="str">
        <f>IF(68&gt;=105,('Testes estatísticos'!$D$110+'Testes estatísticos'!$D$73)/2,"")</f>
        <v/>
      </c>
      <c r="BR283" s="7" t="str">
        <f>IF(69&gt;=105,('Testes estatísticos'!$D$110+'Testes estatísticos'!$D$74)/2,"")</f>
        <v/>
      </c>
      <c r="BS283" s="7" t="str">
        <f>IF(70&gt;=105,('Testes estatísticos'!$D$110+'Testes estatísticos'!$D$75)/2,"")</f>
        <v/>
      </c>
      <c r="BT283" s="7" t="str">
        <f>IF(71&gt;=105,('Testes estatísticos'!$D$110+'Testes estatísticos'!$D$76)/2,"")</f>
        <v/>
      </c>
      <c r="BU283" s="7" t="str">
        <f>IF(72&gt;=105,('Testes estatísticos'!$D$110+'Testes estatísticos'!$D$77)/2,"")</f>
        <v/>
      </c>
      <c r="BV283" s="7" t="str">
        <f>IF(73&gt;=105,('Testes estatísticos'!$D$110+'Testes estatísticos'!$D$78)/2,"")</f>
        <v/>
      </c>
      <c r="BW283" s="7" t="str">
        <f>IF(74&gt;=105,('Testes estatísticos'!$D$110+'Testes estatísticos'!$D$79)/2,"")</f>
        <v/>
      </c>
      <c r="BX283" s="7" t="str">
        <f>IF(75&gt;=105,('Testes estatísticos'!$D$110+'Testes estatísticos'!$D$80)/2,"")</f>
        <v/>
      </c>
      <c r="BY283" s="7" t="str">
        <f>IF(76&gt;=105,('Testes estatísticos'!$D$110+'Testes estatísticos'!$D$81)/2,"")</f>
        <v/>
      </c>
      <c r="BZ283" s="7" t="str">
        <f>IF(77&gt;=105,('Testes estatísticos'!$D$110+'Testes estatísticos'!$D$82)/2,"")</f>
        <v/>
      </c>
      <c r="CA283" s="7" t="str">
        <f>IF(78&gt;=105,('Testes estatísticos'!$D$110+'Testes estatísticos'!$D$83)/2,"")</f>
        <v/>
      </c>
      <c r="CB283" s="7" t="str">
        <f>IF(79&gt;=105,('Testes estatísticos'!$D$110+'Testes estatísticos'!$D$84)/2,"")</f>
        <v/>
      </c>
      <c r="CC283" s="7" t="str">
        <f>IF(80&gt;=105,('Testes estatísticos'!$D$110+'Testes estatísticos'!$D$85)/2,"")</f>
        <v/>
      </c>
      <c r="CD283" s="7" t="str">
        <f>IF(81&gt;=105,('Testes estatísticos'!$D$110+'Testes estatísticos'!$D$86)/2,"")</f>
        <v/>
      </c>
      <c r="CE283" s="7" t="str">
        <f>IF(82&gt;=105,('Testes estatísticos'!$D$110+'Testes estatísticos'!$D$87)/2,"")</f>
        <v/>
      </c>
      <c r="CF283" s="7" t="str">
        <f>IF(83&gt;=105,('Testes estatísticos'!$D$110+'Testes estatísticos'!$D$88)/2,"")</f>
        <v/>
      </c>
      <c r="CG283" s="7" t="str">
        <f>IF(84&gt;=105,('Testes estatísticos'!$D$110+'Testes estatísticos'!$D$89)/2,"")</f>
        <v/>
      </c>
      <c r="CH283" s="7" t="str">
        <f>IF(85&gt;=105,('Testes estatísticos'!$D$110+'Testes estatísticos'!$D$90)/2,"")</f>
        <v/>
      </c>
      <c r="CI283" s="7" t="str">
        <f>IF(86&gt;=105,('Testes estatísticos'!$D$110+'Testes estatísticos'!$D$91)/2,"")</f>
        <v/>
      </c>
      <c r="CJ283" s="7" t="str">
        <f>IF(87&gt;=105,('Testes estatísticos'!$D$110+'Testes estatísticos'!$D$92)/2,"")</f>
        <v/>
      </c>
      <c r="CK283" s="7" t="str">
        <f>IF(88&gt;=105,('Testes estatísticos'!$D$110+'Testes estatísticos'!$D$93)/2,"")</f>
        <v/>
      </c>
      <c r="CL283" s="7" t="str">
        <f>IF(89&gt;=105,('Testes estatísticos'!$D$110+'Testes estatísticos'!$D$94)/2,"")</f>
        <v/>
      </c>
      <c r="CM283" s="7" t="str">
        <f>IF(90&gt;=105,('Testes estatísticos'!$D$110+'Testes estatísticos'!$D$95)/2,"")</f>
        <v/>
      </c>
      <c r="CN283" s="7" t="str">
        <f>IF(91&gt;=105,('Testes estatísticos'!$D$110+'Testes estatísticos'!$D$96)/2,"")</f>
        <v/>
      </c>
      <c r="CO283" s="7" t="str">
        <f>IF(92&gt;=105,('Testes estatísticos'!$D$110+'Testes estatísticos'!$D$97)/2,"")</f>
        <v/>
      </c>
      <c r="CP283" s="7" t="str">
        <f>IF(93&gt;=105,('Testes estatísticos'!$D$110+'Testes estatísticos'!$D$98)/2,"")</f>
        <v/>
      </c>
      <c r="CQ283" s="7" t="str">
        <f>IF(94&gt;=105,('Testes estatísticos'!$D$110+'Testes estatísticos'!$D$99)/2,"")</f>
        <v/>
      </c>
      <c r="CR283" s="7" t="str">
        <f>IF(95&gt;=105,('Testes estatísticos'!$D$110+'Testes estatísticos'!$D$100)/2,"")</f>
        <v/>
      </c>
      <c r="CS283" s="7" t="str">
        <f>IF(96&gt;=105,('Testes estatísticos'!$D$110+'Testes estatísticos'!$D$101)/2,"")</f>
        <v/>
      </c>
      <c r="CT283" s="7" t="str">
        <f>IF(97&gt;=105,('Testes estatísticos'!$D$110+'Testes estatísticos'!$D$102)/2,"")</f>
        <v/>
      </c>
      <c r="CU283" s="7" t="str">
        <f>IF(98&gt;=105,('Testes estatísticos'!$D$110+'Testes estatísticos'!$D$103)/2,"")</f>
        <v/>
      </c>
      <c r="CV283" s="7" t="str">
        <f>IF(99&gt;=105,('Testes estatísticos'!$D$110+'Testes estatísticos'!$D$104)/2,"")</f>
        <v/>
      </c>
      <c r="CW283" s="7" t="str">
        <f>IF(100&gt;=105,('Testes estatísticos'!$D$110+'Testes estatísticos'!$D$105)/2,"")</f>
        <v/>
      </c>
      <c r="CX283" s="7" t="str">
        <f>IF(101&gt;=105,('Testes estatísticos'!$D$110+'Testes estatísticos'!$D$106)/2,"")</f>
        <v/>
      </c>
      <c r="CY283" s="7" t="str">
        <f>IF(102&gt;=105,('Testes estatísticos'!$D$110+'Testes estatísticos'!$D$107)/2,"")</f>
        <v/>
      </c>
      <c r="CZ283" s="7" t="str">
        <f>IF(103&gt;=105,('Testes estatísticos'!$D$110+'Testes estatísticos'!$D$108)/2,"")</f>
        <v/>
      </c>
      <c r="DA283" s="7" t="str">
        <f>IF(104&gt;=105,('Testes estatísticos'!$D$110+'Testes estatísticos'!$D$109)/2,"")</f>
        <v/>
      </c>
      <c r="DB283" s="7">
        <f>IF(105&gt;=105,('Testes estatísticos'!$D$110+'Testes estatísticos'!$D$110)/2,"")</f>
        <v>-3.8007929999999988</v>
      </c>
      <c r="DC283" s="7">
        <f>IF(106&gt;=105,('Testes estatísticos'!$D$110+'Testes estatísticos'!$D$111)/2,"")</f>
        <v>-3.0578719999999997</v>
      </c>
      <c r="DD283" s="7">
        <f>IF(107&gt;=105,('Testes estatísticos'!$D$110+'Testes estatísticos'!$D$112)/2,"")</f>
        <v>0.43529900000000055</v>
      </c>
      <c r="DE283" s="7">
        <f>IF(108&gt;=105,('Testes estatísticos'!$D$110+'Testes estatísticos'!$D$113)/2,"")</f>
        <v>-2.9873364999999978</v>
      </c>
      <c r="DF283" s="7">
        <f>IF(109&gt;=105,('Testes estatísticos'!$D$110+'Testes estatísticos'!$D$114)/2,"")</f>
        <v>-3.0235934999999969</v>
      </c>
      <c r="DG283" s="7">
        <f>IF(110&gt;=105,('Testes estatísticos'!$D$110+'Testes estatísticos'!$D$115)/2,"")</f>
        <v>-8.5707330000000006</v>
      </c>
      <c r="DH283" s="7">
        <f>IF(111&gt;=105,('Testes estatísticos'!$D$110+'Testes estatísticos'!$D$116)/2,"")</f>
        <v>-2.889902499999998</v>
      </c>
      <c r="DI283" s="7">
        <f>IF(112&gt;=105,('Testes estatísticos'!$D$110+'Testes estatísticos'!$D$117)/2,"")</f>
        <v>2.5385375000000003</v>
      </c>
      <c r="DJ283" s="7">
        <f>IF(113&gt;=105,('Testes estatísticos'!$D$110+'Testes estatísticos'!$D$118)/2,"")</f>
        <v>-2.9180194999999998</v>
      </c>
      <c r="DK283" s="7">
        <f>IF(114&gt;=105,('Testes estatísticos'!$D$110+'Testes estatísticos'!$D$119)/2,"")</f>
        <v>-3.0197694999999989</v>
      </c>
      <c r="DL283" s="7">
        <f>IF(115&gt;=105,('Testes estatísticos'!$D$110+'Testes estatísticos'!$D$120)/2,"")</f>
        <v>-2.9732919999999972</v>
      </c>
      <c r="DM283" s="7">
        <f>IF(116&gt;=105,('Testes estatísticos'!$D$110+'Testes estatísticos'!$D$121)/2,"")</f>
        <v>-2.9646894999999986</v>
      </c>
      <c r="DN283" s="7">
        <f>IF(117&gt;=105,('Testes estatísticos'!$D$110+'Testes estatísticos'!$D$122)/2,"")</f>
        <v>-2.9416215000000001</v>
      </c>
      <c r="DO283" s="7">
        <f>IF(118&gt;=105,('Testes estatísticos'!$D$110+'Testes estatísticos'!$D$123)/2,"")</f>
        <v>-2.8917110000000008</v>
      </c>
      <c r="DP283" s="7">
        <f>IF(119&gt;=105,('Testes estatísticos'!$D$110+'Testes estatísticos'!$D$124)/2,"")</f>
        <v>-2.9129225000000005</v>
      </c>
      <c r="DQ283" s="7">
        <f>IF(120&gt;=105,('Testes estatísticos'!$D$110+'Testes estatísticos'!$D$125)/2,"")</f>
        <v>0.13869200000000248</v>
      </c>
      <c r="DR283" s="7">
        <f>IF(121&gt;=105,('Testes estatísticos'!$D$110+'Testes estatísticos'!$D$126)/2,"")</f>
        <v>-2.6503245</v>
      </c>
      <c r="DS283" s="7">
        <f>IF(122&gt;=105,('Testes estatísticos'!$D$110+'Testes estatísticos'!$D$127)/2,"")</f>
        <v>-3.7157329999999966</v>
      </c>
      <c r="DT283" s="7">
        <f>IF(123&gt;=105,('Testes estatísticos'!$D$110+'Testes estatísticos'!$D$128)/2,"")</f>
        <v>2.353136499999998</v>
      </c>
      <c r="DU283" s="7">
        <f>IF(124&gt;=105,('Testes estatísticos'!$D$110+'Testes estatísticos'!$D$129)/2,"")</f>
        <v>-2.5426350000000006</v>
      </c>
      <c r="DV283" s="7">
        <f>IF(125&gt;=105,('Testes estatísticos'!$D$110+'Testes estatísticos'!$D$130)/2,"")</f>
        <v>-1.3843275000000013</v>
      </c>
      <c r="DW283" s="7">
        <f>IF(126&gt;=105,('Testes estatísticos'!$D$110+'Testes estatísticos'!$D$131)/2,"")</f>
        <v>-3.787803499999999</v>
      </c>
      <c r="DX283" s="7">
        <f>IF(127&gt;=105,('Testes estatísticos'!$D$110+'Testes estatísticos'!$D$132)/2,"")</f>
        <v>-5.8439949999999996</v>
      </c>
      <c r="DY283" s="7">
        <f>IF(128&gt;=105,('Testes estatísticos'!$D$110+'Testes estatísticos'!$D$133)/2,"")</f>
        <v>-6.1850844999999985</v>
      </c>
      <c r="DZ283" s="7">
        <f>IF(129&gt;=105,('Testes estatísticos'!$D$110+'Testes estatísticos'!$D$134)/2,"")</f>
        <v>-9.6088744999999989</v>
      </c>
      <c r="EA283" s="7">
        <f>IF(130&gt;=105,('Testes estatísticos'!$D$110+'Testes estatísticos'!$D$135)/2,"")</f>
        <v>-3.8471044999999968</v>
      </c>
      <c r="EB283" s="7">
        <f>IF(131&gt;=105,('Testes estatísticos'!$D$110+'Testes estatísticos'!$D$136)/2,"")</f>
        <v>-3.7592315000000021</v>
      </c>
      <c r="EC283" s="7">
        <f>IF(132&gt;=105,('Testes estatísticos'!$D$110+'Testes estatísticos'!$D$137)/2,"")</f>
        <v>-5.2459680000000013</v>
      </c>
      <c r="ED283" s="7">
        <f>IF(133&gt;=105,('Testes estatísticos'!$D$110+'Testes estatísticos'!$D$138)/2,"")</f>
        <v>-3.0570304999999998</v>
      </c>
      <c r="EE283" s="7">
        <f>IF(134&gt;=105,('Testes estatísticos'!$D$110+'Testes estatísticos'!$D$139)/2,"")</f>
        <v>-5.3542210000000026</v>
      </c>
      <c r="EF283" s="7">
        <f>IF(135&gt;=105,('Testes estatísticos'!$D$110+'Testes estatísticos'!$D$140)/2,"")</f>
        <v>-2.1397884999999981</v>
      </c>
      <c r="EG283" s="7">
        <f>IF(136&gt;=105,('Testes estatísticos'!$D$110+'Testes estatísticos'!$D$141)/2,"")</f>
        <v>-3.8332785000000023</v>
      </c>
      <c r="EH283" s="7">
        <f>IF(137&gt;=105,('Testes estatísticos'!$D$110+'Testes estatísticos'!$D$142)/2,"")</f>
        <v>-2.1285385000000012</v>
      </c>
      <c r="EI283" s="7">
        <f>IF(138&gt;=105,('Testes estatísticos'!$D$110+'Testes estatísticos'!$D$143)/2,"")</f>
        <v>-3.7935539999999968</v>
      </c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</row>
    <row r="284" spans="2:151" x14ac:dyDescent="0.3">
      <c r="B284" s="7" t="str">
        <f>IF(1&gt;=106,('Testes estatísticos'!$D$111+'Testes estatísticos'!$D$6)/2,"")</f>
        <v/>
      </c>
      <c r="C284" s="7" t="str">
        <f>IF(2&gt;=106,('Testes estatísticos'!$D$111+'Testes estatísticos'!$D$7)/2,"")</f>
        <v/>
      </c>
      <c r="D284" s="7" t="str">
        <f>IF(3&gt;=106,('Testes estatísticos'!$D$111+'Testes estatísticos'!$D$8)/2,"")</f>
        <v/>
      </c>
      <c r="E284" s="7" t="str">
        <f>IF(4&gt;=106,('Testes estatísticos'!$D$111+'Testes estatísticos'!$D$9)/2,"")</f>
        <v/>
      </c>
      <c r="F284" s="7" t="str">
        <f>IF(5&gt;=106,('Testes estatísticos'!$D$111+'Testes estatísticos'!$D$10)/2,"")</f>
        <v/>
      </c>
      <c r="G284" s="7" t="str">
        <f>IF(6&gt;=106,('Testes estatísticos'!$D$111+'Testes estatísticos'!$D$11)/2,"")</f>
        <v/>
      </c>
      <c r="H284" s="7" t="str">
        <f>IF(7&gt;=106,('Testes estatísticos'!$D$111+'Testes estatísticos'!$D$12)/2,"")</f>
        <v/>
      </c>
      <c r="I284" s="7" t="str">
        <f>IF(8&gt;=106,('Testes estatísticos'!$D$111+'Testes estatísticos'!$D$13)/2,"")</f>
        <v/>
      </c>
      <c r="J284" s="7" t="str">
        <f>IF(9&gt;=106,('Testes estatísticos'!$D$111+'Testes estatísticos'!$D$14)/2,"")</f>
        <v/>
      </c>
      <c r="K284" s="7" t="str">
        <f>IF(10&gt;=106,('Testes estatísticos'!$D$111+'Testes estatísticos'!$D$15)/2,"")</f>
        <v/>
      </c>
      <c r="L284" s="7" t="str">
        <f>IF(11&gt;=106,('Testes estatísticos'!$D$111+'Testes estatísticos'!$D$16)/2,"")</f>
        <v/>
      </c>
      <c r="M284" s="7" t="str">
        <f>IF(12&gt;=106,('Testes estatísticos'!$D$111+'Testes estatísticos'!$D$17)/2,"")</f>
        <v/>
      </c>
      <c r="N284" s="7" t="str">
        <f>IF(13&gt;=106,('Testes estatísticos'!$D$111+'Testes estatísticos'!$D$18)/2,"")</f>
        <v/>
      </c>
      <c r="O284" s="7" t="str">
        <f>IF(14&gt;=106,('Testes estatísticos'!$D$111+'Testes estatísticos'!$D$19)/2,"")</f>
        <v/>
      </c>
      <c r="P284" s="7" t="str">
        <f>IF(15&gt;=106,('Testes estatísticos'!$D$111+'Testes estatísticos'!$D$20)/2,"")</f>
        <v/>
      </c>
      <c r="Q284" s="7" t="str">
        <f>IF(16&gt;=106,('Testes estatísticos'!$D$111+'Testes estatísticos'!$D$21)/2,"")</f>
        <v/>
      </c>
      <c r="R284" s="7" t="str">
        <f>IF(17&gt;=106,('Testes estatísticos'!$D$111+'Testes estatísticos'!$D$22)/2,"")</f>
        <v/>
      </c>
      <c r="S284" s="7" t="str">
        <f>IF(18&gt;=106,('Testes estatísticos'!$D$111+'Testes estatísticos'!$D$23)/2,"")</f>
        <v/>
      </c>
      <c r="T284" s="7" t="str">
        <f>IF(19&gt;=106,('Testes estatísticos'!$D$111+'Testes estatísticos'!$D$24)/2,"")</f>
        <v/>
      </c>
      <c r="U284" s="7" t="str">
        <f>IF(20&gt;=106,('Testes estatísticos'!$D$111+'Testes estatísticos'!$D$25)/2,"")</f>
        <v/>
      </c>
      <c r="V284" s="7" t="str">
        <f>IF(21&gt;=106,('Testes estatísticos'!$D$111+'Testes estatísticos'!$D$26)/2,"")</f>
        <v/>
      </c>
      <c r="W284" s="7" t="str">
        <f>IF(22&gt;=106,('Testes estatísticos'!$D$111+'Testes estatísticos'!$D$27)/2,"")</f>
        <v/>
      </c>
      <c r="X284" s="7" t="str">
        <f>IF(23&gt;=106,('Testes estatísticos'!$D$111+'Testes estatísticos'!$D$28)/2,"")</f>
        <v/>
      </c>
      <c r="Y284" s="7" t="str">
        <f>IF(24&gt;=106,('Testes estatísticos'!$D$111+'Testes estatísticos'!$D$29)/2,"")</f>
        <v/>
      </c>
      <c r="Z284" s="7" t="str">
        <f>IF(25&gt;=106,('Testes estatísticos'!$D$111+'Testes estatísticos'!$D$30)/2,"")</f>
        <v/>
      </c>
      <c r="AA284" s="7" t="str">
        <f>IF(26&gt;=106,('Testes estatísticos'!$D$111+'Testes estatísticos'!$D$31)/2,"")</f>
        <v/>
      </c>
      <c r="AB284" s="7" t="str">
        <f>IF(27&gt;=106,('Testes estatísticos'!$D$111+'Testes estatísticos'!$D$32)/2,"")</f>
        <v/>
      </c>
      <c r="AC284" s="7" t="str">
        <f>IF(28&gt;=106,('Testes estatísticos'!$D$111+'Testes estatísticos'!$D$33)/2,"")</f>
        <v/>
      </c>
      <c r="AD284" s="7" t="str">
        <f>IF(29&gt;=106,('Testes estatísticos'!$D$111+'Testes estatísticos'!$D$34)/2,"")</f>
        <v/>
      </c>
      <c r="AE284" s="7" t="str">
        <f>IF(30&gt;=106,('Testes estatísticos'!$D$111+'Testes estatísticos'!$D$35)/2,"")</f>
        <v/>
      </c>
      <c r="AF284" s="7" t="str">
        <f>IF(31&gt;=106,('Testes estatísticos'!$D$111+'Testes estatísticos'!$D$36)/2,"")</f>
        <v/>
      </c>
      <c r="AG284" s="7" t="str">
        <f>IF(32&gt;=106,('Testes estatísticos'!$D$111+'Testes estatísticos'!$D$37)/2,"")</f>
        <v/>
      </c>
      <c r="AH284" s="7" t="str">
        <f>IF(33&gt;=106,('Testes estatísticos'!$D$111+'Testes estatísticos'!$D$38)/2,"")</f>
        <v/>
      </c>
      <c r="AI284" s="7" t="str">
        <f>IF(34&gt;=106,('Testes estatísticos'!$D$111+'Testes estatísticos'!$D$39)/2,"")</f>
        <v/>
      </c>
      <c r="AJ284" s="7" t="str">
        <f>IF(35&gt;=106,('Testes estatísticos'!$D$111+'Testes estatísticos'!$D$40)/2,"")</f>
        <v/>
      </c>
      <c r="AK284" s="7" t="str">
        <f>IF(36&gt;=106,('Testes estatísticos'!$D$111+'Testes estatísticos'!$D$41)/2,"")</f>
        <v/>
      </c>
      <c r="AL284" s="7" t="str">
        <f>IF(37&gt;=106,('Testes estatísticos'!$D$111+'Testes estatísticos'!$D$42)/2,"")</f>
        <v/>
      </c>
      <c r="AM284" s="7" t="str">
        <f>IF(38&gt;=106,('Testes estatísticos'!$D$111+'Testes estatísticos'!$D$43)/2,"")</f>
        <v/>
      </c>
      <c r="AN284" s="7" t="str">
        <f>IF(39&gt;=106,('Testes estatísticos'!$D$111+'Testes estatísticos'!$D$44)/2,"")</f>
        <v/>
      </c>
      <c r="AO284" s="7" t="str">
        <f>IF(40&gt;=106,('Testes estatísticos'!$D$111+'Testes estatísticos'!$D$45)/2,"")</f>
        <v/>
      </c>
      <c r="AP284" s="7" t="str">
        <f>IF(41&gt;=106,('Testes estatísticos'!$D$111+'Testes estatísticos'!$D$46)/2,"")</f>
        <v/>
      </c>
      <c r="AQ284" s="7" t="str">
        <f>IF(42&gt;=106,('Testes estatísticos'!$D$111+'Testes estatísticos'!$D$47)/2,"")</f>
        <v/>
      </c>
      <c r="AR284" s="7" t="str">
        <f>IF(43&gt;=106,('Testes estatísticos'!$D$111+'Testes estatísticos'!$D$48)/2,"")</f>
        <v/>
      </c>
      <c r="AS284" s="7" t="str">
        <f>IF(44&gt;=106,('Testes estatísticos'!$D$111+'Testes estatísticos'!$D$49)/2,"")</f>
        <v/>
      </c>
      <c r="AT284" s="7" t="str">
        <f>IF(45&gt;=106,('Testes estatísticos'!$D$111+'Testes estatísticos'!$D$50)/2,"")</f>
        <v/>
      </c>
      <c r="AU284" s="7" t="str">
        <f>IF(46&gt;=106,('Testes estatísticos'!$D$111+'Testes estatísticos'!$D$51)/2,"")</f>
        <v/>
      </c>
      <c r="AV284" s="7" t="str">
        <f>IF(47&gt;=106,('Testes estatísticos'!$D$111+'Testes estatísticos'!$D$52)/2,"")</f>
        <v/>
      </c>
      <c r="AW284" s="7" t="str">
        <f>IF(48&gt;=106,('Testes estatísticos'!$D$111+'Testes estatísticos'!$D$53)/2,"")</f>
        <v/>
      </c>
      <c r="AX284" s="7" t="str">
        <f>IF(49&gt;=106,('Testes estatísticos'!$D$111+'Testes estatísticos'!$D$54)/2,"")</f>
        <v/>
      </c>
      <c r="AY284" s="7" t="str">
        <f>IF(50&gt;=106,('Testes estatísticos'!$D$111+'Testes estatísticos'!$D$55)/2,"")</f>
        <v/>
      </c>
      <c r="AZ284" s="7" t="str">
        <f>IF(51&gt;=106,('Testes estatísticos'!$D$111+'Testes estatísticos'!$D$56)/2,"")</f>
        <v/>
      </c>
      <c r="BA284" s="7" t="str">
        <f>IF(52&gt;=106,('Testes estatísticos'!$D$111+'Testes estatísticos'!$D$57)/2,"")</f>
        <v/>
      </c>
      <c r="BB284" s="7" t="str">
        <f>IF(53&gt;=106,('Testes estatísticos'!$D$111+'Testes estatísticos'!$D$58)/2,"")</f>
        <v/>
      </c>
      <c r="BC284" s="7" t="str">
        <f>IF(54&gt;=106,('Testes estatísticos'!$D$111+'Testes estatísticos'!$D$59)/2,"")</f>
        <v/>
      </c>
      <c r="BD284" s="7" t="str">
        <f>IF(55&gt;=106,('Testes estatísticos'!$D$111+'Testes estatísticos'!$D$60)/2,"")</f>
        <v/>
      </c>
      <c r="BE284" s="7" t="str">
        <f>IF(56&gt;=106,('Testes estatísticos'!$D$111+'Testes estatísticos'!$D$61)/2,"")</f>
        <v/>
      </c>
      <c r="BF284" s="7" t="str">
        <f>IF(57&gt;=106,('Testes estatísticos'!$D$111+'Testes estatísticos'!$D$62)/2,"")</f>
        <v/>
      </c>
      <c r="BG284" s="7" t="str">
        <f>IF(58&gt;=106,('Testes estatísticos'!$D$111+'Testes estatísticos'!$D$63)/2,"")</f>
        <v/>
      </c>
      <c r="BH284" s="7" t="str">
        <f>IF(59&gt;=106,('Testes estatísticos'!$D$111+'Testes estatísticos'!$D$64)/2,"")</f>
        <v/>
      </c>
      <c r="BI284" s="7" t="str">
        <f>IF(60&gt;=106,('Testes estatísticos'!$D$111+'Testes estatísticos'!$D$65)/2,"")</f>
        <v/>
      </c>
      <c r="BJ284" s="7" t="str">
        <f>IF(61&gt;=106,('Testes estatísticos'!$D$111+'Testes estatísticos'!$D$66)/2,"")</f>
        <v/>
      </c>
      <c r="BK284" s="7" t="str">
        <f>IF(62&gt;=106,('Testes estatísticos'!$D$111+'Testes estatísticos'!$D$67)/2,"")</f>
        <v/>
      </c>
      <c r="BL284" s="7" t="str">
        <f>IF(63&gt;=106,('Testes estatísticos'!$D$111+'Testes estatísticos'!$D$68)/2,"")</f>
        <v/>
      </c>
      <c r="BM284" s="7" t="str">
        <f>IF(64&gt;=106,('Testes estatísticos'!$D$111+'Testes estatísticos'!$D$69)/2,"")</f>
        <v/>
      </c>
      <c r="BN284" s="7" t="str">
        <f>IF(65&gt;=106,('Testes estatísticos'!$D$111+'Testes estatísticos'!$D$70)/2,"")</f>
        <v/>
      </c>
      <c r="BO284" s="7" t="str">
        <f>IF(66&gt;=106,('Testes estatísticos'!$D$111+'Testes estatísticos'!$D$71)/2,"")</f>
        <v/>
      </c>
      <c r="BP284" s="7" t="str">
        <f>IF(67&gt;=106,('Testes estatísticos'!$D$111+'Testes estatísticos'!$D$72)/2,"")</f>
        <v/>
      </c>
      <c r="BQ284" s="7" t="str">
        <f>IF(68&gt;=106,('Testes estatísticos'!$D$111+'Testes estatísticos'!$D$73)/2,"")</f>
        <v/>
      </c>
      <c r="BR284" s="7" t="str">
        <f>IF(69&gt;=106,('Testes estatísticos'!$D$111+'Testes estatísticos'!$D$74)/2,"")</f>
        <v/>
      </c>
      <c r="BS284" s="7" t="str">
        <f>IF(70&gt;=106,('Testes estatísticos'!$D$111+'Testes estatísticos'!$D$75)/2,"")</f>
        <v/>
      </c>
      <c r="BT284" s="7" t="str">
        <f>IF(71&gt;=106,('Testes estatísticos'!$D$111+'Testes estatísticos'!$D$76)/2,"")</f>
        <v/>
      </c>
      <c r="BU284" s="7" t="str">
        <f>IF(72&gt;=106,('Testes estatísticos'!$D$111+'Testes estatísticos'!$D$77)/2,"")</f>
        <v/>
      </c>
      <c r="BV284" s="7" t="str">
        <f>IF(73&gt;=106,('Testes estatísticos'!$D$111+'Testes estatísticos'!$D$78)/2,"")</f>
        <v/>
      </c>
      <c r="BW284" s="7" t="str">
        <f>IF(74&gt;=106,('Testes estatísticos'!$D$111+'Testes estatísticos'!$D$79)/2,"")</f>
        <v/>
      </c>
      <c r="BX284" s="7" t="str">
        <f>IF(75&gt;=106,('Testes estatísticos'!$D$111+'Testes estatísticos'!$D$80)/2,"")</f>
        <v/>
      </c>
      <c r="BY284" s="7" t="str">
        <f>IF(76&gt;=106,('Testes estatísticos'!$D$111+'Testes estatísticos'!$D$81)/2,"")</f>
        <v/>
      </c>
      <c r="BZ284" s="7" t="str">
        <f>IF(77&gt;=106,('Testes estatísticos'!$D$111+'Testes estatísticos'!$D$82)/2,"")</f>
        <v/>
      </c>
      <c r="CA284" s="7" t="str">
        <f>IF(78&gt;=106,('Testes estatísticos'!$D$111+'Testes estatísticos'!$D$83)/2,"")</f>
        <v/>
      </c>
      <c r="CB284" s="7" t="str">
        <f>IF(79&gt;=106,('Testes estatísticos'!$D$111+'Testes estatísticos'!$D$84)/2,"")</f>
        <v/>
      </c>
      <c r="CC284" s="7" t="str">
        <f>IF(80&gt;=106,('Testes estatísticos'!$D$111+'Testes estatísticos'!$D$85)/2,"")</f>
        <v/>
      </c>
      <c r="CD284" s="7" t="str">
        <f>IF(81&gt;=106,('Testes estatísticos'!$D$111+'Testes estatísticos'!$D$86)/2,"")</f>
        <v/>
      </c>
      <c r="CE284" s="7" t="str">
        <f>IF(82&gt;=106,('Testes estatísticos'!$D$111+'Testes estatísticos'!$D$87)/2,"")</f>
        <v/>
      </c>
      <c r="CF284" s="7" t="str">
        <f>IF(83&gt;=106,('Testes estatísticos'!$D$111+'Testes estatísticos'!$D$88)/2,"")</f>
        <v/>
      </c>
      <c r="CG284" s="7" t="str">
        <f>IF(84&gt;=106,('Testes estatísticos'!$D$111+'Testes estatísticos'!$D$89)/2,"")</f>
        <v/>
      </c>
      <c r="CH284" s="7" t="str">
        <f>IF(85&gt;=106,('Testes estatísticos'!$D$111+'Testes estatísticos'!$D$90)/2,"")</f>
        <v/>
      </c>
      <c r="CI284" s="7" t="str">
        <f>IF(86&gt;=106,('Testes estatísticos'!$D$111+'Testes estatísticos'!$D$91)/2,"")</f>
        <v/>
      </c>
      <c r="CJ284" s="7" t="str">
        <f>IF(87&gt;=106,('Testes estatísticos'!$D$111+'Testes estatísticos'!$D$92)/2,"")</f>
        <v/>
      </c>
      <c r="CK284" s="7" t="str">
        <f>IF(88&gt;=106,('Testes estatísticos'!$D$111+'Testes estatísticos'!$D$93)/2,"")</f>
        <v/>
      </c>
      <c r="CL284" s="7" t="str">
        <f>IF(89&gt;=106,('Testes estatísticos'!$D$111+'Testes estatísticos'!$D$94)/2,"")</f>
        <v/>
      </c>
      <c r="CM284" s="7" t="str">
        <f>IF(90&gt;=106,('Testes estatísticos'!$D$111+'Testes estatísticos'!$D$95)/2,"")</f>
        <v/>
      </c>
      <c r="CN284" s="7" t="str">
        <f>IF(91&gt;=106,('Testes estatísticos'!$D$111+'Testes estatísticos'!$D$96)/2,"")</f>
        <v/>
      </c>
      <c r="CO284" s="7" t="str">
        <f>IF(92&gt;=106,('Testes estatísticos'!$D$111+'Testes estatísticos'!$D$97)/2,"")</f>
        <v/>
      </c>
      <c r="CP284" s="7" t="str">
        <f>IF(93&gt;=106,('Testes estatísticos'!$D$111+'Testes estatísticos'!$D$98)/2,"")</f>
        <v/>
      </c>
      <c r="CQ284" s="7" t="str">
        <f>IF(94&gt;=106,('Testes estatísticos'!$D$111+'Testes estatísticos'!$D$99)/2,"")</f>
        <v/>
      </c>
      <c r="CR284" s="7" t="str">
        <f>IF(95&gt;=106,('Testes estatísticos'!$D$111+'Testes estatísticos'!$D$100)/2,"")</f>
        <v/>
      </c>
      <c r="CS284" s="7" t="str">
        <f>IF(96&gt;=106,('Testes estatísticos'!$D$111+'Testes estatísticos'!$D$101)/2,"")</f>
        <v/>
      </c>
      <c r="CT284" s="7" t="str">
        <f>IF(97&gt;=106,('Testes estatísticos'!$D$111+'Testes estatísticos'!$D$102)/2,"")</f>
        <v/>
      </c>
      <c r="CU284" s="7" t="str">
        <f>IF(98&gt;=106,('Testes estatísticos'!$D$111+'Testes estatísticos'!$D$103)/2,"")</f>
        <v/>
      </c>
      <c r="CV284" s="7" t="str">
        <f>IF(99&gt;=106,('Testes estatísticos'!$D$111+'Testes estatísticos'!$D$104)/2,"")</f>
        <v/>
      </c>
      <c r="CW284" s="7" t="str">
        <f>IF(100&gt;=106,('Testes estatísticos'!$D$111+'Testes estatísticos'!$D$105)/2,"")</f>
        <v/>
      </c>
      <c r="CX284" s="7" t="str">
        <f>IF(101&gt;=106,('Testes estatísticos'!$D$111+'Testes estatísticos'!$D$106)/2,"")</f>
        <v/>
      </c>
      <c r="CY284" s="7" t="str">
        <f>IF(102&gt;=106,('Testes estatísticos'!$D$111+'Testes estatísticos'!$D$107)/2,"")</f>
        <v/>
      </c>
      <c r="CZ284" s="7" t="str">
        <f>IF(103&gt;=106,('Testes estatísticos'!$D$111+'Testes estatísticos'!$D$108)/2,"")</f>
        <v/>
      </c>
      <c r="DA284" s="7" t="str">
        <f>IF(104&gt;=106,('Testes estatísticos'!$D$111+'Testes estatísticos'!$D$109)/2,"")</f>
        <v/>
      </c>
      <c r="DB284" s="7" t="str">
        <f>IF(105&gt;=106,('Testes estatísticos'!$D$111+'Testes estatísticos'!$D$110)/2,"")</f>
        <v/>
      </c>
      <c r="DC284" s="7">
        <f>IF(106&gt;=106,('Testes estatísticos'!$D$111+'Testes estatísticos'!$D$111)/2,"")</f>
        <v>-2.3149510000000006</v>
      </c>
      <c r="DD284" s="7">
        <f>IF(107&gt;=106,('Testes estatísticos'!$D$111+'Testes estatísticos'!$D$112)/2,"")</f>
        <v>1.1782199999999996</v>
      </c>
      <c r="DE284" s="7">
        <f>IF(108&gt;=106,('Testes estatísticos'!$D$111+'Testes estatísticos'!$D$113)/2,"")</f>
        <v>-2.2444154999999988</v>
      </c>
      <c r="DF284" s="7">
        <f>IF(109&gt;=106,('Testes estatísticos'!$D$111+'Testes estatísticos'!$D$114)/2,"")</f>
        <v>-2.2806724999999979</v>
      </c>
      <c r="DG284" s="7">
        <f>IF(110&gt;=106,('Testes estatísticos'!$D$111+'Testes estatísticos'!$D$115)/2,"")</f>
        <v>-7.8278120000000015</v>
      </c>
      <c r="DH284" s="7">
        <f>IF(111&gt;=106,('Testes estatísticos'!$D$111+'Testes estatísticos'!$D$116)/2,"")</f>
        <v>-2.146981499999999</v>
      </c>
      <c r="DI284" s="7">
        <f>IF(112&gt;=106,('Testes estatísticos'!$D$111+'Testes estatísticos'!$D$117)/2,"")</f>
        <v>3.2814584999999994</v>
      </c>
      <c r="DJ284" s="7">
        <f>IF(113&gt;=106,('Testes estatísticos'!$D$111+'Testes estatísticos'!$D$118)/2,"")</f>
        <v>-2.1750985000000007</v>
      </c>
      <c r="DK284" s="7">
        <f>IF(114&gt;=106,('Testes estatísticos'!$D$111+'Testes estatísticos'!$D$119)/2,"")</f>
        <v>-2.2768484999999998</v>
      </c>
      <c r="DL284" s="7">
        <f>IF(115&gt;=106,('Testes estatísticos'!$D$111+'Testes estatísticos'!$D$120)/2,"")</f>
        <v>-2.2303709999999981</v>
      </c>
      <c r="DM284" s="7">
        <f>IF(116&gt;=106,('Testes estatísticos'!$D$111+'Testes estatísticos'!$D$121)/2,"")</f>
        <v>-2.2217684999999996</v>
      </c>
      <c r="DN284" s="7">
        <f>IF(117&gt;=106,('Testes estatísticos'!$D$111+'Testes estatísticos'!$D$122)/2,"")</f>
        <v>-2.1987005000000011</v>
      </c>
      <c r="DO284" s="7">
        <f>IF(118&gt;=106,('Testes estatísticos'!$D$111+'Testes estatísticos'!$D$123)/2,"")</f>
        <v>-2.1487900000000018</v>
      </c>
      <c r="DP284" s="7">
        <f>IF(119&gt;=106,('Testes estatísticos'!$D$111+'Testes estatísticos'!$D$124)/2,"")</f>
        <v>-2.1700015000000015</v>
      </c>
      <c r="DQ284" s="7">
        <f>IF(120&gt;=106,('Testes estatísticos'!$D$111+'Testes estatísticos'!$D$125)/2,"")</f>
        <v>0.88161300000000153</v>
      </c>
      <c r="DR284" s="7">
        <f>IF(121&gt;=106,('Testes estatísticos'!$D$111+'Testes estatísticos'!$D$126)/2,"")</f>
        <v>-1.9074035000000009</v>
      </c>
      <c r="DS284" s="7">
        <f>IF(122&gt;=106,('Testes estatísticos'!$D$111+'Testes estatísticos'!$D$127)/2,"")</f>
        <v>-2.9728119999999976</v>
      </c>
      <c r="DT284" s="7">
        <f>IF(123&gt;=106,('Testes estatísticos'!$D$111+'Testes estatísticos'!$D$128)/2,"")</f>
        <v>3.096057499999997</v>
      </c>
      <c r="DU284" s="7">
        <f>IF(124&gt;=106,('Testes estatísticos'!$D$111+'Testes estatísticos'!$D$129)/2,"")</f>
        <v>-1.7997140000000016</v>
      </c>
      <c r="DV284" s="7">
        <f>IF(125&gt;=106,('Testes estatísticos'!$D$111+'Testes estatísticos'!$D$130)/2,"")</f>
        <v>-0.64140650000000221</v>
      </c>
      <c r="DW284" s="7">
        <f>IF(126&gt;=106,('Testes estatísticos'!$D$111+'Testes estatísticos'!$D$131)/2,"")</f>
        <v>-3.0448824999999999</v>
      </c>
      <c r="DX284" s="7">
        <f>IF(127&gt;=106,('Testes estatísticos'!$D$111+'Testes estatísticos'!$D$132)/2,"")</f>
        <v>-5.1010740000000006</v>
      </c>
      <c r="DY284" s="7">
        <f>IF(128&gt;=106,('Testes estatísticos'!$D$111+'Testes estatísticos'!$D$133)/2,"")</f>
        <v>-5.4421634999999995</v>
      </c>
      <c r="DZ284" s="7">
        <f>IF(129&gt;=106,('Testes estatísticos'!$D$111+'Testes estatísticos'!$D$134)/2,"")</f>
        <v>-8.8659534999999998</v>
      </c>
      <c r="EA284" s="7">
        <f>IF(130&gt;=106,('Testes estatísticos'!$D$111+'Testes estatísticos'!$D$135)/2,"")</f>
        <v>-3.1041834999999978</v>
      </c>
      <c r="EB284" s="7">
        <f>IF(131&gt;=106,('Testes estatísticos'!$D$111+'Testes estatísticos'!$D$136)/2,"")</f>
        <v>-3.016310500000003</v>
      </c>
      <c r="EC284" s="7">
        <f>IF(132&gt;=106,('Testes estatísticos'!$D$111+'Testes estatísticos'!$D$137)/2,"")</f>
        <v>-4.5030470000000022</v>
      </c>
      <c r="ED284" s="7">
        <f>IF(133&gt;=106,('Testes estatísticos'!$D$111+'Testes estatísticos'!$D$138)/2,"")</f>
        <v>-2.3141095000000007</v>
      </c>
      <c r="EE284" s="7">
        <f>IF(134&gt;=106,('Testes estatísticos'!$D$111+'Testes estatísticos'!$D$139)/2,"")</f>
        <v>-4.6113000000000035</v>
      </c>
      <c r="EF284" s="7">
        <f>IF(135&gt;=106,('Testes estatísticos'!$D$111+'Testes estatísticos'!$D$140)/2,"")</f>
        <v>-1.396867499999999</v>
      </c>
      <c r="EG284" s="7">
        <f>IF(136&gt;=106,('Testes estatísticos'!$D$111+'Testes estatísticos'!$D$141)/2,"")</f>
        <v>-3.0903575000000032</v>
      </c>
      <c r="EH284" s="7">
        <f>IF(137&gt;=106,('Testes estatísticos'!$D$111+'Testes estatísticos'!$D$142)/2,"")</f>
        <v>-1.3856175000000022</v>
      </c>
      <c r="EI284" s="7">
        <f>IF(138&gt;=106,('Testes estatísticos'!$D$111+'Testes estatísticos'!$D$143)/2,"")</f>
        <v>-3.0506329999999977</v>
      </c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</row>
    <row r="285" spans="2:151" x14ac:dyDescent="0.3">
      <c r="B285" s="7" t="str">
        <f>IF(1&gt;=107,('Testes estatísticos'!$D$112+'Testes estatísticos'!$D$6)/2,"")</f>
        <v/>
      </c>
      <c r="C285" s="7" t="str">
        <f>IF(2&gt;=107,('Testes estatísticos'!$D$112+'Testes estatísticos'!$D$7)/2,"")</f>
        <v/>
      </c>
      <c r="D285" s="7" t="str">
        <f>IF(3&gt;=107,('Testes estatísticos'!$D$112+'Testes estatísticos'!$D$8)/2,"")</f>
        <v/>
      </c>
      <c r="E285" s="7" t="str">
        <f>IF(4&gt;=107,('Testes estatísticos'!$D$112+'Testes estatísticos'!$D$9)/2,"")</f>
        <v/>
      </c>
      <c r="F285" s="7" t="str">
        <f>IF(5&gt;=107,('Testes estatísticos'!$D$112+'Testes estatísticos'!$D$10)/2,"")</f>
        <v/>
      </c>
      <c r="G285" s="7" t="str">
        <f>IF(6&gt;=107,('Testes estatísticos'!$D$112+'Testes estatísticos'!$D$11)/2,"")</f>
        <v/>
      </c>
      <c r="H285" s="7" t="str">
        <f>IF(7&gt;=107,('Testes estatísticos'!$D$112+'Testes estatísticos'!$D$12)/2,"")</f>
        <v/>
      </c>
      <c r="I285" s="7" t="str">
        <f>IF(8&gt;=107,('Testes estatísticos'!$D$112+'Testes estatísticos'!$D$13)/2,"")</f>
        <v/>
      </c>
      <c r="J285" s="7" t="str">
        <f>IF(9&gt;=107,('Testes estatísticos'!$D$112+'Testes estatísticos'!$D$14)/2,"")</f>
        <v/>
      </c>
      <c r="K285" s="7" t="str">
        <f>IF(10&gt;=107,('Testes estatísticos'!$D$112+'Testes estatísticos'!$D$15)/2,"")</f>
        <v/>
      </c>
      <c r="L285" s="7" t="str">
        <f>IF(11&gt;=107,('Testes estatísticos'!$D$112+'Testes estatísticos'!$D$16)/2,"")</f>
        <v/>
      </c>
      <c r="M285" s="7" t="str">
        <f>IF(12&gt;=107,('Testes estatísticos'!$D$112+'Testes estatísticos'!$D$17)/2,"")</f>
        <v/>
      </c>
      <c r="N285" s="7" t="str">
        <f>IF(13&gt;=107,('Testes estatísticos'!$D$112+'Testes estatísticos'!$D$18)/2,"")</f>
        <v/>
      </c>
      <c r="O285" s="7" t="str">
        <f>IF(14&gt;=107,('Testes estatísticos'!$D$112+'Testes estatísticos'!$D$19)/2,"")</f>
        <v/>
      </c>
      <c r="P285" s="7" t="str">
        <f>IF(15&gt;=107,('Testes estatísticos'!$D$112+'Testes estatísticos'!$D$20)/2,"")</f>
        <v/>
      </c>
      <c r="Q285" s="7" t="str">
        <f>IF(16&gt;=107,('Testes estatísticos'!$D$112+'Testes estatísticos'!$D$21)/2,"")</f>
        <v/>
      </c>
      <c r="R285" s="7" t="str">
        <f>IF(17&gt;=107,('Testes estatísticos'!$D$112+'Testes estatísticos'!$D$22)/2,"")</f>
        <v/>
      </c>
      <c r="S285" s="7" t="str">
        <f>IF(18&gt;=107,('Testes estatísticos'!$D$112+'Testes estatísticos'!$D$23)/2,"")</f>
        <v/>
      </c>
      <c r="T285" s="7" t="str">
        <f>IF(19&gt;=107,('Testes estatísticos'!$D$112+'Testes estatísticos'!$D$24)/2,"")</f>
        <v/>
      </c>
      <c r="U285" s="7" t="str">
        <f>IF(20&gt;=107,('Testes estatísticos'!$D$112+'Testes estatísticos'!$D$25)/2,"")</f>
        <v/>
      </c>
      <c r="V285" s="7" t="str">
        <f>IF(21&gt;=107,('Testes estatísticos'!$D$112+'Testes estatísticos'!$D$26)/2,"")</f>
        <v/>
      </c>
      <c r="W285" s="7" t="str">
        <f>IF(22&gt;=107,('Testes estatísticos'!$D$112+'Testes estatísticos'!$D$27)/2,"")</f>
        <v/>
      </c>
      <c r="X285" s="7" t="str">
        <f>IF(23&gt;=107,('Testes estatísticos'!$D$112+'Testes estatísticos'!$D$28)/2,"")</f>
        <v/>
      </c>
      <c r="Y285" s="7" t="str">
        <f>IF(24&gt;=107,('Testes estatísticos'!$D$112+'Testes estatísticos'!$D$29)/2,"")</f>
        <v/>
      </c>
      <c r="Z285" s="7" t="str">
        <f>IF(25&gt;=107,('Testes estatísticos'!$D$112+'Testes estatísticos'!$D$30)/2,"")</f>
        <v/>
      </c>
      <c r="AA285" s="7" t="str">
        <f>IF(26&gt;=107,('Testes estatísticos'!$D$112+'Testes estatísticos'!$D$31)/2,"")</f>
        <v/>
      </c>
      <c r="AB285" s="7" t="str">
        <f>IF(27&gt;=107,('Testes estatísticos'!$D$112+'Testes estatísticos'!$D$32)/2,"")</f>
        <v/>
      </c>
      <c r="AC285" s="7" t="str">
        <f>IF(28&gt;=107,('Testes estatísticos'!$D$112+'Testes estatísticos'!$D$33)/2,"")</f>
        <v/>
      </c>
      <c r="AD285" s="7" t="str">
        <f>IF(29&gt;=107,('Testes estatísticos'!$D$112+'Testes estatísticos'!$D$34)/2,"")</f>
        <v/>
      </c>
      <c r="AE285" s="7" t="str">
        <f>IF(30&gt;=107,('Testes estatísticos'!$D$112+'Testes estatísticos'!$D$35)/2,"")</f>
        <v/>
      </c>
      <c r="AF285" s="7" t="str">
        <f>IF(31&gt;=107,('Testes estatísticos'!$D$112+'Testes estatísticos'!$D$36)/2,"")</f>
        <v/>
      </c>
      <c r="AG285" s="7" t="str">
        <f>IF(32&gt;=107,('Testes estatísticos'!$D$112+'Testes estatísticos'!$D$37)/2,"")</f>
        <v/>
      </c>
      <c r="AH285" s="7" t="str">
        <f>IF(33&gt;=107,('Testes estatísticos'!$D$112+'Testes estatísticos'!$D$38)/2,"")</f>
        <v/>
      </c>
      <c r="AI285" s="7" t="str">
        <f>IF(34&gt;=107,('Testes estatísticos'!$D$112+'Testes estatísticos'!$D$39)/2,"")</f>
        <v/>
      </c>
      <c r="AJ285" s="7" t="str">
        <f>IF(35&gt;=107,('Testes estatísticos'!$D$112+'Testes estatísticos'!$D$40)/2,"")</f>
        <v/>
      </c>
      <c r="AK285" s="7" t="str">
        <f>IF(36&gt;=107,('Testes estatísticos'!$D$112+'Testes estatísticos'!$D$41)/2,"")</f>
        <v/>
      </c>
      <c r="AL285" s="7" t="str">
        <f>IF(37&gt;=107,('Testes estatísticos'!$D$112+'Testes estatísticos'!$D$42)/2,"")</f>
        <v/>
      </c>
      <c r="AM285" s="7" t="str">
        <f>IF(38&gt;=107,('Testes estatísticos'!$D$112+'Testes estatísticos'!$D$43)/2,"")</f>
        <v/>
      </c>
      <c r="AN285" s="7" t="str">
        <f>IF(39&gt;=107,('Testes estatísticos'!$D$112+'Testes estatísticos'!$D$44)/2,"")</f>
        <v/>
      </c>
      <c r="AO285" s="7" t="str">
        <f>IF(40&gt;=107,('Testes estatísticos'!$D$112+'Testes estatísticos'!$D$45)/2,"")</f>
        <v/>
      </c>
      <c r="AP285" s="7" t="str">
        <f>IF(41&gt;=107,('Testes estatísticos'!$D$112+'Testes estatísticos'!$D$46)/2,"")</f>
        <v/>
      </c>
      <c r="AQ285" s="7" t="str">
        <f>IF(42&gt;=107,('Testes estatísticos'!$D$112+'Testes estatísticos'!$D$47)/2,"")</f>
        <v/>
      </c>
      <c r="AR285" s="7" t="str">
        <f>IF(43&gt;=107,('Testes estatísticos'!$D$112+'Testes estatísticos'!$D$48)/2,"")</f>
        <v/>
      </c>
      <c r="AS285" s="7" t="str">
        <f>IF(44&gt;=107,('Testes estatísticos'!$D$112+'Testes estatísticos'!$D$49)/2,"")</f>
        <v/>
      </c>
      <c r="AT285" s="7" t="str">
        <f>IF(45&gt;=107,('Testes estatísticos'!$D$112+'Testes estatísticos'!$D$50)/2,"")</f>
        <v/>
      </c>
      <c r="AU285" s="7" t="str">
        <f>IF(46&gt;=107,('Testes estatísticos'!$D$112+'Testes estatísticos'!$D$51)/2,"")</f>
        <v/>
      </c>
      <c r="AV285" s="7" t="str">
        <f>IF(47&gt;=107,('Testes estatísticos'!$D$112+'Testes estatísticos'!$D$52)/2,"")</f>
        <v/>
      </c>
      <c r="AW285" s="7" t="str">
        <f>IF(48&gt;=107,('Testes estatísticos'!$D$112+'Testes estatísticos'!$D$53)/2,"")</f>
        <v/>
      </c>
      <c r="AX285" s="7" t="str">
        <f>IF(49&gt;=107,('Testes estatísticos'!$D$112+'Testes estatísticos'!$D$54)/2,"")</f>
        <v/>
      </c>
      <c r="AY285" s="7" t="str">
        <f>IF(50&gt;=107,('Testes estatísticos'!$D$112+'Testes estatísticos'!$D$55)/2,"")</f>
        <v/>
      </c>
      <c r="AZ285" s="7" t="str">
        <f>IF(51&gt;=107,('Testes estatísticos'!$D$112+'Testes estatísticos'!$D$56)/2,"")</f>
        <v/>
      </c>
      <c r="BA285" s="7" t="str">
        <f>IF(52&gt;=107,('Testes estatísticos'!$D$112+'Testes estatísticos'!$D$57)/2,"")</f>
        <v/>
      </c>
      <c r="BB285" s="7" t="str">
        <f>IF(53&gt;=107,('Testes estatísticos'!$D$112+'Testes estatísticos'!$D$58)/2,"")</f>
        <v/>
      </c>
      <c r="BC285" s="7" t="str">
        <f>IF(54&gt;=107,('Testes estatísticos'!$D$112+'Testes estatísticos'!$D$59)/2,"")</f>
        <v/>
      </c>
      <c r="BD285" s="7" t="str">
        <f>IF(55&gt;=107,('Testes estatísticos'!$D$112+'Testes estatísticos'!$D$60)/2,"")</f>
        <v/>
      </c>
      <c r="BE285" s="7" t="str">
        <f>IF(56&gt;=107,('Testes estatísticos'!$D$112+'Testes estatísticos'!$D$61)/2,"")</f>
        <v/>
      </c>
      <c r="BF285" s="7" t="str">
        <f>IF(57&gt;=107,('Testes estatísticos'!$D$112+'Testes estatísticos'!$D$62)/2,"")</f>
        <v/>
      </c>
      <c r="BG285" s="7" t="str">
        <f>IF(58&gt;=107,('Testes estatísticos'!$D$112+'Testes estatísticos'!$D$63)/2,"")</f>
        <v/>
      </c>
      <c r="BH285" s="7" t="str">
        <f>IF(59&gt;=107,('Testes estatísticos'!$D$112+'Testes estatísticos'!$D$64)/2,"")</f>
        <v/>
      </c>
      <c r="BI285" s="7" t="str">
        <f>IF(60&gt;=107,('Testes estatísticos'!$D$112+'Testes estatísticos'!$D$65)/2,"")</f>
        <v/>
      </c>
      <c r="BJ285" s="7" t="str">
        <f>IF(61&gt;=107,('Testes estatísticos'!$D$112+'Testes estatísticos'!$D$66)/2,"")</f>
        <v/>
      </c>
      <c r="BK285" s="7" t="str">
        <f>IF(62&gt;=107,('Testes estatísticos'!$D$112+'Testes estatísticos'!$D$67)/2,"")</f>
        <v/>
      </c>
      <c r="BL285" s="7" t="str">
        <f>IF(63&gt;=107,('Testes estatísticos'!$D$112+'Testes estatísticos'!$D$68)/2,"")</f>
        <v/>
      </c>
      <c r="BM285" s="7" t="str">
        <f>IF(64&gt;=107,('Testes estatísticos'!$D$112+'Testes estatísticos'!$D$69)/2,"")</f>
        <v/>
      </c>
      <c r="BN285" s="7" t="str">
        <f>IF(65&gt;=107,('Testes estatísticos'!$D$112+'Testes estatísticos'!$D$70)/2,"")</f>
        <v/>
      </c>
      <c r="BO285" s="7" t="str">
        <f>IF(66&gt;=107,('Testes estatísticos'!$D$112+'Testes estatísticos'!$D$71)/2,"")</f>
        <v/>
      </c>
      <c r="BP285" s="7" t="str">
        <f>IF(67&gt;=107,('Testes estatísticos'!$D$112+'Testes estatísticos'!$D$72)/2,"")</f>
        <v/>
      </c>
      <c r="BQ285" s="7" t="str">
        <f>IF(68&gt;=107,('Testes estatísticos'!$D$112+'Testes estatísticos'!$D$73)/2,"")</f>
        <v/>
      </c>
      <c r="BR285" s="7" t="str">
        <f>IF(69&gt;=107,('Testes estatísticos'!$D$112+'Testes estatísticos'!$D$74)/2,"")</f>
        <v/>
      </c>
      <c r="BS285" s="7" t="str">
        <f>IF(70&gt;=107,('Testes estatísticos'!$D$112+'Testes estatísticos'!$D$75)/2,"")</f>
        <v/>
      </c>
      <c r="BT285" s="7" t="str">
        <f>IF(71&gt;=107,('Testes estatísticos'!$D$112+'Testes estatísticos'!$D$76)/2,"")</f>
        <v/>
      </c>
      <c r="BU285" s="7" t="str">
        <f>IF(72&gt;=107,('Testes estatísticos'!$D$112+'Testes estatísticos'!$D$77)/2,"")</f>
        <v/>
      </c>
      <c r="BV285" s="7" t="str">
        <f>IF(73&gt;=107,('Testes estatísticos'!$D$112+'Testes estatísticos'!$D$78)/2,"")</f>
        <v/>
      </c>
      <c r="BW285" s="7" t="str">
        <f>IF(74&gt;=107,('Testes estatísticos'!$D$112+'Testes estatísticos'!$D$79)/2,"")</f>
        <v/>
      </c>
      <c r="BX285" s="7" t="str">
        <f>IF(75&gt;=107,('Testes estatísticos'!$D$112+'Testes estatísticos'!$D$80)/2,"")</f>
        <v/>
      </c>
      <c r="BY285" s="7" t="str">
        <f>IF(76&gt;=107,('Testes estatísticos'!$D$112+'Testes estatísticos'!$D$81)/2,"")</f>
        <v/>
      </c>
      <c r="BZ285" s="7" t="str">
        <f>IF(77&gt;=107,('Testes estatísticos'!$D$112+'Testes estatísticos'!$D$82)/2,"")</f>
        <v/>
      </c>
      <c r="CA285" s="7" t="str">
        <f>IF(78&gt;=107,('Testes estatísticos'!$D$112+'Testes estatísticos'!$D$83)/2,"")</f>
        <v/>
      </c>
      <c r="CB285" s="7" t="str">
        <f>IF(79&gt;=107,('Testes estatísticos'!$D$112+'Testes estatísticos'!$D$84)/2,"")</f>
        <v/>
      </c>
      <c r="CC285" s="7" t="str">
        <f>IF(80&gt;=107,('Testes estatísticos'!$D$112+'Testes estatísticos'!$D$85)/2,"")</f>
        <v/>
      </c>
      <c r="CD285" s="7" t="str">
        <f>IF(81&gt;=107,('Testes estatísticos'!$D$112+'Testes estatísticos'!$D$86)/2,"")</f>
        <v/>
      </c>
      <c r="CE285" s="7" t="str">
        <f>IF(82&gt;=107,('Testes estatísticos'!$D$112+'Testes estatísticos'!$D$87)/2,"")</f>
        <v/>
      </c>
      <c r="CF285" s="7" t="str">
        <f>IF(83&gt;=107,('Testes estatísticos'!$D$112+'Testes estatísticos'!$D$88)/2,"")</f>
        <v/>
      </c>
      <c r="CG285" s="7" t="str">
        <f>IF(84&gt;=107,('Testes estatísticos'!$D$112+'Testes estatísticos'!$D$89)/2,"")</f>
        <v/>
      </c>
      <c r="CH285" s="7" t="str">
        <f>IF(85&gt;=107,('Testes estatísticos'!$D$112+'Testes estatísticos'!$D$90)/2,"")</f>
        <v/>
      </c>
      <c r="CI285" s="7" t="str">
        <f>IF(86&gt;=107,('Testes estatísticos'!$D$112+'Testes estatísticos'!$D$91)/2,"")</f>
        <v/>
      </c>
      <c r="CJ285" s="7" t="str">
        <f>IF(87&gt;=107,('Testes estatísticos'!$D$112+'Testes estatísticos'!$D$92)/2,"")</f>
        <v/>
      </c>
      <c r="CK285" s="7" t="str">
        <f>IF(88&gt;=107,('Testes estatísticos'!$D$112+'Testes estatísticos'!$D$93)/2,"")</f>
        <v/>
      </c>
      <c r="CL285" s="7" t="str">
        <f>IF(89&gt;=107,('Testes estatísticos'!$D$112+'Testes estatísticos'!$D$94)/2,"")</f>
        <v/>
      </c>
      <c r="CM285" s="7" t="str">
        <f>IF(90&gt;=107,('Testes estatísticos'!$D$112+'Testes estatísticos'!$D$95)/2,"")</f>
        <v/>
      </c>
      <c r="CN285" s="7" t="str">
        <f>IF(91&gt;=107,('Testes estatísticos'!$D$112+'Testes estatísticos'!$D$96)/2,"")</f>
        <v/>
      </c>
      <c r="CO285" s="7" t="str">
        <f>IF(92&gt;=107,('Testes estatísticos'!$D$112+'Testes estatísticos'!$D$97)/2,"")</f>
        <v/>
      </c>
      <c r="CP285" s="7" t="str">
        <f>IF(93&gt;=107,('Testes estatísticos'!$D$112+'Testes estatísticos'!$D$98)/2,"")</f>
        <v/>
      </c>
      <c r="CQ285" s="7" t="str">
        <f>IF(94&gt;=107,('Testes estatísticos'!$D$112+'Testes estatísticos'!$D$99)/2,"")</f>
        <v/>
      </c>
      <c r="CR285" s="7" t="str">
        <f>IF(95&gt;=107,('Testes estatísticos'!$D$112+'Testes estatísticos'!$D$100)/2,"")</f>
        <v/>
      </c>
      <c r="CS285" s="7" t="str">
        <f>IF(96&gt;=107,('Testes estatísticos'!$D$112+'Testes estatísticos'!$D$101)/2,"")</f>
        <v/>
      </c>
      <c r="CT285" s="7" t="str">
        <f>IF(97&gt;=107,('Testes estatísticos'!$D$112+'Testes estatísticos'!$D$102)/2,"")</f>
        <v/>
      </c>
      <c r="CU285" s="7" t="str">
        <f>IF(98&gt;=107,('Testes estatísticos'!$D$112+'Testes estatísticos'!$D$103)/2,"")</f>
        <v/>
      </c>
      <c r="CV285" s="7" t="str">
        <f>IF(99&gt;=107,('Testes estatísticos'!$D$112+'Testes estatísticos'!$D$104)/2,"")</f>
        <v/>
      </c>
      <c r="CW285" s="7" t="str">
        <f>IF(100&gt;=107,('Testes estatísticos'!$D$112+'Testes estatísticos'!$D$105)/2,"")</f>
        <v/>
      </c>
      <c r="CX285" s="7" t="str">
        <f>IF(101&gt;=107,('Testes estatísticos'!$D$112+'Testes estatísticos'!$D$106)/2,"")</f>
        <v/>
      </c>
      <c r="CY285" s="7" t="str">
        <f>IF(102&gt;=107,('Testes estatísticos'!$D$112+'Testes estatísticos'!$D$107)/2,"")</f>
        <v/>
      </c>
      <c r="CZ285" s="7" t="str">
        <f>IF(103&gt;=107,('Testes estatísticos'!$D$112+'Testes estatísticos'!$D$108)/2,"")</f>
        <v/>
      </c>
      <c r="DA285" s="7" t="str">
        <f>IF(104&gt;=107,('Testes estatísticos'!$D$112+'Testes estatísticos'!$D$109)/2,"")</f>
        <v/>
      </c>
      <c r="DB285" s="7" t="str">
        <f>IF(105&gt;=107,('Testes estatísticos'!$D$112+'Testes estatísticos'!$D$110)/2,"")</f>
        <v/>
      </c>
      <c r="DC285" s="7" t="str">
        <f>IF(106&gt;=107,('Testes estatísticos'!$D$112+'Testes estatísticos'!$D$111)/2,"")</f>
        <v/>
      </c>
      <c r="DD285" s="7">
        <f>IF(107&gt;=107,('Testes estatísticos'!$D$112+'Testes estatísticos'!$D$112)/2,"")</f>
        <v>4.6713909999999998</v>
      </c>
      <c r="DE285" s="7">
        <f>IF(108&gt;=107,('Testes estatísticos'!$D$112+'Testes estatísticos'!$D$113)/2,"")</f>
        <v>1.2487555000000015</v>
      </c>
      <c r="DF285" s="7">
        <f>IF(109&gt;=107,('Testes estatísticos'!$D$112+'Testes estatísticos'!$D$114)/2,"")</f>
        <v>1.2124985000000024</v>
      </c>
      <c r="DG285" s="7">
        <f>IF(110&gt;=107,('Testes estatísticos'!$D$112+'Testes estatísticos'!$D$115)/2,"")</f>
        <v>-4.3346410000000013</v>
      </c>
      <c r="DH285" s="7">
        <f>IF(111&gt;=107,('Testes estatísticos'!$D$112+'Testes estatísticos'!$D$116)/2,"")</f>
        <v>1.3461895000000013</v>
      </c>
      <c r="DI285" s="7">
        <f>IF(112&gt;=107,('Testes estatísticos'!$D$112+'Testes estatísticos'!$D$117)/2,"")</f>
        <v>6.7746294999999996</v>
      </c>
      <c r="DJ285" s="7">
        <f>IF(113&gt;=107,('Testes estatísticos'!$D$112+'Testes estatísticos'!$D$118)/2,"")</f>
        <v>1.3180724999999995</v>
      </c>
      <c r="DK285" s="7">
        <f>IF(114&gt;=107,('Testes estatísticos'!$D$112+'Testes estatísticos'!$D$119)/2,"")</f>
        <v>1.2163225000000004</v>
      </c>
      <c r="DL285" s="7">
        <f>IF(115&gt;=107,('Testes estatísticos'!$D$112+'Testes estatísticos'!$D$120)/2,"")</f>
        <v>1.2628000000000021</v>
      </c>
      <c r="DM285" s="7">
        <f>IF(116&gt;=107,('Testes estatísticos'!$D$112+'Testes estatísticos'!$D$121)/2,"")</f>
        <v>1.2714025000000007</v>
      </c>
      <c r="DN285" s="7">
        <f>IF(117&gt;=107,('Testes estatísticos'!$D$112+'Testes estatísticos'!$D$122)/2,"")</f>
        <v>1.2944704999999992</v>
      </c>
      <c r="DO285" s="7">
        <f>IF(118&gt;=107,('Testes estatísticos'!$D$112+'Testes estatísticos'!$D$123)/2,"")</f>
        <v>1.3443809999999985</v>
      </c>
      <c r="DP285" s="7">
        <f>IF(119&gt;=107,('Testes estatísticos'!$D$112+'Testes estatísticos'!$D$124)/2,"")</f>
        <v>1.3231694999999988</v>
      </c>
      <c r="DQ285" s="7">
        <f>IF(120&gt;=107,('Testes estatísticos'!$D$112+'Testes estatísticos'!$D$125)/2,"")</f>
        <v>4.3747840000000018</v>
      </c>
      <c r="DR285" s="7">
        <f>IF(121&gt;=107,('Testes estatísticos'!$D$112+'Testes estatísticos'!$D$126)/2,"")</f>
        <v>1.5857674999999993</v>
      </c>
      <c r="DS285" s="7">
        <f>IF(122&gt;=107,('Testes estatísticos'!$D$112+'Testes estatísticos'!$D$127)/2,"")</f>
        <v>0.52035900000000268</v>
      </c>
      <c r="DT285" s="7">
        <f>IF(123&gt;=107,('Testes estatísticos'!$D$112+'Testes estatísticos'!$D$128)/2,"")</f>
        <v>6.5892284999999973</v>
      </c>
      <c r="DU285" s="7">
        <f>IF(124&gt;=107,('Testes estatísticos'!$D$112+'Testes estatísticos'!$D$129)/2,"")</f>
        <v>1.6934569999999987</v>
      </c>
      <c r="DV285" s="7">
        <f>IF(125&gt;=107,('Testes estatísticos'!$D$112+'Testes estatísticos'!$D$130)/2,"")</f>
        <v>2.851764499999998</v>
      </c>
      <c r="DW285" s="7">
        <f>IF(126&gt;=107,('Testes estatísticos'!$D$112+'Testes estatísticos'!$D$131)/2,"")</f>
        <v>0.44828850000000031</v>
      </c>
      <c r="DX285" s="7">
        <f>IF(127&gt;=107,('Testes estatísticos'!$D$112+'Testes estatísticos'!$D$132)/2,"")</f>
        <v>-1.6079030000000003</v>
      </c>
      <c r="DY285" s="7">
        <f>IF(128&gt;=107,('Testes estatísticos'!$D$112+'Testes estatísticos'!$D$133)/2,"")</f>
        <v>-1.9489924999999992</v>
      </c>
      <c r="DZ285" s="7">
        <f>IF(129&gt;=107,('Testes estatísticos'!$D$112+'Testes estatísticos'!$D$134)/2,"")</f>
        <v>-5.3727824999999996</v>
      </c>
      <c r="EA285" s="7">
        <f>IF(130&gt;=107,('Testes estatísticos'!$D$112+'Testes estatísticos'!$D$135)/2,"")</f>
        <v>0.38898750000000248</v>
      </c>
      <c r="EB285" s="7">
        <f>IF(131&gt;=107,('Testes estatísticos'!$D$112+'Testes estatísticos'!$D$136)/2,"")</f>
        <v>0.47686049999999724</v>
      </c>
      <c r="EC285" s="7">
        <f>IF(132&gt;=107,('Testes estatísticos'!$D$112+'Testes estatísticos'!$D$137)/2,"")</f>
        <v>-1.009876000000002</v>
      </c>
      <c r="ED285" s="7">
        <f>IF(133&gt;=107,('Testes estatísticos'!$D$112+'Testes estatísticos'!$D$138)/2,"")</f>
        <v>1.1790614999999995</v>
      </c>
      <c r="EE285" s="7">
        <f>IF(134&gt;=107,('Testes estatísticos'!$D$112+'Testes estatísticos'!$D$139)/2,"")</f>
        <v>-1.1181290000000033</v>
      </c>
      <c r="EF285" s="7">
        <f>IF(135&gt;=107,('Testes estatísticos'!$D$112+'Testes estatísticos'!$D$140)/2,"")</f>
        <v>2.0963035000000012</v>
      </c>
      <c r="EG285" s="7">
        <f>IF(136&gt;=107,('Testes estatísticos'!$D$112+'Testes estatísticos'!$D$141)/2,"")</f>
        <v>0.40281349999999705</v>
      </c>
      <c r="EH285" s="7">
        <f>IF(137&gt;=107,('Testes estatísticos'!$D$112+'Testes estatísticos'!$D$142)/2,"")</f>
        <v>2.1075534999999981</v>
      </c>
      <c r="EI285" s="7">
        <f>IF(138&gt;=107,('Testes estatísticos'!$D$112+'Testes estatísticos'!$D$143)/2,"")</f>
        <v>0.44253800000000254</v>
      </c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</row>
    <row r="286" spans="2:151" x14ac:dyDescent="0.3">
      <c r="B286" s="7" t="str">
        <f>IF(1&gt;=108,('Testes estatísticos'!$D$113+'Testes estatísticos'!$D$6)/2,"")</f>
        <v/>
      </c>
      <c r="C286" s="7" t="str">
        <f>IF(2&gt;=108,('Testes estatísticos'!$D$113+'Testes estatísticos'!$D$7)/2,"")</f>
        <v/>
      </c>
      <c r="D286" s="7" t="str">
        <f>IF(3&gt;=108,('Testes estatísticos'!$D$113+'Testes estatísticos'!$D$8)/2,"")</f>
        <v/>
      </c>
      <c r="E286" s="7" t="str">
        <f>IF(4&gt;=108,('Testes estatísticos'!$D$113+'Testes estatísticos'!$D$9)/2,"")</f>
        <v/>
      </c>
      <c r="F286" s="7" t="str">
        <f>IF(5&gt;=108,('Testes estatísticos'!$D$113+'Testes estatísticos'!$D$10)/2,"")</f>
        <v/>
      </c>
      <c r="G286" s="7" t="str">
        <f>IF(6&gt;=108,('Testes estatísticos'!$D$113+'Testes estatísticos'!$D$11)/2,"")</f>
        <v/>
      </c>
      <c r="H286" s="7" t="str">
        <f>IF(7&gt;=108,('Testes estatísticos'!$D$113+'Testes estatísticos'!$D$12)/2,"")</f>
        <v/>
      </c>
      <c r="I286" s="7" t="str">
        <f>IF(8&gt;=108,('Testes estatísticos'!$D$113+'Testes estatísticos'!$D$13)/2,"")</f>
        <v/>
      </c>
      <c r="J286" s="7" t="str">
        <f>IF(9&gt;=108,('Testes estatísticos'!$D$113+'Testes estatísticos'!$D$14)/2,"")</f>
        <v/>
      </c>
      <c r="K286" s="7" t="str">
        <f>IF(10&gt;=108,('Testes estatísticos'!$D$113+'Testes estatísticos'!$D$15)/2,"")</f>
        <v/>
      </c>
      <c r="L286" s="7" t="str">
        <f>IF(11&gt;=108,('Testes estatísticos'!$D$113+'Testes estatísticos'!$D$16)/2,"")</f>
        <v/>
      </c>
      <c r="M286" s="7" t="str">
        <f>IF(12&gt;=108,('Testes estatísticos'!$D$113+'Testes estatísticos'!$D$17)/2,"")</f>
        <v/>
      </c>
      <c r="N286" s="7" t="str">
        <f>IF(13&gt;=108,('Testes estatísticos'!$D$113+'Testes estatísticos'!$D$18)/2,"")</f>
        <v/>
      </c>
      <c r="O286" s="7" t="str">
        <f>IF(14&gt;=108,('Testes estatísticos'!$D$113+'Testes estatísticos'!$D$19)/2,"")</f>
        <v/>
      </c>
      <c r="P286" s="7" t="str">
        <f>IF(15&gt;=108,('Testes estatísticos'!$D$113+'Testes estatísticos'!$D$20)/2,"")</f>
        <v/>
      </c>
      <c r="Q286" s="7" t="str">
        <f>IF(16&gt;=108,('Testes estatísticos'!$D$113+'Testes estatísticos'!$D$21)/2,"")</f>
        <v/>
      </c>
      <c r="R286" s="7" t="str">
        <f>IF(17&gt;=108,('Testes estatísticos'!$D$113+'Testes estatísticos'!$D$22)/2,"")</f>
        <v/>
      </c>
      <c r="S286" s="7" t="str">
        <f>IF(18&gt;=108,('Testes estatísticos'!$D$113+'Testes estatísticos'!$D$23)/2,"")</f>
        <v/>
      </c>
      <c r="T286" s="7" t="str">
        <f>IF(19&gt;=108,('Testes estatísticos'!$D$113+'Testes estatísticos'!$D$24)/2,"")</f>
        <v/>
      </c>
      <c r="U286" s="7" t="str">
        <f>IF(20&gt;=108,('Testes estatísticos'!$D$113+'Testes estatísticos'!$D$25)/2,"")</f>
        <v/>
      </c>
      <c r="V286" s="7" t="str">
        <f>IF(21&gt;=108,('Testes estatísticos'!$D$113+'Testes estatísticos'!$D$26)/2,"")</f>
        <v/>
      </c>
      <c r="W286" s="7" t="str">
        <f>IF(22&gt;=108,('Testes estatísticos'!$D$113+'Testes estatísticos'!$D$27)/2,"")</f>
        <v/>
      </c>
      <c r="X286" s="7" t="str">
        <f>IF(23&gt;=108,('Testes estatísticos'!$D$113+'Testes estatísticos'!$D$28)/2,"")</f>
        <v/>
      </c>
      <c r="Y286" s="7" t="str">
        <f>IF(24&gt;=108,('Testes estatísticos'!$D$113+'Testes estatísticos'!$D$29)/2,"")</f>
        <v/>
      </c>
      <c r="Z286" s="7" t="str">
        <f>IF(25&gt;=108,('Testes estatísticos'!$D$113+'Testes estatísticos'!$D$30)/2,"")</f>
        <v/>
      </c>
      <c r="AA286" s="7" t="str">
        <f>IF(26&gt;=108,('Testes estatísticos'!$D$113+'Testes estatísticos'!$D$31)/2,"")</f>
        <v/>
      </c>
      <c r="AB286" s="7" t="str">
        <f>IF(27&gt;=108,('Testes estatísticos'!$D$113+'Testes estatísticos'!$D$32)/2,"")</f>
        <v/>
      </c>
      <c r="AC286" s="7" t="str">
        <f>IF(28&gt;=108,('Testes estatísticos'!$D$113+'Testes estatísticos'!$D$33)/2,"")</f>
        <v/>
      </c>
      <c r="AD286" s="7" t="str">
        <f>IF(29&gt;=108,('Testes estatísticos'!$D$113+'Testes estatísticos'!$D$34)/2,"")</f>
        <v/>
      </c>
      <c r="AE286" s="7" t="str">
        <f>IF(30&gt;=108,('Testes estatísticos'!$D$113+'Testes estatísticos'!$D$35)/2,"")</f>
        <v/>
      </c>
      <c r="AF286" s="7" t="str">
        <f>IF(31&gt;=108,('Testes estatísticos'!$D$113+'Testes estatísticos'!$D$36)/2,"")</f>
        <v/>
      </c>
      <c r="AG286" s="7" t="str">
        <f>IF(32&gt;=108,('Testes estatísticos'!$D$113+'Testes estatísticos'!$D$37)/2,"")</f>
        <v/>
      </c>
      <c r="AH286" s="7" t="str">
        <f>IF(33&gt;=108,('Testes estatísticos'!$D$113+'Testes estatísticos'!$D$38)/2,"")</f>
        <v/>
      </c>
      <c r="AI286" s="7" t="str">
        <f>IF(34&gt;=108,('Testes estatísticos'!$D$113+'Testes estatísticos'!$D$39)/2,"")</f>
        <v/>
      </c>
      <c r="AJ286" s="7" t="str">
        <f>IF(35&gt;=108,('Testes estatísticos'!$D$113+'Testes estatísticos'!$D$40)/2,"")</f>
        <v/>
      </c>
      <c r="AK286" s="7" t="str">
        <f>IF(36&gt;=108,('Testes estatísticos'!$D$113+'Testes estatísticos'!$D$41)/2,"")</f>
        <v/>
      </c>
      <c r="AL286" s="7" t="str">
        <f>IF(37&gt;=108,('Testes estatísticos'!$D$113+'Testes estatísticos'!$D$42)/2,"")</f>
        <v/>
      </c>
      <c r="AM286" s="7" t="str">
        <f>IF(38&gt;=108,('Testes estatísticos'!$D$113+'Testes estatísticos'!$D$43)/2,"")</f>
        <v/>
      </c>
      <c r="AN286" s="7" t="str">
        <f>IF(39&gt;=108,('Testes estatísticos'!$D$113+'Testes estatísticos'!$D$44)/2,"")</f>
        <v/>
      </c>
      <c r="AO286" s="7" t="str">
        <f>IF(40&gt;=108,('Testes estatísticos'!$D$113+'Testes estatísticos'!$D$45)/2,"")</f>
        <v/>
      </c>
      <c r="AP286" s="7" t="str">
        <f>IF(41&gt;=108,('Testes estatísticos'!$D$113+'Testes estatísticos'!$D$46)/2,"")</f>
        <v/>
      </c>
      <c r="AQ286" s="7" t="str">
        <f>IF(42&gt;=108,('Testes estatísticos'!$D$113+'Testes estatísticos'!$D$47)/2,"")</f>
        <v/>
      </c>
      <c r="AR286" s="7" t="str">
        <f>IF(43&gt;=108,('Testes estatísticos'!$D$113+'Testes estatísticos'!$D$48)/2,"")</f>
        <v/>
      </c>
      <c r="AS286" s="7" t="str">
        <f>IF(44&gt;=108,('Testes estatísticos'!$D$113+'Testes estatísticos'!$D$49)/2,"")</f>
        <v/>
      </c>
      <c r="AT286" s="7" t="str">
        <f>IF(45&gt;=108,('Testes estatísticos'!$D$113+'Testes estatísticos'!$D$50)/2,"")</f>
        <v/>
      </c>
      <c r="AU286" s="7" t="str">
        <f>IF(46&gt;=108,('Testes estatísticos'!$D$113+'Testes estatísticos'!$D$51)/2,"")</f>
        <v/>
      </c>
      <c r="AV286" s="7" t="str">
        <f>IF(47&gt;=108,('Testes estatísticos'!$D$113+'Testes estatísticos'!$D$52)/2,"")</f>
        <v/>
      </c>
      <c r="AW286" s="7" t="str">
        <f>IF(48&gt;=108,('Testes estatísticos'!$D$113+'Testes estatísticos'!$D$53)/2,"")</f>
        <v/>
      </c>
      <c r="AX286" s="7" t="str">
        <f>IF(49&gt;=108,('Testes estatísticos'!$D$113+'Testes estatísticos'!$D$54)/2,"")</f>
        <v/>
      </c>
      <c r="AY286" s="7" t="str">
        <f>IF(50&gt;=108,('Testes estatísticos'!$D$113+'Testes estatísticos'!$D$55)/2,"")</f>
        <v/>
      </c>
      <c r="AZ286" s="7" t="str">
        <f>IF(51&gt;=108,('Testes estatísticos'!$D$113+'Testes estatísticos'!$D$56)/2,"")</f>
        <v/>
      </c>
      <c r="BA286" s="7" t="str">
        <f>IF(52&gt;=108,('Testes estatísticos'!$D$113+'Testes estatísticos'!$D$57)/2,"")</f>
        <v/>
      </c>
      <c r="BB286" s="7" t="str">
        <f>IF(53&gt;=108,('Testes estatísticos'!$D$113+'Testes estatísticos'!$D$58)/2,"")</f>
        <v/>
      </c>
      <c r="BC286" s="7" t="str">
        <f>IF(54&gt;=108,('Testes estatísticos'!$D$113+'Testes estatísticos'!$D$59)/2,"")</f>
        <v/>
      </c>
      <c r="BD286" s="7" t="str">
        <f>IF(55&gt;=108,('Testes estatísticos'!$D$113+'Testes estatísticos'!$D$60)/2,"")</f>
        <v/>
      </c>
      <c r="BE286" s="7" t="str">
        <f>IF(56&gt;=108,('Testes estatísticos'!$D$113+'Testes estatísticos'!$D$61)/2,"")</f>
        <v/>
      </c>
      <c r="BF286" s="7" t="str">
        <f>IF(57&gt;=108,('Testes estatísticos'!$D$113+'Testes estatísticos'!$D$62)/2,"")</f>
        <v/>
      </c>
      <c r="BG286" s="7" t="str">
        <f>IF(58&gt;=108,('Testes estatísticos'!$D$113+'Testes estatísticos'!$D$63)/2,"")</f>
        <v/>
      </c>
      <c r="BH286" s="7" t="str">
        <f>IF(59&gt;=108,('Testes estatísticos'!$D$113+'Testes estatísticos'!$D$64)/2,"")</f>
        <v/>
      </c>
      <c r="BI286" s="7" t="str">
        <f>IF(60&gt;=108,('Testes estatísticos'!$D$113+'Testes estatísticos'!$D$65)/2,"")</f>
        <v/>
      </c>
      <c r="BJ286" s="7" t="str">
        <f>IF(61&gt;=108,('Testes estatísticos'!$D$113+'Testes estatísticos'!$D$66)/2,"")</f>
        <v/>
      </c>
      <c r="BK286" s="7" t="str">
        <f>IF(62&gt;=108,('Testes estatísticos'!$D$113+'Testes estatísticos'!$D$67)/2,"")</f>
        <v/>
      </c>
      <c r="BL286" s="7" t="str">
        <f>IF(63&gt;=108,('Testes estatísticos'!$D$113+'Testes estatísticos'!$D$68)/2,"")</f>
        <v/>
      </c>
      <c r="BM286" s="7" t="str">
        <f>IF(64&gt;=108,('Testes estatísticos'!$D$113+'Testes estatísticos'!$D$69)/2,"")</f>
        <v/>
      </c>
      <c r="BN286" s="7" t="str">
        <f>IF(65&gt;=108,('Testes estatísticos'!$D$113+'Testes estatísticos'!$D$70)/2,"")</f>
        <v/>
      </c>
      <c r="BO286" s="7" t="str">
        <f>IF(66&gt;=108,('Testes estatísticos'!$D$113+'Testes estatísticos'!$D$71)/2,"")</f>
        <v/>
      </c>
      <c r="BP286" s="7" t="str">
        <f>IF(67&gt;=108,('Testes estatísticos'!$D$113+'Testes estatísticos'!$D$72)/2,"")</f>
        <v/>
      </c>
      <c r="BQ286" s="7" t="str">
        <f>IF(68&gt;=108,('Testes estatísticos'!$D$113+'Testes estatísticos'!$D$73)/2,"")</f>
        <v/>
      </c>
      <c r="BR286" s="7" t="str">
        <f>IF(69&gt;=108,('Testes estatísticos'!$D$113+'Testes estatísticos'!$D$74)/2,"")</f>
        <v/>
      </c>
      <c r="BS286" s="7" t="str">
        <f>IF(70&gt;=108,('Testes estatísticos'!$D$113+'Testes estatísticos'!$D$75)/2,"")</f>
        <v/>
      </c>
      <c r="BT286" s="7" t="str">
        <f>IF(71&gt;=108,('Testes estatísticos'!$D$113+'Testes estatísticos'!$D$76)/2,"")</f>
        <v/>
      </c>
      <c r="BU286" s="7" t="str">
        <f>IF(72&gt;=108,('Testes estatísticos'!$D$113+'Testes estatísticos'!$D$77)/2,"")</f>
        <v/>
      </c>
      <c r="BV286" s="7" t="str">
        <f>IF(73&gt;=108,('Testes estatísticos'!$D$113+'Testes estatísticos'!$D$78)/2,"")</f>
        <v/>
      </c>
      <c r="BW286" s="7" t="str">
        <f>IF(74&gt;=108,('Testes estatísticos'!$D$113+'Testes estatísticos'!$D$79)/2,"")</f>
        <v/>
      </c>
      <c r="BX286" s="7" t="str">
        <f>IF(75&gt;=108,('Testes estatísticos'!$D$113+'Testes estatísticos'!$D$80)/2,"")</f>
        <v/>
      </c>
      <c r="BY286" s="7" t="str">
        <f>IF(76&gt;=108,('Testes estatísticos'!$D$113+'Testes estatísticos'!$D$81)/2,"")</f>
        <v/>
      </c>
      <c r="BZ286" s="7" t="str">
        <f>IF(77&gt;=108,('Testes estatísticos'!$D$113+'Testes estatísticos'!$D$82)/2,"")</f>
        <v/>
      </c>
      <c r="CA286" s="7" t="str">
        <f>IF(78&gt;=108,('Testes estatísticos'!$D$113+'Testes estatísticos'!$D$83)/2,"")</f>
        <v/>
      </c>
      <c r="CB286" s="7" t="str">
        <f>IF(79&gt;=108,('Testes estatísticos'!$D$113+'Testes estatísticos'!$D$84)/2,"")</f>
        <v/>
      </c>
      <c r="CC286" s="7" t="str">
        <f>IF(80&gt;=108,('Testes estatísticos'!$D$113+'Testes estatísticos'!$D$85)/2,"")</f>
        <v/>
      </c>
      <c r="CD286" s="7" t="str">
        <f>IF(81&gt;=108,('Testes estatísticos'!$D$113+'Testes estatísticos'!$D$86)/2,"")</f>
        <v/>
      </c>
      <c r="CE286" s="7" t="str">
        <f>IF(82&gt;=108,('Testes estatísticos'!$D$113+'Testes estatísticos'!$D$87)/2,"")</f>
        <v/>
      </c>
      <c r="CF286" s="7" t="str">
        <f>IF(83&gt;=108,('Testes estatísticos'!$D$113+'Testes estatísticos'!$D$88)/2,"")</f>
        <v/>
      </c>
      <c r="CG286" s="7" t="str">
        <f>IF(84&gt;=108,('Testes estatísticos'!$D$113+'Testes estatísticos'!$D$89)/2,"")</f>
        <v/>
      </c>
      <c r="CH286" s="7" t="str">
        <f>IF(85&gt;=108,('Testes estatísticos'!$D$113+'Testes estatísticos'!$D$90)/2,"")</f>
        <v/>
      </c>
      <c r="CI286" s="7" t="str">
        <f>IF(86&gt;=108,('Testes estatísticos'!$D$113+'Testes estatísticos'!$D$91)/2,"")</f>
        <v/>
      </c>
      <c r="CJ286" s="7" t="str">
        <f>IF(87&gt;=108,('Testes estatísticos'!$D$113+'Testes estatísticos'!$D$92)/2,"")</f>
        <v/>
      </c>
      <c r="CK286" s="7" t="str">
        <f>IF(88&gt;=108,('Testes estatísticos'!$D$113+'Testes estatísticos'!$D$93)/2,"")</f>
        <v/>
      </c>
      <c r="CL286" s="7" t="str">
        <f>IF(89&gt;=108,('Testes estatísticos'!$D$113+'Testes estatísticos'!$D$94)/2,"")</f>
        <v/>
      </c>
      <c r="CM286" s="7" t="str">
        <f>IF(90&gt;=108,('Testes estatísticos'!$D$113+'Testes estatísticos'!$D$95)/2,"")</f>
        <v/>
      </c>
      <c r="CN286" s="7" t="str">
        <f>IF(91&gt;=108,('Testes estatísticos'!$D$113+'Testes estatísticos'!$D$96)/2,"")</f>
        <v/>
      </c>
      <c r="CO286" s="7" t="str">
        <f>IF(92&gt;=108,('Testes estatísticos'!$D$113+'Testes estatísticos'!$D$97)/2,"")</f>
        <v/>
      </c>
      <c r="CP286" s="7" t="str">
        <f>IF(93&gt;=108,('Testes estatísticos'!$D$113+'Testes estatísticos'!$D$98)/2,"")</f>
        <v/>
      </c>
      <c r="CQ286" s="7" t="str">
        <f>IF(94&gt;=108,('Testes estatísticos'!$D$113+'Testes estatísticos'!$D$99)/2,"")</f>
        <v/>
      </c>
      <c r="CR286" s="7" t="str">
        <f>IF(95&gt;=108,('Testes estatísticos'!$D$113+'Testes estatísticos'!$D$100)/2,"")</f>
        <v/>
      </c>
      <c r="CS286" s="7" t="str">
        <f>IF(96&gt;=108,('Testes estatísticos'!$D$113+'Testes estatísticos'!$D$101)/2,"")</f>
        <v/>
      </c>
      <c r="CT286" s="7" t="str">
        <f>IF(97&gt;=108,('Testes estatísticos'!$D$113+'Testes estatísticos'!$D$102)/2,"")</f>
        <v/>
      </c>
      <c r="CU286" s="7" t="str">
        <f>IF(98&gt;=108,('Testes estatísticos'!$D$113+'Testes estatísticos'!$D$103)/2,"")</f>
        <v/>
      </c>
      <c r="CV286" s="7" t="str">
        <f>IF(99&gt;=108,('Testes estatísticos'!$D$113+'Testes estatísticos'!$D$104)/2,"")</f>
        <v/>
      </c>
      <c r="CW286" s="7" t="str">
        <f>IF(100&gt;=108,('Testes estatísticos'!$D$113+'Testes estatísticos'!$D$105)/2,"")</f>
        <v/>
      </c>
      <c r="CX286" s="7" t="str">
        <f>IF(101&gt;=108,('Testes estatísticos'!$D$113+'Testes estatísticos'!$D$106)/2,"")</f>
        <v/>
      </c>
      <c r="CY286" s="7" t="str">
        <f>IF(102&gt;=108,('Testes estatísticos'!$D$113+'Testes estatísticos'!$D$107)/2,"")</f>
        <v/>
      </c>
      <c r="CZ286" s="7" t="str">
        <f>IF(103&gt;=108,('Testes estatísticos'!$D$113+'Testes estatísticos'!$D$108)/2,"")</f>
        <v/>
      </c>
      <c r="DA286" s="7" t="str">
        <f>IF(104&gt;=108,('Testes estatísticos'!$D$113+'Testes estatísticos'!$D$109)/2,"")</f>
        <v/>
      </c>
      <c r="DB286" s="7" t="str">
        <f>IF(105&gt;=108,('Testes estatísticos'!$D$113+'Testes estatísticos'!$D$110)/2,"")</f>
        <v/>
      </c>
      <c r="DC286" s="7" t="str">
        <f>IF(106&gt;=108,('Testes estatísticos'!$D$113+'Testes estatísticos'!$D$111)/2,"")</f>
        <v/>
      </c>
      <c r="DD286" s="7" t="str">
        <f>IF(107&gt;=108,('Testes estatísticos'!$D$113+'Testes estatísticos'!$D$112)/2,"")</f>
        <v/>
      </c>
      <c r="DE286" s="7">
        <f>IF(108&gt;=108,('Testes estatísticos'!$D$113+'Testes estatísticos'!$D$113)/2,"")</f>
        <v>-2.1738799999999969</v>
      </c>
      <c r="DF286" s="7">
        <f>IF(109&gt;=108,('Testes estatísticos'!$D$113+'Testes estatísticos'!$D$114)/2,"")</f>
        <v>-2.210136999999996</v>
      </c>
      <c r="DG286" s="7">
        <f>IF(110&gt;=108,('Testes estatísticos'!$D$113+'Testes estatísticos'!$D$115)/2,"")</f>
        <v>-7.7572764999999997</v>
      </c>
      <c r="DH286" s="7">
        <f>IF(111&gt;=108,('Testes estatísticos'!$D$113+'Testes estatísticos'!$D$116)/2,"")</f>
        <v>-2.0764459999999971</v>
      </c>
      <c r="DI286" s="7">
        <f>IF(112&gt;=108,('Testes estatísticos'!$D$113+'Testes estatísticos'!$D$117)/2,"")</f>
        <v>3.3519940000000013</v>
      </c>
      <c r="DJ286" s="7">
        <f>IF(113&gt;=108,('Testes estatísticos'!$D$113+'Testes estatísticos'!$D$118)/2,"")</f>
        <v>-2.1045629999999989</v>
      </c>
      <c r="DK286" s="7">
        <f>IF(114&gt;=108,('Testes estatísticos'!$D$113+'Testes estatísticos'!$D$119)/2,"")</f>
        <v>-2.206312999999998</v>
      </c>
      <c r="DL286" s="7">
        <f>IF(115&gt;=108,('Testes estatísticos'!$D$113+'Testes estatísticos'!$D$120)/2,"")</f>
        <v>-2.1598354999999962</v>
      </c>
      <c r="DM286" s="7">
        <f>IF(116&gt;=108,('Testes estatísticos'!$D$113+'Testes estatísticos'!$D$121)/2,"")</f>
        <v>-2.1512329999999977</v>
      </c>
      <c r="DN286" s="7">
        <f>IF(117&gt;=108,('Testes estatísticos'!$D$113+'Testes estatísticos'!$D$122)/2,"")</f>
        <v>-2.1281649999999992</v>
      </c>
      <c r="DO286" s="7">
        <f>IF(118&gt;=108,('Testes estatísticos'!$D$113+'Testes estatísticos'!$D$123)/2,"")</f>
        <v>-2.0782544999999999</v>
      </c>
      <c r="DP286" s="7">
        <f>IF(119&gt;=108,('Testes estatísticos'!$D$113+'Testes estatísticos'!$D$124)/2,"")</f>
        <v>-2.0994659999999996</v>
      </c>
      <c r="DQ286" s="7">
        <f>IF(120&gt;=108,('Testes estatísticos'!$D$113+'Testes estatísticos'!$D$125)/2,"")</f>
        <v>0.95214850000000339</v>
      </c>
      <c r="DR286" s="7">
        <f>IF(121&gt;=108,('Testes estatísticos'!$D$113+'Testes estatísticos'!$D$126)/2,"")</f>
        <v>-1.8368679999999991</v>
      </c>
      <c r="DS286" s="7">
        <f>IF(122&gt;=108,('Testes estatísticos'!$D$113+'Testes estatísticos'!$D$127)/2,"")</f>
        <v>-2.9022764999999957</v>
      </c>
      <c r="DT286" s="7">
        <f>IF(123&gt;=108,('Testes estatísticos'!$D$113+'Testes estatísticos'!$D$128)/2,"")</f>
        <v>3.1665929999999989</v>
      </c>
      <c r="DU286" s="7">
        <f>IF(124&gt;=108,('Testes estatísticos'!$D$113+'Testes estatísticos'!$D$129)/2,"")</f>
        <v>-1.7291784999999997</v>
      </c>
      <c r="DV286" s="7">
        <f>IF(125&gt;=108,('Testes estatísticos'!$D$113+'Testes estatísticos'!$D$130)/2,"")</f>
        <v>-0.57087100000000035</v>
      </c>
      <c r="DW286" s="7">
        <f>IF(126&gt;=108,('Testes estatísticos'!$D$113+'Testes estatísticos'!$D$131)/2,"")</f>
        <v>-2.9743469999999981</v>
      </c>
      <c r="DX286" s="7">
        <f>IF(127&gt;=108,('Testes estatísticos'!$D$113+'Testes estatísticos'!$D$132)/2,"")</f>
        <v>-5.0305384999999987</v>
      </c>
      <c r="DY286" s="7">
        <f>IF(128&gt;=108,('Testes estatísticos'!$D$113+'Testes estatísticos'!$D$133)/2,"")</f>
        <v>-5.3716279999999976</v>
      </c>
      <c r="DZ286" s="7">
        <f>IF(129&gt;=108,('Testes estatísticos'!$D$113+'Testes estatísticos'!$D$134)/2,"")</f>
        <v>-8.795417999999998</v>
      </c>
      <c r="EA286" s="7">
        <f>IF(130&gt;=108,('Testes estatísticos'!$D$113+'Testes estatísticos'!$D$135)/2,"")</f>
        <v>-3.0336479999999959</v>
      </c>
      <c r="EB286" s="7">
        <f>IF(131&gt;=108,('Testes estatísticos'!$D$113+'Testes estatísticos'!$D$136)/2,"")</f>
        <v>-2.9457750000000011</v>
      </c>
      <c r="EC286" s="7">
        <f>IF(132&gt;=108,('Testes estatísticos'!$D$113+'Testes estatísticos'!$D$137)/2,"")</f>
        <v>-4.4325115000000004</v>
      </c>
      <c r="ED286" s="7">
        <f>IF(133&gt;=108,('Testes estatísticos'!$D$113+'Testes estatísticos'!$D$138)/2,"")</f>
        <v>-2.2435739999999988</v>
      </c>
      <c r="EE286" s="7">
        <f>IF(134&gt;=108,('Testes estatísticos'!$D$113+'Testes estatísticos'!$D$139)/2,"")</f>
        <v>-4.5407645000000016</v>
      </c>
      <c r="EF286" s="7">
        <f>IF(135&gt;=108,('Testes estatísticos'!$D$113+'Testes estatísticos'!$D$140)/2,"")</f>
        <v>-1.3263319999999972</v>
      </c>
      <c r="EG286" s="7">
        <f>IF(136&gt;=108,('Testes estatísticos'!$D$113+'Testes estatísticos'!$D$141)/2,"")</f>
        <v>-3.0198220000000013</v>
      </c>
      <c r="EH286" s="7">
        <f>IF(137&gt;=108,('Testes estatísticos'!$D$113+'Testes estatísticos'!$D$142)/2,"")</f>
        <v>-1.3150820000000003</v>
      </c>
      <c r="EI286" s="7">
        <f>IF(138&gt;=108,('Testes estatísticos'!$D$113+'Testes estatísticos'!$D$143)/2,"")</f>
        <v>-2.9800974999999958</v>
      </c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</row>
    <row r="287" spans="2:151" x14ac:dyDescent="0.3">
      <c r="B287" s="7" t="str">
        <f>IF(1&gt;=109,('Testes estatísticos'!$D$114+'Testes estatísticos'!$D$6)/2,"")</f>
        <v/>
      </c>
      <c r="C287" s="7" t="str">
        <f>IF(2&gt;=109,('Testes estatísticos'!$D$114+'Testes estatísticos'!$D$7)/2,"")</f>
        <v/>
      </c>
      <c r="D287" s="7" t="str">
        <f>IF(3&gt;=109,('Testes estatísticos'!$D$114+'Testes estatísticos'!$D$8)/2,"")</f>
        <v/>
      </c>
      <c r="E287" s="7" t="str">
        <f>IF(4&gt;=109,('Testes estatísticos'!$D$114+'Testes estatísticos'!$D$9)/2,"")</f>
        <v/>
      </c>
      <c r="F287" s="7" t="str">
        <f>IF(5&gt;=109,('Testes estatísticos'!$D$114+'Testes estatísticos'!$D$10)/2,"")</f>
        <v/>
      </c>
      <c r="G287" s="7" t="str">
        <f>IF(6&gt;=109,('Testes estatísticos'!$D$114+'Testes estatísticos'!$D$11)/2,"")</f>
        <v/>
      </c>
      <c r="H287" s="7" t="str">
        <f>IF(7&gt;=109,('Testes estatísticos'!$D$114+'Testes estatísticos'!$D$12)/2,"")</f>
        <v/>
      </c>
      <c r="I287" s="7" t="str">
        <f>IF(8&gt;=109,('Testes estatísticos'!$D$114+'Testes estatísticos'!$D$13)/2,"")</f>
        <v/>
      </c>
      <c r="J287" s="7" t="str">
        <f>IF(9&gt;=109,('Testes estatísticos'!$D$114+'Testes estatísticos'!$D$14)/2,"")</f>
        <v/>
      </c>
      <c r="K287" s="7" t="str">
        <f>IF(10&gt;=109,('Testes estatísticos'!$D$114+'Testes estatísticos'!$D$15)/2,"")</f>
        <v/>
      </c>
      <c r="L287" s="7" t="str">
        <f>IF(11&gt;=109,('Testes estatísticos'!$D$114+'Testes estatísticos'!$D$16)/2,"")</f>
        <v/>
      </c>
      <c r="M287" s="7" t="str">
        <f>IF(12&gt;=109,('Testes estatísticos'!$D$114+'Testes estatísticos'!$D$17)/2,"")</f>
        <v/>
      </c>
      <c r="N287" s="7" t="str">
        <f>IF(13&gt;=109,('Testes estatísticos'!$D$114+'Testes estatísticos'!$D$18)/2,"")</f>
        <v/>
      </c>
      <c r="O287" s="7" t="str">
        <f>IF(14&gt;=109,('Testes estatísticos'!$D$114+'Testes estatísticos'!$D$19)/2,"")</f>
        <v/>
      </c>
      <c r="P287" s="7" t="str">
        <f>IF(15&gt;=109,('Testes estatísticos'!$D$114+'Testes estatísticos'!$D$20)/2,"")</f>
        <v/>
      </c>
      <c r="Q287" s="7" t="str">
        <f>IF(16&gt;=109,('Testes estatísticos'!$D$114+'Testes estatísticos'!$D$21)/2,"")</f>
        <v/>
      </c>
      <c r="R287" s="7" t="str">
        <f>IF(17&gt;=109,('Testes estatísticos'!$D$114+'Testes estatísticos'!$D$22)/2,"")</f>
        <v/>
      </c>
      <c r="S287" s="7" t="str">
        <f>IF(18&gt;=109,('Testes estatísticos'!$D$114+'Testes estatísticos'!$D$23)/2,"")</f>
        <v/>
      </c>
      <c r="T287" s="7" t="str">
        <f>IF(19&gt;=109,('Testes estatísticos'!$D$114+'Testes estatísticos'!$D$24)/2,"")</f>
        <v/>
      </c>
      <c r="U287" s="7" t="str">
        <f>IF(20&gt;=109,('Testes estatísticos'!$D$114+'Testes estatísticos'!$D$25)/2,"")</f>
        <v/>
      </c>
      <c r="V287" s="7" t="str">
        <f>IF(21&gt;=109,('Testes estatísticos'!$D$114+'Testes estatísticos'!$D$26)/2,"")</f>
        <v/>
      </c>
      <c r="W287" s="7" t="str">
        <f>IF(22&gt;=109,('Testes estatísticos'!$D$114+'Testes estatísticos'!$D$27)/2,"")</f>
        <v/>
      </c>
      <c r="X287" s="7" t="str">
        <f>IF(23&gt;=109,('Testes estatísticos'!$D$114+'Testes estatísticos'!$D$28)/2,"")</f>
        <v/>
      </c>
      <c r="Y287" s="7" t="str">
        <f>IF(24&gt;=109,('Testes estatísticos'!$D$114+'Testes estatísticos'!$D$29)/2,"")</f>
        <v/>
      </c>
      <c r="Z287" s="7" t="str">
        <f>IF(25&gt;=109,('Testes estatísticos'!$D$114+'Testes estatísticos'!$D$30)/2,"")</f>
        <v/>
      </c>
      <c r="AA287" s="7" t="str">
        <f>IF(26&gt;=109,('Testes estatísticos'!$D$114+'Testes estatísticos'!$D$31)/2,"")</f>
        <v/>
      </c>
      <c r="AB287" s="7" t="str">
        <f>IF(27&gt;=109,('Testes estatísticos'!$D$114+'Testes estatísticos'!$D$32)/2,"")</f>
        <v/>
      </c>
      <c r="AC287" s="7" t="str">
        <f>IF(28&gt;=109,('Testes estatísticos'!$D$114+'Testes estatísticos'!$D$33)/2,"")</f>
        <v/>
      </c>
      <c r="AD287" s="7" t="str">
        <f>IF(29&gt;=109,('Testes estatísticos'!$D$114+'Testes estatísticos'!$D$34)/2,"")</f>
        <v/>
      </c>
      <c r="AE287" s="7" t="str">
        <f>IF(30&gt;=109,('Testes estatísticos'!$D$114+'Testes estatísticos'!$D$35)/2,"")</f>
        <v/>
      </c>
      <c r="AF287" s="7" t="str">
        <f>IF(31&gt;=109,('Testes estatísticos'!$D$114+'Testes estatísticos'!$D$36)/2,"")</f>
        <v/>
      </c>
      <c r="AG287" s="7" t="str">
        <f>IF(32&gt;=109,('Testes estatísticos'!$D$114+'Testes estatísticos'!$D$37)/2,"")</f>
        <v/>
      </c>
      <c r="AH287" s="7" t="str">
        <f>IF(33&gt;=109,('Testes estatísticos'!$D$114+'Testes estatísticos'!$D$38)/2,"")</f>
        <v/>
      </c>
      <c r="AI287" s="7" t="str">
        <f>IF(34&gt;=109,('Testes estatísticos'!$D$114+'Testes estatísticos'!$D$39)/2,"")</f>
        <v/>
      </c>
      <c r="AJ287" s="7" t="str">
        <f>IF(35&gt;=109,('Testes estatísticos'!$D$114+'Testes estatísticos'!$D$40)/2,"")</f>
        <v/>
      </c>
      <c r="AK287" s="7" t="str">
        <f>IF(36&gt;=109,('Testes estatísticos'!$D$114+'Testes estatísticos'!$D$41)/2,"")</f>
        <v/>
      </c>
      <c r="AL287" s="7" t="str">
        <f>IF(37&gt;=109,('Testes estatísticos'!$D$114+'Testes estatísticos'!$D$42)/2,"")</f>
        <v/>
      </c>
      <c r="AM287" s="7" t="str">
        <f>IF(38&gt;=109,('Testes estatísticos'!$D$114+'Testes estatísticos'!$D$43)/2,"")</f>
        <v/>
      </c>
      <c r="AN287" s="7" t="str">
        <f>IF(39&gt;=109,('Testes estatísticos'!$D$114+'Testes estatísticos'!$D$44)/2,"")</f>
        <v/>
      </c>
      <c r="AO287" s="7" t="str">
        <f>IF(40&gt;=109,('Testes estatísticos'!$D$114+'Testes estatísticos'!$D$45)/2,"")</f>
        <v/>
      </c>
      <c r="AP287" s="7" t="str">
        <f>IF(41&gt;=109,('Testes estatísticos'!$D$114+'Testes estatísticos'!$D$46)/2,"")</f>
        <v/>
      </c>
      <c r="AQ287" s="7" t="str">
        <f>IF(42&gt;=109,('Testes estatísticos'!$D$114+'Testes estatísticos'!$D$47)/2,"")</f>
        <v/>
      </c>
      <c r="AR287" s="7" t="str">
        <f>IF(43&gt;=109,('Testes estatísticos'!$D$114+'Testes estatísticos'!$D$48)/2,"")</f>
        <v/>
      </c>
      <c r="AS287" s="7" t="str">
        <f>IF(44&gt;=109,('Testes estatísticos'!$D$114+'Testes estatísticos'!$D$49)/2,"")</f>
        <v/>
      </c>
      <c r="AT287" s="7" t="str">
        <f>IF(45&gt;=109,('Testes estatísticos'!$D$114+'Testes estatísticos'!$D$50)/2,"")</f>
        <v/>
      </c>
      <c r="AU287" s="7" t="str">
        <f>IF(46&gt;=109,('Testes estatísticos'!$D$114+'Testes estatísticos'!$D$51)/2,"")</f>
        <v/>
      </c>
      <c r="AV287" s="7" t="str">
        <f>IF(47&gt;=109,('Testes estatísticos'!$D$114+'Testes estatísticos'!$D$52)/2,"")</f>
        <v/>
      </c>
      <c r="AW287" s="7" t="str">
        <f>IF(48&gt;=109,('Testes estatísticos'!$D$114+'Testes estatísticos'!$D$53)/2,"")</f>
        <v/>
      </c>
      <c r="AX287" s="7" t="str">
        <f>IF(49&gt;=109,('Testes estatísticos'!$D$114+'Testes estatísticos'!$D$54)/2,"")</f>
        <v/>
      </c>
      <c r="AY287" s="7" t="str">
        <f>IF(50&gt;=109,('Testes estatísticos'!$D$114+'Testes estatísticos'!$D$55)/2,"")</f>
        <v/>
      </c>
      <c r="AZ287" s="7" t="str">
        <f>IF(51&gt;=109,('Testes estatísticos'!$D$114+'Testes estatísticos'!$D$56)/2,"")</f>
        <v/>
      </c>
      <c r="BA287" s="7" t="str">
        <f>IF(52&gt;=109,('Testes estatísticos'!$D$114+'Testes estatísticos'!$D$57)/2,"")</f>
        <v/>
      </c>
      <c r="BB287" s="7" t="str">
        <f>IF(53&gt;=109,('Testes estatísticos'!$D$114+'Testes estatísticos'!$D$58)/2,"")</f>
        <v/>
      </c>
      <c r="BC287" s="7" t="str">
        <f>IF(54&gt;=109,('Testes estatísticos'!$D$114+'Testes estatísticos'!$D$59)/2,"")</f>
        <v/>
      </c>
      <c r="BD287" s="7" t="str">
        <f>IF(55&gt;=109,('Testes estatísticos'!$D$114+'Testes estatísticos'!$D$60)/2,"")</f>
        <v/>
      </c>
      <c r="BE287" s="7" t="str">
        <f>IF(56&gt;=109,('Testes estatísticos'!$D$114+'Testes estatísticos'!$D$61)/2,"")</f>
        <v/>
      </c>
      <c r="BF287" s="7" t="str">
        <f>IF(57&gt;=109,('Testes estatísticos'!$D$114+'Testes estatísticos'!$D$62)/2,"")</f>
        <v/>
      </c>
      <c r="BG287" s="7" t="str">
        <f>IF(58&gt;=109,('Testes estatísticos'!$D$114+'Testes estatísticos'!$D$63)/2,"")</f>
        <v/>
      </c>
      <c r="BH287" s="7" t="str">
        <f>IF(59&gt;=109,('Testes estatísticos'!$D$114+'Testes estatísticos'!$D$64)/2,"")</f>
        <v/>
      </c>
      <c r="BI287" s="7" t="str">
        <f>IF(60&gt;=109,('Testes estatísticos'!$D$114+'Testes estatísticos'!$D$65)/2,"")</f>
        <v/>
      </c>
      <c r="BJ287" s="7" t="str">
        <f>IF(61&gt;=109,('Testes estatísticos'!$D$114+'Testes estatísticos'!$D$66)/2,"")</f>
        <v/>
      </c>
      <c r="BK287" s="7" t="str">
        <f>IF(62&gt;=109,('Testes estatísticos'!$D$114+'Testes estatísticos'!$D$67)/2,"")</f>
        <v/>
      </c>
      <c r="BL287" s="7" t="str">
        <f>IF(63&gt;=109,('Testes estatísticos'!$D$114+'Testes estatísticos'!$D$68)/2,"")</f>
        <v/>
      </c>
      <c r="BM287" s="7" t="str">
        <f>IF(64&gt;=109,('Testes estatísticos'!$D$114+'Testes estatísticos'!$D$69)/2,"")</f>
        <v/>
      </c>
      <c r="BN287" s="7" t="str">
        <f>IF(65&gt;=109,('Testes estatísticos'!$D$114+'Testes estatísticos'!$D$70)/2,"")</f>
        <v/>
      </c>
      <c r="BO287" s="7" t="str">
        <f>IF(66&gt;=109,('Testes estatísticos'!$D$114+'Testes estatísticos'!$D$71)/2,"")</f>
        <v/>
      </c>
      <c r="BP287" s="7" t="str">
        <f>IF(67&gt;=109,('Testes estatísticos'!$D$114+'Testes estatísticos'!$D$72)/2,"")</f>
        <v/>
      </c>
      <c r="BQ287" s="7" t="str">
        <f>IF(68&gt;=109,('Testes estatísticos'!$D$114+'Testes estatísticos'!$D$73)/2,"")</f>
        <v/>
      </c>
      <c r="BR287" s="7" t="str">
        <f>IF(69&gt;=109,('Testes estatísticos'!$D$114+'Testes estatísticos'!$D$74)/2,"")</f>
        <v/>
      </c>
      <c r="BS287" s="7" t="str">
        <f>IF(70&gt;=109,('Testes estatísticos'!$D$114+'Testes estatísticos'!$D$75)/2,"")</f>
        <v/>
      </c>
      <c r="BT287" s="7" t="str">
        <f>IF(71&gt;=109,('Testes estatísticos'!$D$114+'Testes estatísticos'!$D$76)/2,"")</f>
        <v/>
      </c>
      <c r="BU287" s="7" t="str">
        <f>IF(72&gt;=109,('Testes estatísticos'!$D$114+'Testes estatísticos'!$D$77)/2,"")</f>
        <v/>
      </c>
      <c r="BV287" s="7" t="str">
        <f>IF(73&gt;=109,('Testes estatísticos'!$D$114+'Testes estatísticos'!$D$78)/2,"")</f>
        <v/>
      </c>
      <c r="BW287" s="7" t="str">
        <f>IF(74&gt;=109,('Testes estatísticos'!$D$114+'Testes estatísticos'!$D$79)/2,"")</f>
        <v/>
      </c>
      <c r="BX287" s="7" t="str">
        <f>IF(75&gt;=109,('Testes estatísticos'!$D$114+'Testes estatísticos'!$D$80)/2,"")</f>
        <v/>
      </c>
      <c r="BY287" s="7" t="str">
        <f>IF(76&gt;=109,('Testes estatísticos'!$D$114+'Testes estatísticos'!$D$81)/2,"")</f>
        <v/>
      </c>
      <c r="BZ287" s="7" t="str">
        <f>IF(77&gt;=109,('Testes estatísticos'!$D$114+'Testes estatísticos'!$D$82)/2,"")</f>
        <v/>
      </c>
      <c r="CA287" s="7" t="str">
        <f>IF(78&gt;=109,('Testes estatísticos'!$D$114+'Testes estatísticos'!$D$83)/2,"")</f>
        <v/>
      </c>
      <c r="CB287" s="7" t="str">
        <f>IF(79&gt;=109,('Testes estatísticos'!$D$114+'Testes estatísticos'!$D$84)/2,"")</f>
        <v/>
      </c>
      <c r="CC287" s="7" t="str">
        <f>IF(80&gt;=109,('Testes estatísticos'!$D$114+'Testes estatísticos'!$D$85)/2,"")</f>
        <v/>
      </c>
      <c r="CD287" s="7" t="str">
        <f>IF(81&gt;=109,('Testes estatísticos'!$D$114+'Testes estatísticos'!$D$86)/2,"")</f>
        <v/>
      </c>
      <c r="CE287" s="7" t="str">
        <f>IF(82&gt;=109,('Testes estatísticos'!$D$114+'Testes estatísticos'!$D$87)/2,"")</f>
        <v/>
      </c>
      <c r="CF287" s="7" t="str">
        <f>IF(83&gt;=109,('Testes estatísticos'!$D$114+'Testes estatísticos'!$D$88)/2,"")</f>
        <v/>
      </c>
      <c r="CG287" s="7" t="str">
        <f>IF(84&gt;=109,('Testes estatísticos'!$D$114+'Testes estatísticos'!$D$89)/2,"")</f>
        <v/>
      </c>
      <c r="CH287" s="7" t="str">
        <f>IF(85&gt;=109,('Testes estatísticos'!$D$114+'Testes estatísticos'!$D$90)/2,"")</f>
        <v/>
      </c>
      <c r="CI287" s="7" t="str">
        <f>IF(86&gt;=109,('Testes estatísticos'!$D$114+'Testes estatísticos'!$D$91)/2,"")</f>
        <v/>
      </c>
      <c r="CJ287" s="7" t="str">
        <f>IF(87&gt;=109,('Testes estatísticos'!$D$114+'Testes estatísticos'!$D$92)/2,"")</f>
        <v/>
      </c>
      <c r="CK287" s="7" t="str">
        <f>IF(88&gt;=109,('Testes estatísticos'!$D$114+'Testes estatísticos'!$D$93)/2,"")</f>
        <v/>
      </c>
      <c r="CL287" s="7" t="str">
        <f>IF(89&gt;=109,('Testes estatísticos'!$D$114+'Testes estatísticos'!$D$94)/2,"")</f>
        <v/>
      </c>
      <c r="CM287" s="7" t="str">
        <f>IF(90&gt;=109,('Testes estatísticos'!$D$114+'Testes estatísticos'!$D$95)/2,"")</f>
        <v/>
      </c>
      <c r="CN287" s="7" t="str">
        <f>IF(91&gt;=109,('Testes estatísticos'!$D$114+'Testes estatísticos'!$D$96)/2,"")</f>
        <v/>
      </c>
      <c r="CO287" s="7" t="str">
        <f>IF(92&gt;=109,('Testes estatísticos'!$D$114+'Testes estatísticos'!$D$97)/2,"")</f>
        <v/>
      </c>
      <c r="CP287" s="7" t="str">
        <f>IF(93&gt;=109,('Testes estatísticos'!$D$114+'Testes estatísticos'!$D$98)/2,"")</f>
        <v/>
      </c>
      <c r="CQ287" s="7" t="str">
        <f>IF(94&gt;=109,('Testes estatísticos'!$D$114+'Testes estatísticos'!$D$99)/2,"")</f>
        <v/>
      </c>
      <c r="CR287" s="7" t="str">
        <f>IF(95&gt;=109,('Testes estatísticos'!$D$114+'Testes estatísticos'!$D$100)/2,"")</f>
        <v/>
      </c>
      <c r="CS287" s="7" t="str">
        <f>IF(96&gt;=109,('Testes estatísticos'!$D$114+'Testes estatísticos'!$D$101)/2,"")</f>
        <v/>
      </c>
      <c r="CT287" s="7" t="str">
        <f>IF(97&gt;=109,('Testes estatísticos'!$D$114+'Testes estatísticos'!$D$102)/2,"")</f>
        <v/>
      </c>
      <c r="CU287" s="7" t="str">
        <f>IF(98&gt;=109,('Testes estatísticos'!$D$114+'Testes estatísticos'!$D$103)/2,"")</f>
        <v/>
      </c>
      <c r="CV287" s="7" t="str">
        <f>IF(99&gt;=109,('Testes estatísticos'!$D$114+'Testes estatísticos'!$D$104)/2,"")</f>
        <v/>
      </c>
      <c r="CW287" s="7" t="str">
        <f>IF(100&gt;=109,('Testes estatísticos'!$D$114+'Testes estatísticos'!$D$105)/2,"")</f>
        <v/>
      </c>
      <c r="CX287" s="7" t="str">
        <f>IF(101&gt;=109,('Testes estatísticos'!$D$114+'Testes estatísticos'!$D$106)/2,"")</f>
        <v/>
      </c>
      <c r="CY287" s="7" t="str">
        <f>IF(102&gt;=109,('Testes estatísticos'!$D$114+'Testes estatísticos'!$D$107)/2,"")</f>
        <v/>
      </c>
      <c r="CZ287" s="7" t="str">
        <f>IF(103&gt;=109,('Testes estatísticos'!$D$114+'Testes estatísticos'!$D$108)/2,"")</f>
        <v/>
      </c>
      <c r="DA287" s="7" t="str">
        <f>IF(104&gt;=109,('Testes estatísticos'!$D$114+'Testes estatísticos'!$D$109)/2,"")</f>
        <v/>
      </c>
      <c r="DB287" s="7" t="str">
        <f>IF(105&gt;=109,('Testes estatísticos'!$D$114+'Testes estatísticos'!$D$110)/2,"")</f>
        <v/>
      </c>
      <c r="DC287" s="7" t="str">
        <f>IF(106&gt;=109,('Testes estatísticos'!$D$114+'Testes estatísticos'!$D$111)/2,"")</f>
        <v/>
      </c>
      <c r="DD287" s="7" t="str">
        <f>IF(107&gt;=109,('Testes estatísticos'!$D$114+'Testes estatísticos'!$D$112)/2,"")</f>
        <v/>
      </c>
      <c r="DE287" s="7" t="str">
        <f>IF(108&gt;=109,('Testes estatísticos'!$D$114+'Testes estatísticos'!$D$113)/2,"")</f>
        <v/>
      </c>
      <c r="DF287" s="7">
        <f>IF(109&gt;=109,('Testes estatísticos'!$D$114+'Testes estatísticos'!$D$114)/2,"")</f>
        <v>-2.2463939999999951</v>
      </c>
      <c r="DG287" s="7">
        <f>IF(110&gt;=109,('Testes estatísticos'!$D$114+'Testes estatísticos'!$D$115)/2,"")</f>
        <v>-7.7935334999999988</v>
      </c>
      <c r="DH287" s="7">
        <f>IF(111&gt;=109,('Testes estatísticos'!$D$114+'Testes estatísticos'!$D$116)/2,"")</f>
        <v>-2.1127029999999962</v>
      </c>
      <c r="DI287" s="7">
        <f>IF(112&gt;=109,('Testes estatísticos'!$D$114+'Testes estatísticos'!$D$117)/2,"")</f>
        <v>3.3157370000000022</v>
      </c>
      <c r="DJ287" s="7">
        <f>IF(113&gt;=109,('Testes estatísticos'!$D$114+'Testes estatísticos'!$D$118)/2,"")</f>
        <v>-2.1408199999999979</v>
      </c>
      <c r="DK287" s="7">
        <f>IF(114&gt;=109,('Testes estatísticos'!$D$114+'Testes estatísticos'!$D$119)/2,"")</f>
        <v>-2.2425699999999971</v>
      </c>
      <c r="DL287" s="7">
        <f>IF(115&gt;=109,('Testes estatísticos'!$D$114+'Testes estatísticos'!$D$120)/2,"")</f>
        <v>-2.1960924999999953</v>
      </c>
      <c r="DM287" s="7">
        <f>IF(116&gt;=109,('Testes estatísticos'!$D$114+'Testes estatísticos'!$D$121)/2,"")</f>
        <v>-2.1874899999999968</v>
      </c>
      <c r="DN287" s="7">
        <f>IF(117&gt;=109,('Testes estatísticos'!$D$114+'Testes estatísticos'!$D$122)/2,"")</f>
        <v>-2.1644219999999983</v>
      </c>
      <c r="DO287" s="7">
        <f>IF(118&gt;=109,('Testes estatísticos'!$D$114+'Testes estatísticos'!$D$123)/2,"")</f>
        <v>-2.114511499999999</v>
      </c>
      <c r="DP287" s="7">
        <f>IF(119&gt;=109,('Testes estatísticos'!$D$114+'Testes estatísticos'!$D$124)/2,"")</f>
        <v>-2.1357229999999987</v>
      </c>
      <c r="DQ287" s="7">
        <f>IF(120&gt;=109,('Testes estatísticos'!$D$114+'Testes estatísticos'!$D$125)/2,"")</f>
        <v>0.9158915000000043</v>
      </c>
      <c r="DR287" s="7">
        <f>IF(121&gt;=109,('Testes estatísticos'!$D$114+'Testes estatísticos'!$D$126)/2,"")</f>
        <v>-1.8731249999999982</v>
      </c>
      <c r="DS287" s="7">
        <f>IF(122&gt;=109,('Testes estatísticos'!$D$114+'Testes estatísticos'!$D$127)/2,"")</f>
        <v>-2.9385334999999948</v>
      </c>
      <c r="DT287" s="7">
        <f>IF(123&gt;=109,('Testes estatísticos'!$D$114+'Testes estatísticos'!$D$128)/2,"")</f>
        <v>3.1303359999999998</v>
      </c>
      <c r="DU287" s="7">
        <f>IF(124&gt;=109,('Testes estatísticos'!$D$114+'Testes estatísticos'!$D$129)/2,"")</f>
        <v>-1.7654354999999988</v>
      </c>
      <c r="DV287" s="7">
        <f>IF(125&gt;=109,('Testes estatísticos'!$D$114+'Testes estatísticos'!$D$130)/2,"")</f>
        <v>-0.60712799999999945</v>
      </c>
      <c r="DW287" s="7">
        <f>IF(126&gt;=109,('Testes estatísticos'!$D$114+'Testes estatísticos'!$D$131)/2,"")</f>
        <v>-3.0106039999999972</v>
      </c>
      <c r="DX287" s="7">
        <f>IF(127&gt;=109,('Testes estatísticos'!$D$114+'Testes estatísticos'!$D$132)/2,"")</f>
        <v>-5.0667954999999978</v>
      </c>
      <c r="DY287" s="7">
        <f>IF(128&gt;=109,('Testes estatísticos'!$D$114+'Testes estatísticos'!$D$133)/2,"")</f>
        <v>-5.4078849999999967</v>
      </c>
      <c r="DZ287" s="7">
        <f>IF(129&gt;=109,('Testes estatísticos'!$D$114+'Testes estatísticos'!$D$134)/2,"")</f>
        <v>-8.8316749999999971</v>
      </c>
      <c r="EA287" s="7">
        <f>IF(130&gt;=109,('Testes estatísticos'!$D$114+'Testes estatísticos'!$D$135)/2,"")</f>
        <v>-3.069904999999995</v>
      </c>
      <c r="EB287" s="7">
        <f>IF(131&gt;=109,('Testes estatísticos'!$D$114+'Testes estatísticos'!$D$136)/2,"")</f>
        <v>-2.9820320000000002</v>
      </c>
      <c r="EC287" s="7">
        <f>IF(132&gt;=109,('Testes estatísticos'!$D$114+'Testes estatísticos'!$D$137)/2,"")</f>
        <v>-4.4687684999999995</v>
      </c>
      <c r="ED287" s="7">
        <f>IF(133&gt;=109,('Testes estatísticos'!$D$114+'Testes estatísticos'!$D$138)/2,"")</f>
        <v>-2.2798309999999979</v>
      </c>
      <c r="EE287" s="7">
        <f>IF(134&gt;=109,('Testes estatísticos'!$D$114+'Testes estatísticos'!$D$139)/2,"")</f>
        <v>-4.5770215000000007</v>
      </c>
      <c r="EF287" s="7">
        <f>IF(135&gt;=109,('Testes estatísticos'!$D$114+'Testes estatísticos'!$D$140)/2,"")</f>
        <v>-1.3625889999999963</v>
      </c>
      <c r="EG287" s="7">
        <f>IF(136&gt;=109,('Testes estatísticos'!$D$114+'Testes estatísticos'!$D$141)/2,"")</f>
        <v>-3.0560790000000004</v>
      </c>
      <c r="EH287" s="7">
        <f>IF(137&gt;=109,('Testes estatísticos'!$D$114+'Testes estatísticos'!$D$142)/2,"")</f>
        <v>-1.3513389999999994</v>
      </c>
      <c r="EI287" s="7">
        <f>IF(138&gt;=109,('Testes estatísticos'!$D$114+'Testes estatísticos'!$D$143)/2,"")</f>
        <v>-3.0163544999999949</v>
      </c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</row>
    <row r="288" spans="2:151" x14ac:dyDescent="0.3">
      <c r="B288" s="7" t="str">
        <f>IF(1&gt;=110,('Testes estatísticos'!$D$115+'Testes estatísticos'!$D$6)/2,"")</f>
        <v/>
      </c>
      <c r="C288" s="7" t="str">
        <f>IF(2&gt;=110,('Testes estatísticos'!$D$115+'Testes estatísticos'!$D$7)/2,"")</f>
        <v/>
      </c>
      <c r="D288" s="7" t="str">
        <f>IF(3&gt;=110,('Testes estatísticos'!$D$115+'Testes estatísticos'!$D$8)/2,"")</f>
        <v/>
      </c>
      <c r="E288" s="7" t="str">
        <f>IF(4&gt;=110,('Testes estatísticos'!$D$115+'Testes estatísticos'!$D$9)/2,"")</f>
        <v/>
      </c>
      <c r="F288" s="7" t="str">
        <f>IF(5&gt;=110,('Testes estatísticos'!$D$115+'Testes estatísticos'!$D$10)/2,"")</f>
        <v/>
      </c>
      <c r="G288" s="7" t="str">
        <f>IF(6&gt;=110,('Testes estatísticos'!$D$115+'Testes estatísticos'!$D$11)/2,"")</f>
        <v/>
      </c>
      <c r="H288" s="7" t="str">
        <f>IF(7&gt;=110,('Testes estatísticos'!$D$115+'Testes estatísticos'!$D$12)/2,"")</f>
        <v/>
      </c>
      <c r="I288" s="7" t="str">
        <f>IF(8&gt;=110,('Testes estatísticos'!$D$115+'Testes estatísticos'!$D$13)/2,"")</f>
        <v/>
      </c>
      <c r="J288" s="7" t="str">
        <f>IF(9&gt;=110,('Testes estatísticos'!$D$115+'Testes estatísticos'!$D$14)/2,"")</f>
        <v/>
      </c>
      <c r="K288" s="7" t="str">
        <f>IF(10&gt;=110,('Testes estatísticos'!$D$115+'Testes estatísticos'!$D$15)/2,"")</f>
        <v/>
      </c>
      <c r="L288" s="7" t="str">
        <f>IF(11&gt;=110,('Testes estatísticos'!$D$115+'Testes estatísticos'!$D$16)/2,"")</f>
        <v/>
      </c>
      <c r="M288" s="7" t="str">
        <f>IF(12&gt;=110,('Testes estatísticos'!$D$115+'Testes estatísticos'!$D$17)/2,"")</f>
        <v/>
      </c>
      <c r="N288" s="7" t="str">
        <f>IF(13&gt;=110,('Testes estatísticos'!$D$115+'Testes estatísticos'!$D$18)/2,"")</f>
        <v/>
      </c>
      <c r="O288" s="7" t="str">
        <f>IF(14&gt;=110,('Testes estatísticos'!$D$115+'Testes estatísticos'!$D$19)/2,"")</f>
        <v/>
      </c>
      <c r="P288" s="7" t="str">
        <f>IF(15&gt;=110,('Testes estatísticos'!$D$115+'Testes estatísticos'!$D$20)/2,"")</f>
        <v/>
      </c>
      <c r="Q288" s="7" t="str">
        <f>IF(16&gt;=110,('Testes estatísticos'!$D$115+'Testes estatísticos'!$D$21)/2,"")</f>
        <v/>
      </c>
      <c r="R288" s="7" t="str">
        <f>IF(17&gt;=110,('Testes estatísticos'!$D$115+'Testes estatísticos'!$D$22)/2,"")</f>
        <v/>
      </c>
      <c r="S288" s="7" t="str">
        <f>IF(18&gt;=110,('Testes estatísticos'!$D$115+'Testes estatísticos'!$D$23)/2,"")</f>
        <v/>
      </c>
      <c r="T288" s="7" t="str">
        <f>IF(19&gt;=110,('Testes estatísticos'!$D$115+'Testes estatísticos'!$D$24)/2,"")</f>
        <v/>
      </c>
      <c r="U288" s="7" t="str">
        <f>IF(20&gt;=110,('Testes estatísticos'!$D$115+'Testes estatísticos'!$D$25)/2,"")</f>
        <v/>
      </c>
      <c r="V288" s="7" t="str">
        <f>IF(21&gt;=110,('Testes estatísticos'!$D$115+'Testes estatísticos'!$D$26)/2,"")</f>
        <v/>
      </c>
      <c r="W288" s="7" t="str">
        <f>IF(22&gt;=110,('Testes estatísticos'!$D$115+'Testes estatísticos'!$D$27)/2,"")</f>
        <v/>
      </c>
      <c r="X288" s="7" t="str">
        <f>IF(23&gt;=110,('Testes estatísticos'!$D$115+'Testes estatísticos'!$D$28)/2,"")</f>
        <v/>
      </c>
      <c r="Y288" s="7" t="str">
        <f>IF(24&gt;=110,('Testes estatísticos'!$D$115+'Testes estatísticos'!$D$29)/2,"")</f>
        <v/>
      </c>
      <c r="Z288" s="7" t="str">
        <f>IF(25&gt;=110,('Testes estatísticos'!$D$115+'Testes estatísticos'!$D$30)/2,"")</f>
        <v/>
      </c>
      <c r="AA288" s="7" t="str">
        <f>IF(26&gt;=110,('Testes estatísticos'!$D$115+'Testes estatísticos'!$D$31)/2,"")</f>
        <v/>
      </c>
      <c r="AB288" s="7" t="str">
        <f>IF(27&gt;=110,('Testes estatísticos'!$D$115+'Testes estatísticos'!$D$32)/2,"")</f>
        <v/>
      </c>
      <c r="AC288" s="7" t="str">
        <f>IF(28&gt;=110,('Testes estatísticos'!$D$115+'Testes estatísticos'!$D$33)/2,"")</f>
        <v/>
      </c>
      <c r="AD288" s="7" t="str">
        <f>IF(29&gt;=110,('Testes estatísticos'!$D$115+'Testes estatísticos'!$D$34)/2,"")</f>
        <v/>
      </c>
      <c r="AE288" s="7" t="str">
        <f>IF(30&gt;=110,('Testes estatísticos'!$D$115+'Testes estatísticos'!$D$35)/2,"")</f>
        <v/>
      </c>
      <c r="AF288" s="7" t="str">
        <f>IF(31&gt;=110,('Testes estatísticos'!$D$115+'Testes estatísticos'!$D$36)/2,"")</f>
        <v/>
      </c>
      <c r="AG288" s="7" t="str">
        <f>IF(32&gt;=110,('Testes estatísticos'!$D$115+'Testes estatísticos'!$D$37)/2,"")</f>
        <v/>
      </c>
      <c r="AH288" s="7" t="str">
        <f>IF(33&gt;=110,('Testes estatísticos'!$D$115+'Testes estatísticos'!$D$38)/2,"")</f>
        <v/>
      </c>
      <c r="AI288" s="7" t="str">
        <f>IF(34&gt;=110,('Testes estatísticos'!$D$115+'Testes estatísticos'!$D$39)/2,"")</f>
        <v/>
      </c>
      <c r="AJ288" s="7" t="str">
        <f>IF(35&gt;=110,('Testes estatísticos'!$D$115+'Testes estatísticos'!$D$40)/2,"")</f>
        <v/>
      </c>
      <c r="AK288" s="7" t="str">
        <f>IF(36&gt;=110,('Testes estatísticos'!$D$115+'Testes estatísticos'!$D$41)/2,"")</f>
        <v/>
      </c>
      <c r="AL288" s="7" t="str">
        <f>IF(37&gt;=110,('Testes estatísticos'!$D$115+'Testes estatísticos'!$D$42)/2,"")</f>
        <v/>
      </c>
      <c r="AM288" s="7" t="str">
        <f>IF(38&gt;=110,('Testes estatísticos'!$D$115+'Testes estatísticos'!$D$43)/2,"")</f>
        <v/>
      </c>
      <c r="AN288" s="7" t="str">
        <f>IF(39&gt;=110,('Testes estatísticos'!$D$115+'Testes estatísticos'!$D$44)/2,"")</f>
        <v/>
      </c>
      <c r="AO288" s="7" t="str">
        <f>IF(40&gt;=110,('Testes estatísticos'!$D$115+'Testes estatísticos'!$D$45)/2,"")</f>
        <v/>
      </c>
      <c r="AP288" s="7" t="str">
        <f>IF(41&gt;=110,('Testes estatísticos'!$D$115+'Testes estatísticos'!$D$46)/2,"")</f>
        <v/>
      </c>
      <c r="AQ288" s="7" t="str">
        <f>IF(42&gt;=110,('Testes estatísticos'!$D$115+'Testes estatísticos'!$D$47)/2,"")</f>
        <v/>
      </c>
      <c r="AR288" s="7" t="str">
        <f>IF(43&gt;=110,('Testes estatísticos'!$D$115+'Testes estatísticos'!$D$48)/2,"")</f>
        <v/>
      </c>
      <c r="AS288" s="7" t="str">
        <f>IF(44&gt;=110,('Testes estatísticos'!$D$115+'Testes estatísticos'!$D$49)/2,"")</f>
        <v/>
      </c>
      <c r="AT288" s="7" t="str">
        <f>IF(45&gt;=110,('Testes estatísticos'!$D$115+'Testes estatísticos'!$D$50)/2,"")</f>
        <v/>
      </c>
      <c r="AU288" s="7" t="str">
        <f>IF(46&gt;=110,('Testes estatísticos'!$D$115+'Testes estatísticos'!$D$51)/2,"")</f>
        <v/>
      </c>
      <c r="AV288" s="7" t="str">
        <f>IF(47&gt;=110,('Testes estatísticos'!$D$115+'Testes estatísticos'!$D$52)/2,"")</f>
        <v/>
      </c>
      <c r="AW288" s="7" t="str">
        <f>IF(48&gt;=110,('Testes estatísticos'!$D$115+'Testes estatísticos'!$D$53)/2,"")</f>
        <v/>
      </c>
      <c r="AX288" s="7" t="str">
        <f>IF(49&gt;=110,('Testes estatísticos'!$D$115+'Testes estatísticos'!$D$54)/2,"")</f>
        <v/>
      </c>
      <c r="AY288" s="7" t="str">
        <f>IF(50&gt;=110,('Testes estatísticos'!$D$115+'Testes estatísticos'!$D$55)/2,"")</f>
        <v/>
      </c>
      <c r="AZ288" s="7" t="str">
        <f>IF(51&gt;=110,('Testes estatísticos'!$D$115+'Testes estatísticos'!$D$56)/2,"")</f>
        <v/>
      </c>
      <c r="BA288" s="7" t="str">
        <f>IF(52&gt;=110,('Testes estatísticos'!$D$115+'Testes estatísticos'!$D$57)/2,"")</f>
        <v/>
      </c>
      <c r="BB288" s="7" t="str">
        <f>IF(53&gt;=110,('Testes estatísticos'!$D$115+'Testes estatísticos'!$D$58)/2,"")</f>
        <v/>
      </c>
      <c r="BC288" s="7" t="str">
        <f>IF(54&gt;=110,('Testes estatísticos'!$D$115+'Testes estatísticos'!$D$59)/2,"")</f>
        <v/>
      </c>
      <c r="BD288" s="7" t="str">
        <f>IF(55&gt;=110,('Testes estatísticos'!$D$115+'Testes estatísticos'!$D$60)/2,"")</f>
        <v/>
      </c>
      <c r="BE288" s="7" t="str">
        <f>IF(56&gt;=110,('Testes estatísticos'!$D$115+'Testes estatísticos'!$D$61)/2,"")</f>
        <v/>
      </c>
      <c r="BF288" s="7" t="str">
        <f>IF(57&gt;=110,('Testes estatísticos'!$D$115+'Testes estatísticos'!$D$62)/2,"")</f>
        <v/>
      </c>
      <c r="BG288" s="7" t="str">
        <f>IF(58&gt;=110,('Testes estatísticos'!$D$115+'Testes estatísticos'!$D$63)/2,"")</f>
        <v/>
      </c>
      <c r="BH288" s="7" t="str">
        <f>IF(59&gt;=110,('Testes estatísticos'!$D$115+'Testes estatísticos'!$D$64)/2,"")</f>
        <v/>
      </c>
      <c r="BI288" s="7" t="str">
        <f>IF(60&gt;=110,('Testes estatísticos'!$D$115+'Testes estatísticos'!$D$65)/2,"")</f>
        <v/>
      </c>
      <c r="BJ288" s="7" t="str">
        <f>IF(61&gt;=110,('Testes estatísticos'!$D$115+'Testes estatísticos'!$D$66)/2,"")</f>
        <v/>
      </c>
      <c r="BK288" s="7" t="str">
        <f>IF(62&gt;=110,('Testes estatísticos'!$D$115+'Testes estatísticos'!$D$67)/2,"")</f>
        <v/>
      </c>
      <c r="BL288" s="7" t="str">
        <f>IF(63&gt;=110,('Testes estatísticos'!$D$115+'Testes estatísticos'!$D$68)/2,"")</f>
        <v/>
      </c>
      <c r="BM288" s="7" t="str">
        <f>IF(64&gt;=110,('Testes estatísticos'!$D$115+'Testes estatísticos'!$D$69)/2,"")</f>
        <v/>
      </c>
      <c r="BN288" s="7" t="str">
        <f>IF(65&gt;=110,('Testes estatísticos'!$D$115+'Testes estatísticos'!$D$70)/2,"")</f>
        <v/>
      </c>
      <c r="BO288" s="7" t="str">
        <f>IF(66&gt;=110,('Testes estatísticos'!$D$115+'Testes estatísticos'!$D$71)/2,"")</f>
        <v/>
      </c>
      <c r="BP288" s="7" t="str">
        <f>IF(67&gt;=110,('Testes estatísticos'!$D$115+'Testes estatísticos'!$D$72)/2,"")</f>
        <v/>
      </c>
      <c r="BQ288" s="7" t="str">
        <f>IF(68&gt;=110,('Testes estatísticos'!$D$115+'Testes estatísticos'!$D$73)/2,"")</f>
        <v/>
      </c>
      <c r="BR288" s="7" t="str">
        <f>IF(69&gt;=110,('Testes estatísticos'!$D$115+'Testes estatísticos'!$D$74)/2,"")</f>
        <v/>
      </c>
      <c r="BS288" s="7" t="str">
        <f>IF(70&gt;=110,('Testes estatísticos'!$D$115+'Testes estatísticos'!$D$75)/2,"")</f>
        <v/>
      </c>
      <c r="BT288" s="7" t="str">
        <f>IF(71&gt;=110,('Testes estatísticos'!$D$115+'Testes estatísticos'!$D$76)/2,"")</f>
        <v/>
      </c>
      <c r="BU288" s="7" t="str">
        <f>IF(72&gt;=110,('Testes estatísticos'!$D$115+'Testes estatísticos'!$D$77)/2,"")</f>
        <v/>
      </c>
      <c r="BV288" s="7" t="str">
        <f>IF(73&gt;=110,('Testes estatísticos'!$D$115+'Testes estatísticos'!$D$78)/2,"")</f>
        <v/>
      </c>
      <c r="BW288" s="7" t="str">
        <f>IF(74&gt;=110,('Testes estatísticos'!$D$115+'Testes estatísticos'!$D$79)/2,"")</f>
        <v/>
      </c>
      <c r="BX288" s="7" t="str">
        <f>IF(75&gt;=110,('Testes estatísticos'!$D$115+'Testes estatísticos'!$D$80)/2,"")</f>
        <v/>
      </c>
      <c r="BY288" s="7" t="str">
        <f>IF(76&gt;=110,('Testes estatísticos'!$D$115+'Testes estatísticos'!$D$81)/2,"")</f>
        <v/>
      </c>
      <c r="BZ288" s="7" t="str">
        <f>IF(77&gt;=110,('Testes estatísticos'!$D$115+'Testes estatísticos'!$D$82)/2,"")</f>
        <v/>
      </c>
      <c r="CA288" s="7" t="str">
        <f>IF(78&gt;=110,('Testes estatísticos'!$D$115+'Testes estatísticos'!$D$83)/2,"")</f>
        <v/>
      </c>
      <c r="CB288" s="7" t="str">
        <f>IF(79&gt;=110,('Testes estatísticos'!$D$115+'Testes estatísticos'!$D$84)/2,"")</f>
        <v/>
      </c>
      <c r="CC288" s="7" t="str">
        <f>IF(80&gt;=110,('Testes estatísticos'!$D$115+'Testes estatísticos'!$D$85)/2,"")</f>
        <v/>
      </c>
      <c r="CD288" s="7" t="str">
        <f>IF(81&gt;=110,('Testes estatísticos'!$D$115+'Testes estatísticos'!$D$86)/2,"")</f>
        <v/>
      </c>
      <c r="CE288" s="7" t="str">
        <f>IF(82&gt;=110,('Testes estatísticos'!$D$115+'Testes estatísticos'!$D$87)/2,"")</f>
        <v/>
      </c>
      <c r="CF288" s="7" t="str">
        <f>IF(83&gt;=110,('Testes estatísticos'!$D$115+'Testes estatísticos'!$D$88)/2,"")</f>
        <v/>
      </c>
      <c r="CG288" s="7" t="str">
        <f>IF(84&gt;=110,('Testes estatísticos'!$D$115+'Testes estatísticos'!$D$89)/2,"")</f>
        <v/>
      </c>
      <c r="CH288" s="7" t="str">
        <f>IF(85&gt;=110,('Testes estatísticos'!$D$115+'Testes estatísticos'!$D$90)/2,"")</f>
        <v/>
      </c>
      <c r="CI288" s="7" t="str">
        <f>IF(86&gt;=110,('Testes estatísticos'!$D$115+'Testes estatísticos'!$D$91)/2,"")</f>
        <v/>
      </c>
      <c r="CJ288" s="7" t="str">
        <f>IF(87&gt;=110,('Testes estatísticos'!$D$115+'Testes estatísticos'!$D$92)/2,"")</f>
        <v/>
      </c>
      <c r="CK288" s="7" t="str">
        <f>IF(88&gt;=110,('Testes estatísticos'!$D$115+'Testes estatísticos'!$D$93)/2,"")</f>
        <v/>
      </c>
      <c r="CL288" s="7" t="str">
        <f>IF(89&gt;=110,('Testes estatísticos'!$D$115+'Testes estatísticos'!$D$94)/2,"")</f>
        <v/>
      </c>
      <c r="CM288" s="7" t="str">
        <f>IF(90&gt;=110,('Testes estatísticos'!$D$115+'Testes estatísticos'!$D$95)/2,"")</f>
        <v/>
      </c>
      <c r="CN288" s="7" t="str">
        <f>IF(91&gt;=110,('Testes estatísticos'!$D$115+'Testes estatísticos'!$D$96)/2,"")</f>
        <v/>
      </c>
      <c r="CO288" s="7" t="str">
        <f>IF(92&gt;=110,('Testes estatísticos'!$D$115+'Testes estatísticos'!$D$97)/2,"")</f>
        <v/>
      </c>
      <c r="CP288" s="7" t="str">
        <f>IF(93&gt;=110,('Testes estatísticos'!$D$115+'Testes estatísticos'!$D$98)/2,"")</f>
        <v/>
      </c>
      <c r="CQ288" s="7" t="str">
        <f>IF(94&gt;=110,('Testes estatísticos'!$D$115+'Testes estatísticos'!$D$99)/2,"")</f>
        <v/>
      </c>
      <c r="CR288" s="7" t="str">
        <f>IF(95&gt;=110,('Testes estatísticos'!$D$115+'Testes estatísticos'!$D$100)/2,"")</f>
        <v/>
      </c>
      <c r="CS288" s="7" t="str">
        <f>IF(96&gt;=110,('Testes estatísticos'!$D$115+'Testes estatísticos'!$D$101)/2,"")</f>
        <v/>
      </c>
      <c r="CT288" s="7" t="str">
        <f>IF(97&gt;=110,('Testes estatísticos'!$D$115+'Testes estatísticos'!$D$102)/2,"")</f>
        <v/>
      </c>
      <c r="CU288" s="7" t="str">
        <f>IF(98&gt;=110,('Testes estatísticos'!$D$115+'Testes estatísticos'!$D$103)/2,"")</f>
        <v/>
      </c>
      <c r="CV288" s="7" t="str">
        <f>IF(99&gt;=110,('Testes estatísticos'!$D$115+'Testes estatísticos'!$D$104)/2,"")</f>
        <v/>
      </c>
      <c r="CW288" s="7" t="str">
        <f>IF(100&gt;=110,('Testes estatísticos'!$D$115+'Testes estatísticos'!$D$105)/2,"")</f>
        <v/>
      </c>
      <c r="CX288" s="7" t="str">
        <f>IF(101&gt;=110,('Testes estatísticos'!$D$115+'Testes estatísticos'!$D$106)/2,"")</f>
        <v/>
      </c>
      <c r="CY288" s="7" t="str">
        <f>IF(102&gt;=110,('Testes estatísticos'!$D$115+'Testes estatísticos'!$D$107)/2,"")</f>
        <v/>
      </c>
      <c r="CZ288" s="7" t="str">
        <f>IF(103&gt;=110,('Testes estatísticos'!$D$115+'Testes estatísticos'!$D$108)/2,"")</f>
        <v/>
      </c>
      <c r="DA288" s="7" t="str">
        <f>IF(104&gt;=110,('Testes estatísticos'!$D$115+'Testes estatísticos'!$D$109)/2,"")</f>
        <v/>
      </c>
      <c r="DB288" s="7" t="str">
        <f>IF(105&gt;=110,('Testes estatísticos'!$D$115+'Testes estatísticos'!$D$110)/2,"")</f>
        <v/>
      </c>
      <c r="DC288" s="7" t="str">
        <f>IF(106&gt;=110,('Testes estatísticos'!$D$115+'Testes estatísticos'!$D$111)/2,"")</f>
        <v/>
      </c>
      <c r="DD288" s="7" t="str">
        <f>IF(107&gt;=110,('Testes estatísticos'!$D$115+'Testes estatísticos'!$D$112)/2,"")</f>
        <v/>
      </c>
      <c r="DE288" s="7" t="str">
        <f>IF(108&gt;=110,('Testes estatísticos'!$D$115+'Testes estatísticos'!$D$113)/2,"")</f>
        <v/>
      </c>
      <c r="DF288" s="7" t="str">
        <f>IF(109&gt;=110,('Testes estatísticos'!$D$115+'Testes estatísticos'!$D$114)/2,"")</f>
        <v/>
      </c>
      <c r="DG288" s="7">
        <f>IF(110&gt;=110,('Testes estatísticos'!$D$115+'Testes estatísticos'!$D$115)/2,"")</f>
        <v>-13.340673000000002</v>
      </c>
      <c r="DH288" s="7">
        <f>IF(111&gt;=110,('Testes estatísticos'!$D$115+'Testes estatísticos'!$D$116)/2,"")</f>
        <v>-7.6598424999999999</v>
      </c>
      <c r="DI288" s="7">
        <f>IF(112&gt;=110,('Testes estatísticos'!$D$115+'Testes estatísticos'!$D$117)/2,"")</f>
        <v>-2.2314025000000015</v>
      </c>
      <c r="DJ288" s="7">
        <f>IF(113&gt;=110,('Testes estatísticos'!$D$115+'Testes estatísticos'!$D$118)/2,"")</f>
        <v>-7.6879595000000016</v>
      </c>
      <c r="DK288" s="7">
        <f>IF(114&gt;=110,('Testes estatísticos'!$D$115+'Testes estatísticos'!$D$119)/2,"")</f>
        <v>-7.7897095000000007</v>
      </c>
      <c r="DL288" s="7">
        <f>IF(115&gt;=110,('Testes estatísticos'!$D$115+'Testes estatísticos'!$D$120)/2,"")</f>
        <v>-7.743231999999999</v>
      </c>
      <c r="DM288" s="7">
        <f>IF(116&gt;=110,('Testes estatísticos'!$D$115+'Testes estatísticos'!$D$121)/2,"")</f>
        <v>-7.7346295000000005</v>
      </c>
      <c r="DN288" s="7">
        <f>IF(117&gt;=110,('Testes estatísticos'!$D$115+'Testes estatísticos'!$D$122)/2,"")</f>
        <v>-7.711561500000002</v>
      </c>
      <c r="DO288" s="7">
        <f>IF(118&gt;=110,('Testes estatísticos'!$D$115+'Testes estatísticos'!$D$123)/2,"")</f>
        <v>-7.6616510000000027</v>
      </c>
      <c r="DP288" s="7">
        <f>IF(119&gt;=110,('Testes estatísticos'!$D$115+'Testes estatísticos'!$D$124)/2,"")</f>
        <v>-7.6828625000000024</v>
      </c>
      <c r="DQ288" s="7">
        <f>IF(120&gt;=110,('Testes estatísticos'!$D$115+'Testes estatísticos'!$D$125)/2,"")</f>
        <v>-4.6312479999999994</v>
      </c>
      <c r="DR288" s="7">
        <f>IF(121&gt;=110,('Testes estatísticos'!$D$115+'Testes estatísticos'!$D$126)/2,"")</f>
        <v>-7.4202645000000018</v>
      </c>
      <c r="DS288" s="7">
        <f>IF(122&gt;=110,('Testes estatísticos'!$D$115+'Testes estatísticos'!$D$127)/2,"")</f>
        <v>-8.4856729999999985</v>
      </c>
      <c r="DT288" s="7">
        <f>IF(123&gt;=110,('Testes estatísticos'!$D$115+'Testes estatísticos'!$D$128)/2,"")</f>
        <v>-2.4168035000000039</v>
      </c>
      <c r="DU288" s="7">
        <f>IF(124&gt;=110,('Testes estatísticos'!$D$115+'Testes estatísticos'!$D$129)/2,"")</f>
        <v>-7.3125750000000025</v>
      </c>
      <c r="DV288" s="7">
        <f>IF(125&gt;=110,('Testes estatísticos'!$D$115+'Testes estatísticos'!$D$130)/2,"")</f>
        <v>-6.1542675000000031</v>
      </c>
      <c r="DW288" s="7">
        <f>IF(126&gt;=110,('Testes estatísticos'!$D$115+'Testes estatísticos'!$D$131)/2,"")</f>
        <v>-8.5577435000000008</v>
      </c>
      <c r="DX288" s="7">
        <f>IF(127&gt;=110,('Testes estatísticos'!$D$115+'Testes estatísticos'!$D$132)/2,"")</f>
        <v>-10.613935000000001</v>
      </c>
      <c r="DY288" s="7">
        <f>IF(128&gt;=110,('Testes estatísticos'!$D$115+'Testes estatísticos'!$D$133)/2,"")</f>
        <v>-10.9550245</v>
      </c>
      <c r="DZ288" s="7">
        <f>IF(129&gt;=110,('Testes estatísticos'!$D$115+'Testes estatísticos'!$D$134)/2,"")</f>
        <v>-14.378814500000001</v>
      </c>
      <c r="EA288" s="7">
        <f>IF(130&gt;=110,('Testes estatísticos'!$D$115+'Testes estatísticos'!$D$135)/2,"")</f>
        <v>-8.6170444999999987</v>
      </c>
      <c r="EB288" s="7">
        <f>IF(131&gt;=110,('Testes estatísticos'!$D$115+'Testes estatísticos'!$D$136)/2,"")</f>
        <v>-8.5291715000000039</v>
      </c>
      <c r="EC288" s="7">
        <f>IF(132&gt;=110,('Testes estatísticos'!$D$115+'Testes estatísticos'!$D$137)/2,"")</f>
        <v>-10.015908000000003</v>
      </c>
      <c r="ED288" s="7">
        <f>IF(133&gt;=110,('Testes estatísticos'!$D$115+'Testes estatísticos'!$D$138)/2,"")</f>
        <v>-7.8269705000000016</v>
      </c>
      <c r="EE288" s="7">
        <f>IF(134&gt;=110,('Testes estatísticos'!$D$115+'Testes estatísticos'!$D$139)/2,"")</f>
        <v>-10.124161000000004</v>
      </c>
      <c r="EF288" s="7">
        <f>IF(135&gt;=110,('Testes estatísticos'!$D$115+'Testes estatísticos'!$D$140)/2,"")</f>
        <v>-6.9097284999999999</v>
      </c>
      <c r="EG288" s="7">
        <f>IF(136&gt;=110,('Testes estatísticos'!$D$115+'Testes estatísticos'!$D$141)/2,"")</f>
        <v>-8.6032185000000041</v>
      </c>
      <c r="EH288" s="7">
        <f>IF(137&gt;=110,('Testes estatísticos'!$D$115+'Testes estatísticos'!$D$142)/2,"")</f>
        <v>-6.8984785000000031</v>
      </c>
      <c r="EI288" s="7">
        <f>IF(138&gt;=110,('Testes estatísticos'!$D$115+'Testes estatísticos'!$D$143)/2,"")</f>
        <v>-8.5634939999999986</v>
      </c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</row>
    <row r="289" spans="2:151" x14ac:dyDescent="0.3">
      <c r="B289" s="7" t="str">
        <f>IF(1&gt;=111,('Testes estatísticos'!$D$116+'Testes estatísticos'!$D$6)/2,"")</f>
        <v/>
      </c>
      <c r="C289" s="7" t="str">
        <f>IF(2&gt;=111,('Testes estatísticos'!$D$116+'Testes estatísticos'!$D$7)/2,"")</f>
        <v/>
      </c>
      <c r="D289" s="7" t="str">
        <f>IF(3&gt;=111,('Testes estatísticos'!$D$116+'Testes estatísticos'!$D$8)/2,"")</f>
        <v/>
      </c>
      <c r="E289" s="7" t="str">
        <f>IF(4&gt;=111,('Testes estatísticos'!$D$116+'Testes estatísticos'!$D$9)/2,"")</f>
        <v/>
      </c>
      <c r="F289" s="7" t="str">
        <f>IF(5&gt;=111,('Testes estatísticos'!$D$116+'Testes estatísticos'!$D$10)/2,"")</f>
        <v/>
      </c>
      <c r="G289" s="7" t="str">
        <f>IF(6&gt;=111,('Testes estatísticos'!$D$116+'Testes estatísticos'!$D$11)/2,"")</f>
        <v/>
      </c>
      <c r="H289" s="7" t="str">
        <f>IF(7&gt;=111,('Testes estatísticos'!$D$116+'Testes estatísticos'!$D$12)/2,"")</f>
        <v/>
      </c>
      <c r="I289" s="7" t="str">
        <f>IF(8&gt;=111,('Testes estatísticos'!$D$116+'Testes estatísticos'!$D$13)/2,"")</f>
        <v/>
      </c>
      <c r="J289" s="7" t="str">
        <f>IF(9&gt;=111,('Testes estatísticos'!$D$116+'Testes estatísticos'!$D$14)/2,"")</f>
        <v/>
      </c>
      <c r="K289" s="7" t="str">
        <f>IF(10&gt;=111,('Testes estatísticos'!$D$116+'Testes estatísticos'!$D$15)/2,"")</f>
        <v/>
      </c>
      <c r="L289" s="7" t="str">
        <f>IF(11&gt;=111,('Testes estatísticos'!$D$116+'Testes estatísticos'!$D$16)/2,"")</f>
        <v/>
      </c>
      <c r="M289" s="7" t="str">
        <f>IF(12&gt;=111,('Testes estatísticos'!$D$116+'Testes estatísticos'!$D$17)/2,"")</f>
        <v/>
      </c>
      <c r="N289" s="7" t="str">
        <f>IF(13&gt;=111,('Testes estatísticos'!$D$116+'Testes estatísticos'!$D$18)/2,"")</f>
        <v/>
      </c>
      <c r="O289" s="7" t="str">
        <f>IF(14&gt;=111,('Testes estatísticos'!$D$116+'Testes estatísticos'!$D$19)/2,"")</f>
        <v/>
      </c>
      <c r="P289" s="7" t="str">
        <f>IF(15&gt;=111,('Testes estatísticos'!$D$116+'Testes estatísticos'!$D$20)/2,"")</f>
        <v/>
      </c>
      <c r="Q289" s="7" t="str">
        <f>IF(16&gt;=111,('Testes estatísticos'!$D$116+'Testes estatísticos'!$D$21)/2,"")</f>
        <v/>
      </c>
      <c r="R289" s="7" t="str">
        <f>IF(17&gt;=111,('Testes estatísticos'!$D$116+'Testes estatísticos'!$D$22)/2,"")</f>
        <v/>
      </c>
      <c r="S289" s="7" t="str">
        <f>IF(18&gt;=111,('Testes estatísticos'!$D$116+'Testes estatísticos'!$D$23)/2,"")</f>
        <v/>
      </c>
      <c r="T289" s="7" t="str">
        <f>IF(19&gt;=111,('Testes estatísticos'!$D$116+'Testes estatísticos'!$D$24)/2,"")</f>
        <v/>
      </c>
      <c r="U289" s="7" t="str">
        <f>IF(20&gt;=111,('Testes estatísticos'!$D$116+'Testes estatísticos'!$D$25)/2,"")</f>
        <v/>
      </c>
      <c r="V289" s="7" t="str">
        <f>IF(21&gt;=111,('Testes estatísticos'!$D$116+'Testes estatísticos'!$D$26)/2,"")</f>
        <v/>
      </c>
      <c r="W289" s="7" t="str">
        <f>IF(22&gt;=111,('Testes estatísticos'!$D$116+'Testes estatísticos'!$D$27)/2,"")</f>
        <v/>
      </c>
      <c r="X289" s="7" t="str">
        <f>IF(23&gt;=111,('Testes estatísticos'!$D$116+'Testes estatísticos'!$D$28)/2,"")</f>
        <v/>
      </c>
      <c r="Y289" s="7" t="str">
        <f>IF(24&gt;=111,('Testes estatísticos'!$D$116+'Testes estatísticos'!$D$29)/2,"")</f>
        <v/>
      </c>
      <c r="Z289" s="7" t="str">
        <f>IF(25&gt;=111,('Testes estatísticos'!$D$116+'Testes estatísticos'!$D$30)/2,"")</f>
        <v/>
      </c>
      <c r="AA289" s="7" t="str">
        <f>IF(26&gt;=111,('Testes estatísticos'!$D$116+'Testes estatísticos'!$D$31)/2,"")</f>
        <v/>
      </c>
      <c r="AB289" s="7" t="str">
        <f>IF(27&gt;=111,('Testes estatísticos'!$D$116+'Testes estatísticos'!$D$32)/2,"")</f>
        <v/>
      </c>
      <c r="AC289" s="7" t="str">
        <f>IF(28&gt;=111,('Testes estatísticos'!$D$116+'Testes estatísticos'!$D$33)/2,"")</f>
        <v/>
      </c>
      <c r="AD289" s="7" t="str">
        <f>IF(29&gt;=111,('Testes estatísticos'!$D$116+'Testes estatísticos'!$D$34)/2,"")</f>
        <v/>
      </c>
      <c r="AE289" s="7" t="str">
        <f>IF(30&gt;=111,('Testes estatísticos'!$D$116+'Testes estatísticos'!$D$35)/2,"")</f>
        <v/>
      </c>
      <c r="AF289" s="7" t="str">
        <f>IF(31&gt;=111,('Testes estatísticos'!$D$116+'Testes estatísticos'!$D$36)/2,"")</f>
        <v/>
      </c>
      <c r="AG289" s="7" t="str">
        <f>IF(32&gt;=111,('Testes estatísticos'!$D$116+'Testes estatísticos'!$D$37)/2,"")</f>
        <v/>
      </c>
      <c r="AH289" s="7" t="str">
        <f>IF(33&gt;=111,('Testes estatísticos'!$D$116+'Testes estatísticos'!$D$38)/2,"")</f>
        <v/>
      </c>
      <c r="AI289" s="7" t="str">
        <f>IF(34&gt;=111,('Testes estatísticos'!$D$116+'Testes estatísticos'!$D$39)/2,"")</f>
        <v/>
      </c>
      <c r="AJ289" s="7" t="str">
        <f>IF(35&gt;=111,('Testes estatísticos'!$D$116+'Testes estatísticos'!$D$40)/2,"")</f>
        <v/>
      </c>
      <c r="AK289" s="7" t="str">
        <f>IF(36&gt;=111,('Testes estatísticos'!$D$116+'Testes estatísticos'!$D$41)/2,"")</f>
        <v/>
      </c>
      <c r="AL289" s="7" t="str">
        <f>IF(37&gt;=111,('Testes estatísticos'!$D$116+'Testes estatísticos'!$D$42)/2,"")</f>
        <v/>
      </c>
      <c r="AM289" s="7" t="str">
        <f>IF(38&gt;=111,('Testes estatísticos'!$D$116+'Testes estatísticos'!$D$43)/2,"")</f>
        <v/>
      </c>
      <c r="AN289" s="7" t="str">
        <f>IF(39&gt;=111,('Testes estatísticos'!$D$116+'Testes estatísticos'!$D$44)/2,"")</f>
        <v/>
      </c>
      <c r="AO289" s="7" t="str">
        <f>IF(40&gt;=111,('Testes estatísticos'!$D$116+'Testes estatísticos'!$D$45)/2,"")</f>
        <v/>
      </c>
      <c r="AP289" s="7" t="str">
        <f>IF(41&gt;=111,('Testes estatísticos'!$D$116+'Testes estatísticos'!$D$46)/2,"")</f>
        <v/>
      </c>
      <c r="AQ289" s="7" t="str">
        <f>IF(42&gt;=111,('Testes estatísticos'!$D$116+'Testes estatísticos'!$D$47)/2,"")</f>
        <v/>
      </c>
      <c r="AR289" s="7" t="str">
        <f>IF(43&gt;=111,('Testes estatísticos'!$D$116+'Testes estatísticos'!$D$48)/2,"")</f>
        <v/>
      </c>
      <c r="AS289" s="7" t="str">
        <f>IF(44&gt;=111,('Testes estatísticos'!$D$116+'Testes estatísticos'!$D$49)/2,"")</f>
        <v/>
      </c>
      <c r="AT289" s="7" t="str">
        <f>IF(45&gt;=111,('Testes estatísticos'!$D$116+'Testes estatísticos'!$D$50)/2,"")</f>
        <v/>
      </c>
      <c r="AU289" s="7" t="str">
        <f>IF(46&gt;=111,('Testes estatísticos'!$D$116+'Testes estatísticos'!$D$51)/2,"")</f>
        <v/>
      </c>
      <c r="AV289" s="7" t="str">
        <f>IF(47&gt;=111,('Testes estatísticos'!$D$116+'Testes estatísticos'!$D$52)/2,"")</f>
        <v/>
      </c>
      <c r="AW289" s="7" t="str">
        <f>IF(48&gt;=111,('Testes estatísticos'!$D$116+'Testes estatísticos'!$D$53)/2,"")</f>
        <v/>
      </c>
      <c r="AX289" s="7" t="str">
        <f>IF(49&gt;=111,('Testes estatísticos'!$D$116+'Testes estatísticos'!$D$54)/2,"")</f>
        <v/>
      </c>
      <c r="AY289" s="7" t="str">
        <f>IF(50&gt;=111,('Testes estatísticos'!$D$116+'Testes estatísticos'!$D$55)/2,"")</f>
        <v/>
      </c>
      <c r="AZ289" s="7" t="str">
        <f>IF(51&gt;=111,('Testes estatísticos'!$D$116+'Testes estatísticos'!$D$56)/2,"")</f>
        <v/>
      </c>
      <c r="BA289" s="7" t="str">
        <f>IF(52&gt;=111,('Testes estatísticos'!$D$116+'Testes estatísticos'!$D$57)/2,"")</f>
        <v/>
      </c>
      <c r="BB289" s="7" t="str">
        <f>IF(53&gt;=111,('Testes estatísticos'!$D$116+'Testes estatísticos'!$D$58)/2,"")</f>
        <v/>
      </c>
      <c r="BC289" s="7" t="str">
        <f>IF(54&gt;=111,('Testes estatísticos'!$D$116+'Testes estatísticos'!$D$59)/2,"")</f>
        <v/>
      </c>
      <c r="BD289" s="7" t="str">
        <f>IF(55&gt;=111,('Testes estatísticos'!$D$116+'Testes estatísticos'!$D$60)/2,"")</f>
        <v/>
      </c>
      <c r="BE289" s="7" t="str">
        <f>IF(56&gt;=111,('Testes estatísticos'!$D$116+'Testes estatísticos'!$D$61)/2,"")</f>
        <v/>
      </c>
      <c r="BF289" s="7" t="str">
        <f>IF(57&gt;=111,('Testes estatísticos'!$D$116+'Testes estatísticos'!$D$62)/2,"")</f>
        <v/>
      </c>
      <c r="BG289" s="7" t="str">
        <f>IF(58&gt;=111,('Testes estatísticos'!$D$116+'Testes estatísticos'!$D$63)/2,"")</f>
        <v/>
      </c>
      <c r="BH289" s="7" t="str">
        <f>IF(59&gt;=111,('Testes estatísticos'!$D$116+'Testes estatísticos'!$D$64)/2,"")</f>
        <v/>
      </c>
      <c r="BI289" s="7" t="str">
        <f>IF(60&gt;=111,('Testes estatísticos'!$D$116+'Testes estatísticos'!$D$65)/2,"")</f>
        <v/>
      </c>
      <c r="BJ289" s="7" t="str">
        <f>IF(61&gt;=111,('Testes estatísticos'!$D$116+'Testes estatísticos'!$D$66)/2,"")</f>
        <v/>
      </c>
      <c r="BK289" s="7" t="str">
        <f>IF(62&gt;=111,('Testes estatísticos'!$D$116+'Testes estatísticos'!$D$67)/2,"")</f>
        <v/>
      </c>
      <c r="BL289" s="7" t="str">
        <f>IF(63&gt;=111,('Testes estatísticos'!$D$116+'Testes estatísticos'!$D$68)/2,"")</f>
        <v/>
      </c>
      <c r="BM289" s="7" t="str">
        <f>IF(64&gt;=111,('Testes estatísticos'!$D$116+'Testes estatísticos'!$D$69)/2,"")</f>
        <v/>
      </c>
      <c r="BN289" s="7" t="str">
        <f>IF(65&gt;=111,('Testes estatísticos'!$D$116+'Testes estatísticos'!$D$70)/2,"")</f>
        <v/>
      </c>
      <c r="BO289" s="7" t="str">
        <f>IF(66&gt;=111,('Testes estatísticos'!$D$116+'Testes estatísticos'!$D$71)/2,"")</f>
        <v/>
      </c>
      <c r="BP289" s="7" t="str">
        <f>IF(67&gt;=111,('Testes estatísticos'!$D$116+'Testes estatísticos'!$D$72)/2,"")</f>
        <v/>
      </c>
      <c r="BQ289" s="7" t="str">
        <f>IF(68&gt;=111,('Testes estatísticos'!$D$116+'Testes estatísticos'!$D$73)/2,"")</f>
        <v/>
      </c>
      <c r="BR289" s="7" t="str">
        <f>IF(69&gt;=111,('Testes estatísticos'!$D$116+'Testes estatísticos'!$D$74)/2,"")</f>
        <v/>
      </c>
      <c r="BS289" s="7" t="str">
        <f>IF(70&gt;=111,('Testes estatísticos'!$D$116+'Testes estatísticos'!$D$75)/2,"")</f>
        <v/>
      </c>
      <c r="BT289" s="7" t="str">
        <f>IF(71&gt;=111,('Testes estatísticos'!$D$116+'Testes estatísticos'!$D$76)/2,"")</f>
        <v/>
      </c>
      <c r="BU289" s="7" t="str">
        <f>IF(72&gt;=111,('Testes estatísticos'!$D$116+'Testes estatísticos'!$D$77)/2,"")</f>
        <v/>
      </c>
      <c r="BV289" s="7" t="str">
        <f>IF(73&gt;=111,('Testes estatísticos'!$D$116+'Testes estatísticos'!$D$78)/2,"")</f>
        <v/>
      </c>
      <c r="BW289" s="7" t="str">
        <f>IF(74&gt;=111,('Testes estatísticos'!$D$116+'Testes estatísticos'!$D$79)/2,"")</f>
        <v/>
      </c>
      <c r="BX289" s="7" t="str">
        <f>IF(75&gt;=111,('Testes estatísticos'!$D$116+'Testes estatísticos'!$D$80)/2,"")</f>
        <v/>
      </c>
      <c r="BY289" s="7" t="str">
        <f>IF(76&gt;=111,('Testes estatísticos'!$D$116+'Testes estatísticos'!$D$81)/2,"")</f>
        <v/>
      </c>
      <c r="BZ289" s="7" t="str">
        <f>IF(77&gt;=111,('Testes estatísticos'!$D$116+'Testes estatísticos'!$D$82)/2,"")</f>
        <v/>
      </c>
      <c r="CA289" s="7" t="str">
        <f>IF(78&gt;=111,('Testes estatísticos'!$D$116+'Testes estatísticos'!$D$83)/2,"")</f>
        <v/>
      </c>
      <c r="CB289" s="7" t="str">
        <f>IF(79&gt;=111,('Testes estatísticos'!$D$116+'Testes estatísticos'!$D$84)/2,"")</f>
        <v/>
      </c>
      <c r="CC289" s="7" t="str">
        <f>IF(80&gt;=111,('Testes estatísticos'!$D$116+'Testes estatísticos'!$D$85)/2,"")</f>
        <v/>
      </c>
      <c r="CD289" s="7" t="str">
        <f>IF(81&gt;=111,('Testes estatísticos'!$D$116+'Testes estatísticos'!$D$86)/2,"")</f>
        <v/>
      </c>
      <c r="CE289" s="7" t="str">
        <f>IF(82&gt;=111,('Testes estatísticos'!$D$116+'Testes estatísticos'!$D$87)/2,"")</f>
        <v/>
      </c>
      <c r="CF289" s="7" t="str">
        <f>IF(83&gt;=111,('Testes estatísticos'!$D$116+'Testes estatísticos'!$D$88)/2,"")</f>
        <v/>
      </c>
      <c r="CG289" s="7" t="str">
        <f>IF(84&gt;=111,('Testes estatísticos'!$D$116+'Testes estatísticos'!$D$89)/2,"")</f>
        <v/>
      </c>
      <c r="CH289" s="7" t="str">
        <f>IF(85&gt;=111,('Testes estatísticos'!$D$116+'Testes estatísticos'!$D$90)/2,"")</f>
        <v/>
      </c>
      <c r="CI289" s="7" t="str">
        <f>IF(86&gt;=111,('Testes estatísticos'!$D$116+'Testes estatísticos'!$D$91)/2,"")</f>
        <v/>
      </c>
      <c r="CJ289" s="7" t="str">
        <f>IF(87&gt;=111,('Testes estatísticos'!$D$116+'Testes estatísticos'!$D$92)/2,"")</f>
        <v/>
      </c>
      <c r="CK289" s="7" t="str">
        <f>IF(88&gt;=111,('Testes estatísticos'!$D$116+'Testes estatísticos'!$D$93)/2,"")</f>
        <v/>
      </c>
      <c r="CL289" s="7" t="str">
        <f>IF(89&gt;=111,('Testes estatísticos'!$D$116+'Testes estatísticos'!$D$94)/2,"")</f>
        <v/>
      </c>
      <c r="CM289" s="7" t="str">
        <f>IF(90&gt;=111,('Testes estatísticos'!$D$116+'Testes estatísticos'!$D$95)/2,"")</f>
        <v/>
      </c>
      <c r="CN289" s="7" t="str">
        <f>IF(91&gt;=111,('Testes estatísticos'!$D$116+'Testes estatísticos'!$D$96)/2,"")</f>
        <v/>
      </c>
      <c r="CO289" s="7" t="str">
        <f>IF(92&gt;=111,('Testes estatísticos'!$D$116+'Testes estatísticos'!$D$97)/2,"")</f>
        <v/>
      </c>
      <c r="CP289" s="7" t="str">
        <f>IF(93&gt;=111,('Testes estatísticos'!$D$116+'Testes estatísticos'!$D$98)/2,"")</f>
        <v/>
      </c>
      <c r="CQ289" s="7" t="str">
        <f>IF(94&gt;=111,('Testes estatísticos'!$D$116+'Testes estatísticos'!$D$99)/2,"")</f>
        <v/>
      </c>
      <c r="CR289" s="7" t="str">
        <f>IF(95&gt;=111,('Testes estatísticos'!$D$116+'Testes estatísticos'!$D$100)/2,"")</f>
        <v/>
      </c>
      <c r="CS289" s="7" t="str">
        <f>IF(96&gt;=111,('Testes estatísticos'!$D$116+'Testes estatísticos'!$D$101)/2,"")</f>
        <v/>
      </c>
      <c r="CT289" s="7" t="str">
        <f>IF(97&gt;=111,('Testes estatísticos'!$D$116+'Testes estatísticos'!$D$102)/2,"")</f>
        <v/>
      </c>
      <c r="CU289" s="7" t="str">
        <f>IF(98&gt;=111,('Testes estatísticos'!$D$116+'Testes estatísticos'!$D$103)/2,"")</f>
        <v/>
      </c>
      <c r="CV289" s="7" t="str">
        <f>IF(99&gt;=111,('Testes estatísticos'!$D$116+'Testes estatísticos'!$D$104)/2,"")</f>
        <v/>
      </c>
      <c r="CW289" s="7" t="str">
        <f>IF(100&gt;=111,('Testes estatísticos'!$D$116+'Testes estatísticos'!$D$105)/2,"")</f>
        <v/>
      </c>
      <c r="CX289" s="7" t="str">
        <f>IF(101&gt;=111,('Testes estatísticos'!$D$116+'Testes estatísticos'!$D$106)/2,"")</f>
        <v/>
      </c>
      <c r="CY289" s="7" t="str">
        <f>IF(102&gt;=111,('Testes estatísticos'!$D$116+'Testes estatísticos'!$D$107)/2,"")</f>
        <v/>
      </c>
      <c r="CZ289" s="7" t="str">
        <f>IF(103&gt;=111,('Testes estatísticos'!$D$116+'Testes estatísticos'!$D$108)/2,"")</f>
        <v/>
      </c>
      <c r="DA289" s="7" t="str">
        <f>IF(104&gt;=111,('Testes estatísticos'!$D$116+'Testes estatísticos'!$D$109)/2,"")</f>
        <v/>
      </c>
      <c r="DB289" s="7" t="str">
        <f>IF(105&gt;=111,('Testes estatísticos'!$D$116+'Testes estatísticos'!$D$110)/2,"")</f>
        <v/>
      </c>
      <c r="DC289" s="7" t="str">
        <f>IF(106&gt;=111,('Testes estatísticos'!$D$116+'Testes estatísticos'!$D$111)/2,"")</f>
        <v/>
      </c>
      <c r="DD289" s="7" t="str">
        <f>IF(107&gt;=111,('Testes estatísticos'!$D$116+'Testes estatísticos'!$D$112)/2,"")</f>
        <v/>
      </c>
      <c r="DE289" s="7" t="str">
        <f>IF(108&gt;=111,('Testes estatísticos'!$D$116+'Testes estatísticos'!$D$113)/2,"")</f>
        <v/>
      </c>
      <c r="DF289" s="7" t="str">
        <f>IF(109&gt;=111,('Testes estatísticos'!$D$116+'Testes estatísticos'!$D$114)/2,"")</f>
        <v/>
      </c>
      <c r="DG289" s="7" t="str">
        <f>IF(110&gt;=111,('Testes estatísticos'!$D$116+'Testes estatísticos'!$D$115)/2,"")</f>
        <v/>
      </c>
      <c r="DH289" s="7">
        <f>IF(111&gt;=111,('Testes estatísticos'!$D$116+'Testes estatísticos'!$D$116)/2,"")</f>
        <v>-1.9790119999999973</v>
      </c>
      <c r="DI289" s="7">
        <f>IF(112&gt;=111,('Testes estatísticos'!$D$116+'Testes estatísticos'!$D$117)/2,"")</f>
        <v>3.449428000000001</v>
      </c>
      <c r="DJ289" s="7">
        <f>IF(113&gt;=111,('Testes estatísticos'!$D$116+'Testes estatísticos'!$D$118)/2,"")</f>
        <v>-2.0071289999999991</v>
      </c>
      <c r="DK289" s="7">
        <f>IF(114&gt;=111,('Testes estatísticos'!$D$116+'Testes estatísticos'!$D$119)/2,"")</f>
        <v>-2.1088789999999982</v>
      </c>
      <c r="DL289" s="7">
        <f>IF(115&gt;=111,('Testes estatísticos'!$D$116+'Testes estatísticos'!$D$120)/2,"")</f>
        <v>-2.0624014999999964</v>
      </c>
      <c r="DM289" s="7">
        <f>IF(116&gt;=111,('Testes estatísticos'!$D$116+'Testes estatísticos'!$D$121)/2,"")</f>
        <v>-2.0537989999999979</v>
      </c>
      <c r="DN289" s="7">
        <f>IF(117&gt;=111,('Testes estatísticos'!$D$116+'Testes estatísticos'!$D$122)/2,"")</f>
        <v>-2.0307309999999994</v>
      </c>
      <c r="DO289" s="7">
        <f>IF(118&gt;=111,('Testes estatísticos'!$D$116+'Testes estatísticos'!$D$123)/2,"")</f>
        <v>-1.9808205000000001</v>
      </c>
      <c r="DP289" s="7">
        <f>IF(119&gt;=111,('Testes estatísticos'!$D$116+'Testes estatísticos'!$D$124)/2,"")</f>
        <v>-2.0020319999999998</v>
      </c>
      <c r="DQ289" s="7">
        <f>IF(120&gt;=111,('Testes estatísticos'!$D$116+'Testes estatísticos'!$D$125)/2,"")</f>
        <v>1.0495825000000032</v>
      </c>
      <c r="DR289" s="7">
        <f>IF(121&gt;=111,('Testes estatísticos'!$D$116+'Testes estatísticos'!$D$126)/2,"")</f>
        <v>-1.7394339999999993</v>
      </c>
      <c r="DS289" s="7">
        <f>IF(122&gt;=111,('Testes estatísticos'!$D$116+'Testes estatísticos'!$D$127)/2,"")</f>
        <v>-2.8048424999999959</v>
      </c>
      <c r="DT289" s="7">
        <f>IF(123&gt;=111,('Testes estatísticos'!$D$116+'Testes estatísticos'!$D$128)/2,"")</f>
        <v>3.2640269999999987</v>
      </c>
      <c r="DU289" s="7">
        <f>IF(124&gt;=111,('Testes estatísticos'!$D$116+'Testes estatísticos'!$D$129)/2,"")</f>
        <v>-1.6317444999999999</v>
      </c>
      <c r="DV289" s="7">
        <f>IF(125&gt;=111,('Testes estatísticos'!$D$116+'Testes estatísticos'!$D$130)/2,"")</f>
        <v>-0.47343700000000055</v>
      </c>
      <c r="DW289" s="7">
        <f>IF(126&gt;=111,('Testes estatísticos'!$D$116+'Testes estatísticos'!$D$131)/2,"")</f>
        <v>-2.8769129999999983</v>
      </c>
      <c r="DX289" s="7">
        <f>IF(127&gt;=111,('Testes estatísticos'!$D$116+'Testes estatísticos'!$D$132)/2,"")</f>
        <v>-4.9331044999999989</v>
      </c>
      <c r="DY289" s="7">
        <f>IF(128&gt;=111,('Testes estatísticos'!$D$116+'Testes estatísticos'!$D$133)/2,"")</f>
        <v>-5.2741939999999978</v>
      </c>
      <c r="DZ289" s="7">
        <f>IF(129&gt;=111,('Testes estatísticos'!$D$116+'Testes estatísticos'!$D$134)/2,"")</f>
        <v>-8.6979839999999982</v>
      </c>
      <c r="EA289" s="7">
        <f>IF(130&gt;=111,('Testes estatísticos'!$D$116+'Testes estatísticos'!$D$135)/2,"")</f>
        <v>-2.9362139999999961</v>
      </c>
      <c r="EB289" s="7">
        <f>IF(131&gt;=111,('Testes estatísticos'!$D$116+'Testes estatísticos'!$D$136)/2,"")</f>
        <v>-2.8483410000000013</v>
      </c>
      <c r="EC289" s="7">
        <f>IF(132&gt;=111,('Testes estatísticos'!$D$116+'Testes estatísticos'!$D$137)/2,"")</f>
        <v>-4.3350775000000006</v>
      </c>
      <c r="ED289" s="7">
        <f>IF(133&gt;=111,('Testes estatísticos'!$D$116+'Testes estatísticos'!$D$138)/2,"")</f>
        <v>-2.146139999999999</v>
      </c>
      <c r="EE289" s="7">
        <f>IF(134&gt;=111,('Testes estatísticos'!$D$116+'Testes estatísticos'!$D$139)/2,"")</f>
        <v>-4.4433305000000018</v>
      </c>
      <c r="EF289" s="7">
        <f>IF(135&gt;=111,('Testes estatísticos'!$D$116+'Testes estatísticos'!$D$140)/2,"")</f>
        <v>-1.2288979999999974</v>
      </c>
      <c r="EG289" s="7">
        <f>IF(136&gt;=111,('Testes estatísticos'!$D$116+'Testes estatísticos'!$D$141)/2,"")</f>
        <v>-2.9223880000000015</v>
      </c>
      <c r="EH289" s="7">
        <f>IF(137&gt;=111,('Testes estatísticos'!$D$116+'Testes estatísticos'!$D$142)/2,"")</f>
        <v>-1.2176480000000005</v>
      </c>
      <c r="EI289" s="7">
        <f>IF(138&gt;=111,('Testes estatísticos'!$D$116+'Testes estatísticos'!$D$143)/2,"")</f>
        <v>-2.882663499999996</v>
      </c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</row>
    <row r="290" spans="2:151" x14ac:dyDescent="0.3">
      <c r="B290" s="7" t="str">
        <f>IF(1&gt;=112,('Testes estatísticos'!$D$117+'Testes estatísticos'!$D$6)/2,"")</f>
        <v/>
      </c>
      <c r="C290" s="7" t="str">
        <f>IF(2&gt;=112,('Testes estatísticos'!$D$117+'Testes estatísticos'!$D$7)/2,"")</f>
        <v/>
      </c>
      <c r="D290" s="7" t="str">
        <f>IF(3&gt;=112,('Testes estatísticos'!$D$117+'Testes estatísticos'!$D$8)/2,"")</f>
        <v/>
      </c>
      <c r="E290" s="7" t="str">
        <f>IF(4&gt;=112,('Testes estatísticos'!$D$117+'Testes estatísticos'!$D$9)/2,"")</f>
        <v/>
      </c>
      <c r="F290" s="7" t="str">
        <f>IF(5&gt;=112,('Testes estatísticos'!$D$117+'Testes estatísticos'!$D$10)/2,"")</f>
        <v/>
      </c>
      <c r="G290" s="7" t="str">
        <f>IF(6&gt;=112,('Testes estatísticos'!$D$117+'Testes estatísticos'!$D$11)/2,"")</f>
        <v/>
      </c>
      <c r="H290" s="7" t="str">
        <f>IF(7&gt;=112,('Testes estatísticos'!$D$117+'Testes estatísticos'!$D$12)/2,"")</f>
        <v/>
      </c>
      <c r="I290" s="7" t="str">
        <f>IF(8&gt;=112,('Testes estatísticos'!$D$117+'Testes estatísticos'!$D$13)/2,"")</f>
        <v/>
      </c>
      <c r="J290" s="7" t="str">
        <f>IF(9&gt;=112,('Testes estatísticos'!$D$117+'Testes estatísticos'!$D$14)/2,"")</f>
        <v/>
      </c>
      <c r="K290" s="7" t="str">
        <f>IF(10&gt;=112,('Testes estatísticos'!$D$117+'Testes estatísticos'!$D$15)/2,"")</f>
        <v/>
      </c>
      <c r="L290" s="7" t="str">
        <f>IF(11&gt;=112,('Testes estatísticos'!$D$117+'Testes estatísticos'!$D$16)/2,"")</f>
        <v/>
      </c>
      <c r="M290" s="7" t="str">
        <f>IF(12&gt;=112,('Testes estatísticos'!$D$117+'Testes estatísticos'!$D$17)/2,"")</f>
        <v/>
      </c>
      <c r="N290" s="7" t="str">
        <f>IF(13&gt;=112,('Testes estatísticos'!$D$117+'Testes estatísticos'!$D$18)/2,"")</f>
        <v/>
      </c>
      <c r="O290" s="7" t="str">
        <f>IF(14&gt;=112,('Testes estatísticos'!$D$117+'Testes estatísticos'!$D$19)/2,"")</f>
        <v/>
      </c>
      <c r="P290" s="7" t="str">
        <f>IF(15&gt;=112,('Testes estatísticos'!$D$117+'Testes estatísticos'!$D$20)/2,"")</f>
        <v/>
      </c>
      <c r="Q290" s="7" t="str">
        <f>IF(16&gt;=112,('Testes estatísticos'!$D$117+'Testes estatísticos'!$D$21)/2,"")</f>
        <v/>
      </c>
      <c r="R290" s="7" t="str">
        <f>IF(17&gt;=112,('Testes estatísticos'!$D$117+'Testes estatísticos'!$D$22)/2,"")</f>
        <v/>
      </c>
      <c r="S290" s="7" t="str">
        <f>IF(18&gt;=112,('Testes estatísticos'!$D$117+'Testes estatísticos'!$D$23)/2,"")</f>
        <v/>
      </c>
      <c r="T290" s="7" t="str">
        <f>IF(19&gt;=112,('Testes estatísticos'!$D$117+'Testes estatísticos'!$D$24)/2,"")</f>
        <v/>
      </c>
      <c r="U290" s="7" t="str">
        <f>IF(20&gt;=112,('Testes estatísticos'!$D$117+'Testes estatísticos'!$D$25)/2,"")</f>
        <v/>
      </c>
      <c r="V290" s="7" t="str">
        <f>IF(21&gt;=112,('Testes estatísticos'!$D$117+'Testes estatísticos'!$D$26)/2,"")</f>
        <v/>
      </c>
      <c r="W290" s="7" t="str">
        <f>IF(22&gt;=112,('Testes estatísticos'!$D$117+'Testes estatísticos'!$D$27)/2,"")</f>
        <v/>
      </c>
      <c r="X290" s="7" t="str">
        <f>IF(23&gt;=112,('Testes estatísticos'!$D$117+'Testes estatísticos'!$D$28)/2,"")</f>
        <v/>
      </c>
      <c r="Y290" s="7" t="str">
        <f>IF(24&gt;=112,('Testes estatísticos'!$D$117+'Testes estatísticos'!$D$29)/2,"")</f>
        <v/>
      </c>
      <c r="Z290" s="7" t="str">
        <f>IF(25&gt;=112,('Testes estatísticos'!$D$117+'Testes estatísticos'!$D$30)/2,"")</f>
        <v/>
      </c>
      <c r="AA290" s="7" t="str">
        <f>IF(26&gt;=112,('Testes estatísticos'!$D$117+'Testes estatísticos'!$D$31)/2,"")</f>
        <v/>
      </c>
      <c r="AB290" s="7" t="str">
        <f>IF(27&gt;=112,('Testes estatísticos'!$D$117+'Testes estatísticos'!$D$32)/2,"")</f>
        <v/>
      </c>
      <c r="AC290" s="7" t="str">
        <f>IF(28&gt;=112,('Testes estatísticos'!$D$117+'Testes estatísticos'!$D$33)/2,"")</f>
        <v/>
      </c>
      <c r="AD290" s="7" t="str">
        <f>IF(29&gt;=112,('Testes estatísticos'!$D$117+'Testes estatísticos'!$D$34)/2,"")</f>
        <v/>
      </c>
      <c r="AE290" s="7" t="str">
        <f>IF(30&gt;=112,('Testes estatísticos'!$D$117+'Testes estatísticos'!$D$35)/2,"")</f>
        <v/>
      </c>
      <c r="AF290" s="7" t="str">
        <f>IF(31&gt;=112,('Testes estatísticos'!$D$117+'Testes estatísticos'!$D$36)/2,"")</f>
        <v/>
      </c>
      <c r="AG290" s="7" t="str">
        <f>IF(32&gt;=112,('Testes estatísticos'!$D$117+'Testes estatísticos'!$D$37)/2,"")</f>
        <v/>
      </c>
      <c r="AH290" s="7" t="str">
        <f>IF(33&gt;=112,('Testes estatísticos'!$D$117+'Testes estatísticos'!$D$38)/2,"")</f>
        <v/>
      </c>
      <c r="AI290" s="7" t="str">
        <f>IF(34&gt;=112,('Testes estatísticos'!$D$117+'Testes estatísticos'!$D$39)/2,"")</f>
        <v/>
      </c>
      <c r="AJ290" s="7" t="str">
        <f>IF(35&gt;=112,('Testes estatísticos'!$D$117+'Testes estatísticos'!$D$40)/2,"")</f>
        <v/>
      </c>
      <c r="AK290" s="7" t="str">
        <f>IF(36&gt;=112,('Testes estatísticos'!$D$117+'Testes estatísticos'!$D$41)/2,"")</f>
        <v/>
      </c>
      <c r="AL290" s="7" t="str">
        <f>IF(37&gt;=112,('Testes estatísticos'!$D$117+'Testes estatísticos'!$D$42)/2,"")</f>
        <v/>
      </c>
      <c r="AM290" s="7" t="str">
        <f>IF(38&gt;=112,('Testes estatísticos'!$D$117+'Testes estatísticos'!$D$43)/2,"")</f>
        <v/>
      </c>
      <c r="AN290" s="7" t="str">
        <f>IF(39&gt;=112,('Testes estatísticos'!$D$117+'Testes estatísticos'!$D$44)/2,"")</f>
        <v/>
      </c>
      <c r="AO290" s="7" t="str">
        <f>IF(40&gt;=112,('Testes estatísticos'!$D$117+'Testes estatísticos'!$D$45)/2,"")</f>
        <v/>
      </c>
      <c r="AP290" s="7" t="str">
        <f>IF(41&gt;=112,('Testes estatísticos'!$D$117+'Testes estatísticos'!$D$46)/2,"")</f>
        <v/>
      </c>
      <c r="AQ290" s="7" t="str">
        <f>IF(42&gt;=112,('Testes estatísticos'!$D$117+'Testes estatísticos'!$D$47)/2,"")</f>
        <v/>
      </c>
      <c r="AR290" s="7" t="str">
        <f>IF(43&gt;=112,('Testes estatísticos'!$D$117+'Testes estatísticos'!$D$48)/2,"")</f>
        <v/>
      </c>
      <c r="AS290" s="7" t="str">
        <f>IF(44&gt;=112,('Testes estatísticos'!$D$117+'Testes estatísticos'!$D$49)/2,"")</f>
        <v/>
      </c>
      <c r="AT290" s="7" t="str">
        <f>IF(45&gt;=112,('Testes estatísticos'!$D$117+'Testes estatísticos'!$D$50)/2,"")</f>
        <v/>
      </c>
      <c r="AU290" s="7" t="str">
        <f>IF(46&gt;=112,('Testes estatísticos'!$D$117+'Testes estatísticos'!$D$51)/2,"")</f>
        <v/>
      </c>
      <c r="AV290" s="7" t="str">
        <f>IF(47&gt;=112,('Testes estatísticos'!$D$117+'Testes estatísticos'!$D$52)/2,"")</f>
        <v/>
      </c>
      <c r="AW290" s="7" t="str">
        <f>IF(48&gt;=112,('Testes estatísticos'!$D$117+'Testes estatísticos'!$D$53)/2,"")</f>
        <v/>
      </c>
      <c r="AX290" s="7" t="str">
        <f>IF(49&gt;=112,('Testes estatísticos'!$D$117+'Testes estatísticos'!$D$54)/2,"")</f>
        <v/>
      </c>
      <c r="AY290" s="7" t="str">
        <f>IF(50&gt;=112,('Testes estatísticos'!$D$117+'Testes estatísticos'!$D$55)/2,"")</f>
        <v/>
      </c>
      <c r="AZ290" s="7" t="str">
        <f>IF(51&gt;=112,('Testes estatísticos'!$D$117+'Testes estatísticos'!$D$56)/2,"")</f>
        <v/>
      </c>
      <c r="BA290" s="7" t="str">
        <f>IF(52&gt;=112,('Testes estatísticos'!$D$117+'Testes estatísticos'!$D$57)/2,"")</f>
        <v/>
      </c>
      <c r="BB290" s="7" t="str">
        <f>IF(53&gt;=112,('Testes estatísticos'!$D$117+'Testes estatísticos'!$D$58)/2,"")</f>
        <v/>
      </c>
      <c r="BC290" s="7" t="str">
        <f>IF(54&gt;=112,('Testes estatísticos'!$D$117+'Testes estatísticos'!$D$59)/2,"")</f>
        <v/>
      </c>
      <c r="BD290" s="7" t="str">
        <f>IF(55&gt;=112,('Testes estatísticos'!$D$117+'Testes estatísticos'!$D$60)/2,"")</f>
        <v/>
      </c>
      <c r="BE290" s="7" t="str">
        <f>IF(56&gt;=112,('Testes estatísticos'!$D$117+'Testes estatísticos'!$D$61)/2,"")</f>
        <v/>
      </c>
      <c r="BF290" s="7" t="str">
        <f>IF(57&gt;=112,('Testes estatísticos'!$D$117+'Testes estatísticos'!$D$62)/2,"")</f>
        <v/>
      </c>
      <c r="BG290" s="7" t="str">
        <f>IF(58&gt;=112,('Testes estatísticos'!$D$117+'Testes estatísticos'!$D$63)/2,"")</f>
        <v/>
      </c>
      <c r="BH290" s="7" t="str">
        <f>IF(59&gt;=112,('Testes estatísticos'!$D$117+'Testes estatísticos'!$D$64)/2,"")</f>
        <v/>
      </c>
      <c r="BI290" s="7" t="str">
        <f>IF(60&gt;=112,('Testes estatísticos'!$D$117+'Testes estatísticos'!$D$65)/2,"")</f>
        <v/>
      </c>
      <c r="BJ290" s="7" t="str">
        <f>IF(61&gt;=112,('Testes estatísticos'!$D$117+'Testes estatísticos'!$D$66)/2,"")</f>
        <v/>
      </c>
      <c r="BK290" s="7" t="str">
        <f>IF(62&gt;=112,('Testes estatísticos'!$D$117+'Testes estatísticos'!$D$67)/2,"")</f>
        <v/>
      </c>
      <c r="BL290" s="7" t="str">
        <f>IF(63&gt;=112,('Testes estatísticos'!$D$117+'Testes estatísticos'!$D$68)/2,"")</f>
        <v/>
      </c>
      <c r="BM290" s="7" t="str">
        <f>IF(64&gt;=112,('Testes estatísticos'!$D$117+'Testes estatísticos'!$D$69)/2,"")</f>
        <v/>
      </c>
      <c r="BN290" s="7" t="str">
        <f>IF(65&gt;=112,('Testes estatísticos'!$D$117+'Testes estatísticos'!$D$70)/2,"")</f>
        <v/>
      </c>
      <c r="BO290" s="7" t="str">
        <f>IF(66&gt;=112,('Testes estatísticos'!$D$117+'Testes estatísticos'!$D$71)/2,"")</f>
        <v/>
      </c>
      <c r="BP290" s="7" t="str">
        <f>IF(67&gt;=112,('Testes estatísticos'!$D$117+'Testes estatísticos'!$D$72)/2,"")</f>
        <v/>
      </c>
      <c r="BQ290" s="7" t="str">
        <f>IF(68&gt;=112,('Testes estatísticos'!$D$117+'Testes estatísticos'!$D$73)/2,"")</f>
        <v/>
      </c>
      <c r="BR290" s="7" t="str">
        <f>IF(69&gt;=112,('Testes estatísticos'!$D$117+'Testes estatísticos'!$D$74)/2,"")</f>
        <v/>
      </c>
      <c r="BS290" s="7" t="str">
        <f>IF(70&gt;=112,('Testes estatísticos'!$D$117+'Testes estatísticos'!$D$75)/2,"")</f>
        <v/>
      </c>
      <c r="BT290" s="7" t="str">
        <f>IF(71&gt;=112,('Testes estatísticos'!$D$117+'Testes estatísticos'!$D$76)/2,"")</f>
        <v/>
      </c>
      <c r="BU290" s="7" t="str">
        <f>IF(72&gt;=112,('Testes estatísticos'!$D$117+'Testes estatísticos'!$D$77)/2,"")</f>
        <v/>
      </c>
      <c r="BV290" s="7" t="str">
        <f>IF(73&gt;=112,('Testes estatísticos'!$D$117+'Testes estatísticos'!$D$78)/2,"")</f>
        <v/>
      </c>
      <c r="BW290" s="7" t="str">
        <f>IF(74&gt;=112,('Testes estatísticos'!$D$117+'Testes estatísticos'!$D$79)/2,"")</f>
        <v/>
      </c>
      <c r="BX290" s="7" t="str">
        <f>IF(75&gt;=112,('Testes estatísticos'!$D$117+'Testes estatísticos'!$D$80)/2,"")</f>
        <v/>
      </c>
      <c r="BY290" s="7" t="str">
        <f>IF(76&gt;=112,('Testes estatísticos'!$D$117+'Testes estatísticos'!$D$81)/2,"")</f>
        <v/>
      </c>
      <c r="BZ290" s="7" t="str">
        <f>IF(77&gt;=112,('Testes estatísticos'!$D$117+'Testes estatísticos'!$D$82)/2,"")</f>
        <v/>
      </c>
      <c r="CA290" s="7" t="str">
        <f>IF(78&gt;=112,('Testes estatísticos'!$D$117+'Testes estatísticos'!$D$83)/2,"")</f>
        <v/>
      </c>
      <c r="CB290" s="7" t="str">
        <f>IF(79&gt;=112,('Testes estatísticos'!$D$117+'Testes estatísticos'!$D$84)/2,"")</f>
        <v/>
      </c>
      <c r="CC290" s="7" t="str">
        <f>IF(80&gt;=112,('Testes estatísticos'!$D$117+'Testes estatísticos'!$D$85)/2,"")</f>
        <v/>
      </c>
      <c r="CD290" s="7" t="str">
        <f>IF(81&gt;=112,('Testes estatísticos'!$D$117+'Testes estatísticos'!$D$86)/2,"")</f>
        <v/>
      </c>
      <c r="CE290" s="7" t="str">
        <f>IF(82&gt;=112,('Testes estatísticos'!$D$117+'Testes estatísticos'!$D$87)/2,"")</f>
        <v/>
      </c>
      <c r="CF290" s="7" t="str">
        <f>IF(83&gt;=112,('Testes estatísticos'!$D$117+'Testes estatísticos'!$D$88)/2,"")</f>
        <v/>
      </c>
      <c r="CG290" s="7" t="str">
        <f>IF(84&gt;=112,('Testes estatísticos'!$D$117+'Testes estatísticos'!$D$89)/2,"")</f>
        <v/>
      </c>
      <c r="CH290" s="7" t="str">
        <f>IF(85&gt;=112,('Testes estatísticos'!$D$117+'Testes estatísticos'!$D$90)/2,"")</f>
        <v/>
      </c>
      <c r="CI290" s="7" t="str">
        <f>IF(86&gt;=112,('Testes estatísticos'!$D$117+'Testes estatísticos'!$D$91)/2,"")</f>
        <v/>
      </c>
      <c r="CJ290" s="7" t="str">
        <f>IF(87&gt;=112,('Testes estatísticos'!$D$117+'Testes estatísticos'!$D$92)/2,"")</f>
        <v/>
      </c>
      <c r="CK290" s="7" t="str">
        <f>IF(88&gt;=112,('Testes estatísticos'!$D$117+'Testes estatísticos'!$D$93)/2,"")</f>
        <v/>
      </c>
      <c r="CL290" s="7" t="str">
        <f>IF(89&gt;=112,('Testes estatísticos'!$D$117+'Testes estatísticos'!$D$94)/2,"")</f>
        <v/>
      </c>
      <c r="CM290" s="7" t="str">
        <f>IF(90&gt;=112,('Testes estatísticos'!$D$117+'Testes estatísticos'!$D$95)/2,"")</f>
        <v/>
      </c>
      <c r="CN290" s="7" t="str">
        <f>IF(91&gt;=112,('Testes estatísticos'!$D$117+'Testes estatísticos'!$D$96)/2,"")</f>
        <v/>
      </c>
      <c r="CO290" s="7" t="str">
        <f>IF(92&gt;=112,('Testes estatísticos'!$D$117+'Testes estatísticos'!$D$97)/2,"")</f>
        <v/>
      </c>
      <c r="CP290" s="7" t="str">
        <f>IF(93&gt;=112,('Testes estatísticos'!$D$117+'Testes estatísticos'!$D$98)/2,"")</f>
        <v/>
      </c>
      <c r="CQ290" s="7" t="str">
        <f>IF(94&gt;=112,('Testes estatísticos'!$D$117+'Testes estatísticos'!$D$99)/2,"")</f>
        <v/>
      </c>
      <c r="CR290" s="7" t="str">
        <f>IF(95&gt;=112,('Testes estatísticos'!$D$117+'Testes estatísticos'!$D$100)/2,"")</f>
        <v/>
      </c>
      <c r="CS290" s="7" t="str">
        <f>IF(96&gt;=112,('Testes estatísticos'!$D$117+'Testes estatísticos'!$D$101)/2,"")</f>
        <v/>
      </c>
      <c r="CT290" s="7" t="str">
        <f>IF(97&gt;=112,('Testes estatísticos'!$D$117+'Testes estatísticos'!$D$102)/2,"")</f>
        <v/>
      </c>
      <c r="CU290" s="7" t="str">
        <f>IF(98&gt;=112,('Testes estatísticos'!$D$117+'Testes estatísticos'!$D$103)/2,"")</f>
        <v/>
      </c>
      <c r="CV290" s="7" t="str">
        <f>IF(99&gt;=112,('Testes estatísticos'!$D$117+'Testes estatísticos'!$D$104)/2,"")</f>
        <v/>
      </c>
      <c r="CW290" s="7" t="str">
        <f>IF(100&gt;=112,('Testes estatísticos'!$D$117+'Testes estatísticos'!$D$105)/2,"")</f>
        <v/>
      </c>
      <c r="CX290" s="7" t="str">
        <f>IF(101&gt;=112,('Testes estatísticos'!$D$117+'Testes estatísticos'!$D$106)/2,"")</f>
        <v/>
      </c>
      <c r="CY290" s="7" t="str">
        <f>IF(102&gt;=112,('Testes estatísticos'!$D$117+'Testes estatísticos'!$D$107)/2,"")</f>
        <v/>
      </c>
      <c r="CZ290" s="7" t="str">
        <f>IF(103&gt;=112,('Testes estatísticos'!$D$117+'Testes estatísticos'!$D$108)/2,"")</f>
        <v/>
      </c>
      <c r="DA290" s="7" t="str">
        <f>IF(104&gt;=112,('Testes estatísticos'!$D$117+'Testes estatísticos'!$D$109)/2,"")</f>
        <v/>
      </c>
      <c r="DB290" s="7" t="str">
        <f>IF(105&gt;=112,('Testes estatísticos'!$D$117+'Testes estatísticos'!$D$110)/2,"")</f>
        <v/>
      </c>
      <c r="DC290" s="7" t="str">
        <f>IF(106&gt;=112,('Testes estatísticos'!$D$117+'Testes estatísticos'!$D$111)/2,"")</f>
        <v/>
      </c>
      <c r="DD290" s="7" t="str">
        <f>IF(107&gt;=112,('Testes estatísticos'!$D$117+'Testes estatísticos'!$D$112)/2,"")</f>
        <v/>
      </c>
      <c r="DE290" s="7" t="str">
        <f>IF(108&gt;=112,('Testes estatísticos'!$D$117+'Testes estatísticos'!$D$113)/2,"")</f>
        <v/>
      </c>
      <c r="DF290" s="7" t="str">
        <f>IF(109&gt;=112,('Testes estatísticos'!$D$117+'Testes estatísticos'!$D$114)/2,"")</f>
        <v/>
      </c>
      <c r="DG290" s="7" t="str">
        <f>IF(110&gt;=112,('Testes estatísticos'!$D$117+'Testes estatísticos'!$D$115)/2,"")</f>
        <v/>
      </c>
      <c r="DH290" s="7" t="str">
        <f>IF(111&gt;=112,('Testes estatísticos'!$D$117+'Testes estatísticos'!$D$116)/2,"")</f>
        <v/>
      </c>
      <c r="DI290" s="7">
        <f>IF(112&gt;=112,('Testes estatísticos'!$D$117+'Testes estatísticos'!$D$117)/2,"")</f>
        <v>8.8778679999999994</v>
      </c>
      <c r="DJ290" s="7">
        <f>IF(113&gt;=112,('Testes estatísticos'!$D$117+'Testes estatísticos'!$D$118)/2,"")</f>
        <v>3.4213109999999993</v>
      </c>
      <c r="DK290" s="7">
        <f>IF(114&gt;=112,('Testes estatísticos'!$D$117+'Testes estatísticos'!$D$119)/2,"")</f>
        <v>3.3195610000000002</v>
      </c>
      <c r="DL290" s="7">
        <f>IF(115&gt;=112,('Testes estatísticos'!$D$117+'Testes estatísticos'!$D$120)/2,"")</f>
        <v>3.3660385000000019</v>
      </c>
      <c r="DM290" s="7">
        <f>IF(116&gt;=112,('Testes estatísticos'!$D$117+'Testes estatísticos'!$D$121)/2,"")</f>
        <v>3.3746410000000004</v>
      </c>
      <c r="DN290" s="7">
        <f>IF(117&gt;=112,('Testes estatísticos'!$D$117+'Testes estatísticos'!$D$122)/2,"")</f>
        <v>3.397708999999999</v>
      </c>
      <c r="DO290" s="7">
        <f>IF(118&gt;=112,('Testes estatísticos'!$D$117+'Testes estatísticos'!$D$123)/2,"")</f>
        <v>3.4476194999999983</v>
      </c>
      <c r="DP290" s="7">
        <f>IF(119&gt;=112,('Testes estatísticos'!$D$117+'Testes estatísticos'!$D$124)/2,"")</f>
        <v>3.4264079999999986</v>
      </c>
      <c r="DQ290" s="7">
        <f>IF(120&gt;=112,('Testes estatísticos'!$D$117+'Testes estatísticos'!$D$125)/2,"")</f>
        <v>6.4780225000000016</v>
      </c>
      <c r="DR290" s="7">
        <f>IF(121&gt;=112,('Testes estatísticos'!$D$117+'Testes estatísticos'!$D$126)/2,"")</f>
        <v>3.6890059999999991</v>
      </c>
      <c r="DS290" s="7">
        <f>IF(122&gt;=112,('Testes estatísticos'!$D$117+'Testes estatísticos'!$D$127)/2,"")</f>
        <v>2.6235975000000025</v>
      </c>
      <c r="DT290" s="7">
        <f>IF(123&gt;=112,('Testes estatísticos'!$D$117+'Testes estatísticos'!$D$128)/2,"")</f>
        <v>8.6924669999999971</v>
      </c>
      <c r="DU290" s="7">
        <f>IF(124&gt;=112,('Testes estatísticos'!$D$117+'Testes estatísticos'!$D$129)/2,"")</f>
        <v>3.7966954999999984</v>
      </c>
      <c r="DV290" s="7">
        <f>IF(125&gt;=112,('Testes estatísticos'!$D$117+'Testes estatísticos'!$D$130)/2,"")</f>
        <v>4.9550029999999978</v>
      </c>
      <c r="DW290" s="7">
        <f>IF(126&gt;=112,('Testes estatísticos'!$D$117+'Testes estatísticos'!$D$131)/2,"")</f>
        <v>2.5515270000000001</v>
      </c>
      <c r="DX290" s="7">
        <f>IF(127&gt;=112,('Testes estatísticos'!$D$117+'Testes estatísticos'!$D$132)/2,"")</f>
        <v>0.49533549999999948</v>
      </c>
      <c r="DY290" s="7">
        <f>IF(128&gt;=112,('Testes estatísticos'!$D$117+'Testes estatísticos'!$D$133)/2,"")</f>
        <v>0.15424600000000055</v>
      </c>
      <c r="DZ290" s="7">
        <f>IF(129&gt;=112,('Testes estatísticos'!$D$117+'Testes estatísticos'!$D$134)/2,"")</f>
        <v>-3.2695439999999998</v>
      </c>
      <c r="EA290" s="7">
        <f>IF(130&gt;=112,('Testes estatísticos'!$D$117+'Testes estatísticos'!$D$135)/2,"")</f>
        <v>2.4922260000000023</v>
      </c>
      <c r="EB290" s="7">
        <f>IF(131&gt;=112,('Testes estatísticos'!$D$117+'Testes estatísticos'!$D$136)/2,"")</f>
        <v>2.580098999999997</v>
      </c>
      <c r="EC290" s="7">
        <f>IF(132&gt;=112,('Testes estatísticos'!$D$117+'Testes estatísticos'!$D$137)/2,"")</f>
        <v>1.0933624999999978</v>
      </c>
      <c r="ED290" s="7">
        <f>IF(133&gt;=112,('Testes estatísticos'!$D$117+'Testes estatísticos'!$D$138)/2,"")</f>
        <v>3.2822999999999993</v>
      </c>
      <c r="EE290" s="7">
        <f>IF(134&gt;=112,('Testes estatísticos'!$D$117+'Testes estatísticos'!$D$139)/2,"")</f>
        <v>0.98510949999999653</v>
      </c>
      <c r="EF290" s="7">
        <f>IF(135&gt;=112,('Testes estatísticos'!$D$117+'Testes estatísticos'!$D$140)/2,"")</f>
        <v>4.199542000000001</v>
      </c>
      <c r="EG290" s="7">
        <f>IF(136&gt;=112,('Testes estatísticos'!$D$117+'Testes estatísticos'!$D$141)/2,"")</f>
        <v>2.5060519999999968</v>
      </c>
      <c r="EH290" s="7">
        <f>IF(137&gt;=112,('Testes estatísticos'!$D$117+'Testes estatísticos'!$D$142)/2,"")</f>
        <v>4.2107919999999979</v>
      </c>
      <c r="EI290" s="7">
        <f>IF(138&gt;=112,('Testes estatísticos'!$D$117+'Testes estatísticos'!$D$143)/2,"")</f>
        <v>2.5457765000000023</v>
      </c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</row>
    <row r="291" spans="2:151" x14ac:dyDescent="0.3">
      <c r="B291" s="7" t="str">
        <f>IF(1&gt;=113,('Testes estatísticos'!$D$118+'Testes estatísticos'!$D$6)/2,"")</f>
        <v/>
      </c>
      <c r="C291" s="7" t="str">
        <f>IF(2&gt;=113,('Testes estatísticos'!$D$118+'Testes estatísticos'!$D$7)/2,"")</f>
        <v/>
      </c>
      <c r="D291" s="7" t="str">
        <f>IF(3&gt;=113,('Testes estatísticos'!$D$118+'Testes estatísticos'!$D$8)/2,"")</f>
        <v/>
      </c>
      <c r="E291" s="7" t="str">
        <f>IF(4&gt;=113,('Testes estatísticos'!$D$118+'Testes estatísticos'!$D$9)/2,"")</f>
        <v/>
      </c>
      <c r="F291" s="7" t="str">
        <f>IF(5&gt;=113,('Testes estatísticos'!$D$118+'Testes estatísticos'!$D$10)/2,"")</f>
        <v/>
      </c>
      <c r="G291" s="7" t="str">
        <f>IF(6&gt;=113,('Testes estatísticos'!$D$118+'Testes estatísticos'!$D$11)/2,"")</f>
        <v/>
      </c>
      <c r="H291" s="7" t="str">
        <f>IF(7&gt;=113,('Testes estatísticos'!$D$118+'Testes estatísticos'!$D$12)/2,"")</f>
        <v/>
      </c>
      <c r="I291" s="7" t="str">
        <f>IF(8&gt;=113,('Testes estatísticos'!$D$118+'Testes estatísticos'!$D$13)/2,"")</f>
        <v/>
      </c>
      <c r="J291" s="7" t="str">
        <f>IF(9&gt;=113,('Testes estatísticos'!$D$118+'Testes estatísticos'!$D$14)/2,"")</f>
        <v/>
      </c>
      <c r="K291" s="7" t="str">
        <f>IF(10&gt;=113,('Testes estatísticos'!$D$118+'Testes estatísticos'!$D$15)/2,"")</f>
        <v/>
      </c>
      <c r="L291" s="7" t="str">
        <f>IF(11&gt;=113,('Testes estatísticos'!$D$118+'Testes estatísticos'!$D$16)/2,"")</f>
        <v/>
      </c>
      <c r="M291" s="7" t="str">
        <f>IF(12&gt;=113,('Testes estatísticos'!$D$118+'Testes estatísticos'!$D$17)/2,"")</f>
        <v/>
      </c>
      <c r="N291" s="7" t="str">
        <f>IF(13&gt;=113,('Testes estatísticos'!$D$118+'Testes estatísticos'!$D$18)/2,"")</f>
        <v/>
      </c>
      <c r="O291" s="7" t="str">
        <f>IF(14&gt;=113,('Testes estatísticos'!$D$118+'Testes estatísticos'!$D$19)/2,"")</f>
        <v/>
      </c>
      <c r="P291" s="7" t="str">
        <f>IF(15&gt;=113,('Testes estatísticos'!$D$118+'Testes estatísticos'!$D$20)/2,"")</f>
        <v/>
      </c>
      <c r="Q291" s="7" t="str">
        <f>IF(16&gt;=113,('Testes estatísticos'!$D$118+'Testes estatísticos'!$D$21)/2,"")</f>
        <v/>
      </c>
      <c r="R291" s="7" t="str">
        <f>IF(17&gt;=113,('Testes estatísticos'!$D$118+'Testes estatísticos'!$D$22)/2,"")</f>
        <v/>
      </c>
      <c r="S291" s="7" t="str">
        <f>IF(18&gt;=113,('Testes estatísticos'!$D$118+'Testes estatísticos'!$D$23)/2,"")</f>
        <v/>
      </c>
      <c r="T291" s="7" t="str">
        <f>IF(19&gt;=113,('Testes estatísticos'!$D$118+'Testes estatísticos'!$D$24)/2,"")</f>
        <v/>
      </c>
      <c r="U291" s="7" t="str">
        <f>IF(20&gt;=113,('Testes estatísticos'!$D$118+'Testes estatísticos'!$D$25)/2,"")</f>
        <v/>
      </c>
      <c r="V291" s="7" t="str">
        <f>IF(21&gt;=113,('Testes estatísticos'!$D$118+'Testes estatísticos'!$D$26)/2,"")</f>
        <v/>
      </c>
      <c r="W291" s="7" t="str">
        <f>IF(22&gt;=113,('Testes estatísticos'!$D$118+'Testes estatísticos'!$D$27)/2,"")</f>
        <v/>
      </c>
      <c r="X291" s="7" t="str">
        <f>IF(23&gt;=113,('Testes estatísticos'!$D$118+'Testes estatísticos'!$D$28)/2,"")</f>
        <v/>
      </c>
      <c r="Y291" s="7" t="str">
        <f>IF(24&gt;=113,('Testes estatísticos'!$D$118+'Testes estatísticos'!$D$29)/2,"")</f>
        <v/>
      </c>
      <c r="Z291" s="7" t="str">
        <f>IF(25&gt;=113,('Testes estatísticos'!$D$118+'Testes estatísticos'!$D$30)/2,"")</f>
        <v/>
      </c>
      <c r="AA291" s="7" t="str">
        <f>IF(26&gt;=113,('Testes estatísticos'!$D$118+'Testes estatísticos'!$D$31)/2,"")</f>
        <v/>
      </c>
      <c r="AB291" s="7" t="str">
        <f>IF(27&gt;=113,('Testes estatísticos'!$D$118+'Testes estatísticos'!$D$32)/2,"")</f>
        <v/>
      </c>
      <c r="AC291" s="7" t="str">
        <f>IF(28&gt;=113,('Testes estatísticos'!$D$118+'Testes estatísticos'!$D$33)/2,"")</f>
        <v/>
      </c>
      <c r="AD291" s="7" t="str">
        <f>IF(29&gt;=113,('Testes estatísticos'!$D$118+'Testes estatísticos'!$D$34)/2,"")</f>
        <v/>
      </c>
      <c r="AE291" s="7" t="str">
        <f>IF(30&gt;=113,('Testes estatísticos'!$D$118+'Testes estatísticos'!$D$35)/2,"")</f>
        <v/>
      </c>
      <c r="AF291" s="7" t="str">
        <f>IF(31&gt;=113,('Testes estatísticos'!$D$118+'Testes estatísticos'!$D$36)/2,"")</f>
        <v/>
      </c>
      <c r="AG291" s="7" t="str">
        <f>IF(32&gt;=113,('Testes estatísticos'!$D$118+'Testes estatísticos'!$D$37)/2,"")</f>
        <v/>
      </c>
      <c r="AH291" s="7" t="str">
        <f>IF(33&gt;=113,('Testes estatísticos'!$D$118+'Testes estatísticos'!$D$38)/2,"")</f>
        <v/>
      </c>
      <c r="AI291" s="7" t="str">
        <f>IF(34&gt;=113,('Testes estatísticos'!$D$118+'Testes estatísticos'!$D$39)/2,"")</f>
        <v/>
      </c>
      <c r="AJ291" s="7" t="str">
        <f>IF(35&gt;=113,('Testes estatísticos'!$D$118+'Testes estatísticos'!$D$40)/2,"")</f>
        <v/>
      </c>
      <c r="AK291" s="7" t="str">
        <f>IF(36&gt;=113,('Testes estatísticos'!$D$118+'Testes estatísticos'!$D$41)/2,"")</f>
        <v/>
      </c>
      <c r="AL291" s="7" t="str">
        <f>IF(37&gt;=113,('Testes estatísticos'!$D$118+'Testes estatísticos'!$D$42)/2,"")</f>
        <v/>
      </c>
      <c r="AM291" s="7" t="str">
        <f>IF(38&gt;=113,('Testes estatísticos'!$D$118+'Testes estatísticos'!$D$43)/2,"")</f>
        <v/>
      </c>
      <c r="AN291" s="7" t="str">
        <f>IF(39&gt;=113,('Testes estatísticos'!$D$118+'Testes estatísticos'!$D$44)/2,"")</f>
        <v/>
      </c>
      <c r="AO291" s="7" t="str">
        <f>IF(40&gt;=113,('Testes estatísticos'!$D$118+'Testes estatísticos'!$D$45)/2,"")</f>
        <v/>
      </c>
      <c r="AP291" s="7" t="str">
        <f>IF(41&gt;=113,('Testes estatísticos'!$D$118+'Testes estatísticos'!$D$46)/2,"")</f>
        <v/>
      </c>
      <c r="AQ291" s="7" t="str">
        <f>IF(42&gt;=113,('Testes estatísticos'!$D$118+'Testes estatísticos'!$D$47)/2,"")</f>
        <v/>
      </c>
      <c r="AR291" s="7" t="str">
        <f>IF(43&gt;=113,('Testes estatísticos'!$D$118+'Testes estatísticos'!$D$48)/2,"")</f>
        <v/>
      </c>
      <c r="AS291" s="7" t="str">
        <f>IF(44&gt;=113,('Testes estatísticos'!$D$118+'Testes estatísticos'!$D$49)/2,"")</f>
        <v/>
      </c>
      <c r="AT291" s="7" t="str">
        <f>IF(45&gt;=113,('Testes estatísticos'!$D$118+'Testes estatísticos'!$D$50)/2,"")</f>
        <v/>
      </c>
      <c r="AU291" s="7" t="str">
        <f>IF(46&gt;=113,('Testes estatísticos'!$D$118+'Testes estatísticos'!$D$51)/2,"")</f>
        <v/>
      </c>
      <c r="AV291" s="7" t="str">
        <f>IF(47&gt;=113,('Testes estatísticos'!$D$118+'Testes estatísticos'!$D$52)/2,"")</f>
        <v/>
      </c>
      <c r="AW291" s="7" t="str">
        <f>IF(48&gt;=113,('Testes estatísticos'!$D$118+'Testes estatísticos'!$D$53)/2,"")</f>
        <v/>
      </c>
      <c r="AX291" s="7" t="str">
        <f>IF(49&gt;=113,('Testes estatísticos'!$D$118+'Testes estatísticos'!$D$54)/2,"")</f>
        <v/>
      </c>
      <c r="AY291" s="7" t="str">
        <f>IF(50&gt;=113,('Testes estatísticos'!$D$118+'Testes estatísticos'!$D$55)/2,"")</f>
        <v/>
      </c>
      <c r="AZ291" s="7" t="str">
        <f>IF(51&gt;=113,('Testes estatísticos'!$D$118+'Testes estatísticos'!$D$56)/2,"")</f>
        <v/>
      </c>
      <c r="BA291" s="7" t="str">
        <f>IF(52&gt;=113,('Testes estatísticos'!$D$118+'Testes estatísticos'!$D$57)/2,"")</f>
        <v/>
      </c>
      <c r="BB291" s="7" t="str">
        <f>IF(53&gt;=113,('Testes estatísticos'!$D$118+'Testes estatísticos'!$D$58)/2,"")</f>
        <v/>
      </c>
      <c r="BC291" s="7" t="str">
        <f>IF(54&gt;=113,('Testes estatísticos'!$D$118+'Testes estatísticos'!$D$59)/2,"")</f>
        <v/>
      </c>
      <c r="BD291" s="7" t="str">
        <f>IF(55&gt;=113,('Testes estatísticos'!$D$118+'Testes estatísticos'!$D$60)/2,"")</f>
        <v/>
      </c>
      <c r="BE291" s="7" t="str">
        <f>IF(56&gt;=113,('Testes estatísticos'!$D$118+'Testes estatísticos'!$D$61)/2,"")</f>
        <v/>
      </c>
      <c r="BF291" s="7" t="str">
        <f>IF(57&gt;=113,('Testes estatísticos'!$D$118+'Testes estatísticos'!$D$62)/2,"")</f>
        <v/>
      </c>
      <c r="BG291" s="7" t="str">
        <f>IF(58&gt;=113,('Testes estatísticos'!$D$118+'Testes estatísticos'!$D$63)/2,"")</f>
        <v/>
      </c>
      <c r="BH291" s="7" t="str">
        <f>IF(59&gt;=113,('Testes estatísticos'!$D$118+'Testes estatísticos'!$D$64)/2,"")</f>
        <v/>
      </c>
      <c r="BI291" s="7" t="str">
        <f>IF(60&gt;=113,('Testes estatísticos'!$D$118+'Testes estatísticos'!$D$65)/2,"")</f>
        <v/>
      </c>
      <c r="BJ291" s="7" t="str">
        <f>IF(61&gt;=113,('Testes estatísticos'!$D$118+'Testes estatísticos'!$D$66)/2,"")</f>
        <v/>
      </c>
      <c r="BK291" s="7" t="str">
        <f>IF(62&gt;=113,('Testes estatísticos'!$D$118+'Testes estatísticos'!$D$67)/2,"")</f>
        <v/>
      </c>
      <c r="BL291" s="7" t="str">
        <f>IF(63&gt;=113,('Testes estatísticos'!$D$118+'Testes estatísticos'!$D$68)/2,"")</f>
        <v/>
      </c>
      <c r="BM291" s="7" t="str">
        <f>IF(64&gt;=113,('Testes estatísticos'!$D$118+'Testes estatísticos'!$D$69)/2,"")</f>
        <v/>
      </c>
      <c r="BN291" s="7" t="str">
        <f>IF(65&gt;=113,('Testes estatísticos'!$D$118+'Testes estatísticos'!$D$70)/2,"")</f>
        <v/>
      </c>
      <c r="BO291" s="7" t="str">
        <f>IF(66&gt;=113,('Testes estatísticos'!$D$118+'Testes estatísticos'!$D$71)/2,"")</f>
        <v/>
      </c>
      <c r="BP291" s="7" t="str">
        <f>IF(67&gt;=113,('Testes estatísticos'!$D$118+'Testes estatísticos'!$D$72)/2,"")</f>
        <v/>
      </c>
      <c r="BQ291" s="7" t="str">
        <f>IF(68&gt;=113,('Testes estatísticos'!$D$118+'Testes estatísticos'!$D$73)/2,"")</f>
        <v/>
      </c>
      <c r="BR291" s="7" t="str">
        <f>IF(69&gt;=113,('Testes estatísticos'!$D$118+'Testes estatísticos'!$D$74)/2,"")</f>
        <v/>
      </c>
      <c r="BS291" s="7" t="str">
        <f>IF(70&gt;=113,('Testes estatísticos'!$D$118+'Testes estatísticos'!$D$75)/2,"")</f>
        <v/>
      </c>
      <c r="BT291" s="7" t="str">
        <f>IF(71&gt;=113,('Testes estatísticos'!$D$118+'Testes estatísticos'!$D$76)/2,"")</f>
        <v/>
      </c>
      <c r="BU291" s="7" t="str">
        <f>IF(72&gt;=113,('Testes estatísticos'!$D$118+'Testes estatísticos'!$D$77)/2,"")</f>
        <v/>
      </c>
      <c r="BV291" s="7" t="str">
        <f>IF(73&gt;=113,('Testes estatísticos'!$D$118+'Testes estatísticos'!$D$78)/2,"")</f>
        <v/>
      </c>
      <c r="BW291" s="7" t="str">
        <f>IF(74&gt;=113,('Testes estatísticos'!$D$118+'Testes estatísticos'!$D$79)/2,"")</f>
        <v/>
      </c>
      <c r="BX291" s="7" t="str">
        <f>IF(75&gt;=113,('Testes estatísticos'!$D$118+'Testes estatísticos'!$D$80)/2,"")</f>
        <v/>
      </c>
      <c r="BY291" s="7" t="str">
        <f>IF(76&gt;=113,('Testes estatísticos'!$D$118+'Testes estatísticos'!$D$81)/2,"")</f>
        <v/>
      </c>
      <c r="BZ291" s="7" t="str">
        <f>IF(77&gt;=113,('Testes estatísticos'!$D$118+'Testes estatísticos'!$D$82)/2,"")</f>
        <v/>
      </c>
      <c r="CA291" s="7" t="str">
        <f>IF(78&gt;=113,('Testes estatísticos'!$D$118+'Testes estatísticos'!$D$83)/2,"")</f>
        <v/>
      </c>
      <c r="CB291" s="7" t="str">
        <f>IF(79&gt;=113,('Testes estatísticos'!$D$118+'Testes estatísticos'!$D$84)/2,"")</f>
        <v/>
      </c>
      <c r="CC291" s="7" t="str">
        <f>IF(80&gt;=113,('Testes estatísticos'!$D$118+'Testes estatísticos'!$D$85)/2,"")</f>
        <v/>
      </c>
      <c r="CD291" s="7" t="str">
        <f>IF(81&gt;=113,('Testes estatísticos'!$D$118+'Testes estatísticos'!$D$86)/2,"")</f>
        <v/>
      </c>
      <c r="CE291" s="7" t="str">
        <f>IF(82&gt;=113,('Testes estatísticos'!$D$118+'Testes estatísticos'!$D$87)/2,"")</f>
        <v/>
      </c>
      <c r="CF291" s="7" t="str">
        <f>IF(83&gt;=113,('Testes estatísticos'!$D$118+'Testes estatísticos'!$D$88)/2,"")</f>
        <v/>
      </c>
      <c r="CG291" s="7" t="str">
        <f>IF(84&gt;=113,('Testes estatísticos'!$D$118+'Testes estatísticos'!$D$89)/2,"")</f>
        <v/>
      </c>
      <c r="CH291" s="7" t="str">
        <f>IF(85&gt;=113,('Testes estatísticos'!$D$118+'Testes estatísticos'!$D$90)/2,"")</f>
        <v/>
      </c>
      <c r="CI291" s="7" t="str">
        <f>IF(86&gt;=113,('Testes estatísticos'!$D$118+'Testes estatísticos'!$D$91)/2,"")</f>
        <v/>
      </c>
      <c r="CJ291" s="7" t="str">
        <f>IF(87&gt;=113,('Testes estatísticos'!$D$118+'Testes estatísticos'!$D$92)/2,"")</f>
        <v/>
      </c>
      <c r="CK291" s="7" t="str">
        <f>IF(88&gt;=113,('Testes estatísticos'!$D$118+'Testes estatísticos'!$D$93)/2,"")</f>
        <v/>
      </c>
      <c r="CL291" s="7" t="str">
        <f>IF(89&gt;=113,('Testes estatísticos'!$D$118+'Testes estatísticos'!$D$94)/2,"")</f>
        <v/>
      </c>
      <c r="CM291" s="7" t="str">
        <f>IF(90&gt;=113,('Testes estatísticos'!$D$118+'Testes estatísticos'!$D$95)/2,"")</f>
        <v/>
      </c>
      <c r="CN291" s="7" t="str">
        <f>IF(91&gt;=113,('Testes estatísticos'!$D$118+'Testes estatísticos'!$D$96)/2,"")</f>
        <v/>
      </c>
      <c r="CO291" s="7" t="str">
        <f>IF(92&gt;=113,('Testes estatísticos'!$D$118+'Testes estatísticos'!$D$97)/2,"")</f>
        <v/>
      </c>
      <c r="CP291" s="7" t="str">
        <f>IF(93&gt;=113,('Testes estatísticos'!$D$118+'Testes estatísticos'!$D$98)/2,"")</f>
        <v/>
      </c>
      <c r="CQ291" s="7" t="str">
        <f>IF(94&gt;=113,('Testes estatísticos'!$D$118+'Testes estatísticos'!$D$99)/2,"")</f>
        <v/>
      </c>
      <c r="CR291" s="7" t="str">
        <f>IF(95&gt;=113,('Testes estatísticos'!$D$118+'Testes estatísticos'!$D$100)/2,"")</f>
        <v/>
      </c>
      <c r="CS291" s="7" t="str">
        <f>IF(96&gt;=113,('Testes estatísticos'!$D$118+'Testes estatísticos'!$D$101)/2,"")</f>
        <v/>
      </c>
      <c r="CT291" s="7" t="str">
        <f>IF(97&gt;=113,('Testes estatísticos'!$D$118+'Testes estatísticos'!$D$102)/2,"")</f>
        <v/>
      </c>
      <c r="CU291" s="7" t="str">
        <f>IF(98&gt;=113,('Testes estatísticos'!$D$118+'Testes estatísticos'!$D$103)/2,"")</f>
        <v/>
      </c>
      <c r="CV291" s="7" t="str">
        <f>IF(99&gt;=113,('Testes estatísticos'!$D$118+'Testes estatísticos'!$D$104)/2,"")</f>
        <v/>
      </c>
      <c r="CW291" s="7" t="str">
        <f>IF(100&gt;=113,('Testes estatísticos'!$D$118+'Testes estatísticos'!$D$105)/2,"")</f>
        <v/>
      </c>
      <c r="CX291" s="7" t="str">
        <f>IF(101&gt;=113,('Testes estatísticos'!$D$118+'Testes estatísticos'!$D$106)/2,"")</f>
        <v/>
      </c>
      <c r="CY291" s="7" t="str">
        <f>IF(102&gt;=113,('Testes estatísticos'!$D$118+'Testes estatísticos'!$D$107)/2,"")</f>
        <v/>
      </c>
      <c r="CZ291" s="7" t="str">
        <f>IF(103&gt;=113,('Testes estatísticos'!$D$118+'Testes estatísticos'!$D$108)/2,"")</f>
        <v/>
      </c>
      <c r="DA291" s="7" t="str">
        <f>IF(104&gt;=113,('Testes estatísticos'!$D$118+'Testes estatísticos'!$D$109)/2,"")</f>
        <v/>
      </c>
      <c r="DB291" s="7" t="str">
        <f>IF(105&gt;=113,('Testes estatísticos'!$D$118+'Testes estatísticos'!$D$110)/2,"")</f>
        <v/>
      </c>
      <c r="DC291" s="7" t="str">
        <f>IF(106&gt;=113,('Testes estatísticos'!$D$118+'Testes estatísticos'!$D$111)/2,"")</f>
        <v/>
      </c>
      <c r="DD291" s="7" t="str">
        <f>IF(107&gt;=113,('Testes estatísticos'!$D$118+'Testes estatísticos'!$D$112)/2,"")</f>
        <v/>
      </c>
      <c r="DE291" s="7" t="str">
        <f>IF(108&gt;=113,('Testes estatísticos'!$D$118+'Testes estatísticos'!$D$113)/2,"")</f>
        <v/>
      </c>
      <c r="DF291" s="7" t="str">
        <f>IF(109&gt;=113,('Testes estatísticos'!$D$118+'Testes estatísticos'!$D$114)/2,"")</f>
        <v/>
      </c>
      <c r="DG291" s="7" t="str">
        <f>IF(110&gt;=113,('Testes estatísticos'!$D$118+'Testes estatísticos'!$D$115)/2,"")</f>
        <v/>
      </c>
      <c r="DH291" s="7" t="str">
        <f>IF(111&gt;=113,('Testes estatísticos'!$D$118+'Testes estatísticos'!$D$116)/2,"")</f>
        <v/>
      </c>
      <c r="DI291" s="7" t="str">
        <f>IF(112&gt;=113,('Testes estatísticos'!$D$118+'Testes estatísticos'!$D$117)/2,"")</f>
        <v/>
      </c>
      <c r="DJ291" s="7">
        <f>IF(113&gt;=113,('Testes estatísticos'!$D$118+'Testes estatísticos'!$D$118)/2,"")</f>
        <v>-2.0352460000000008</v>
      </c>
      <c r="DK291" s="7">
        <f>IF(114&gt;=113,('Testes estatísticos'!$D$118+'Testes estatísticos'!$D$119)/2,"")</f>
        <v>-2.1369959999999999</v>
      </c>
      <c r="DL291" s="7">
        <f>IF(115&gt;=113,('Testes estatísticos'!$D$118+'Testes estatísticos'!$D$120)/2,"")</f>
        <v>-2.0905184999999982</v>
      </c>
      <c r="DM291" s="7">
        <f>IF(116&gt;=113,('Testes estatísticos'!$D$118+'Testes estatísticos'!$D$121)/2,"")</f>
        <v>-2.0819159999999997</v>
      </c>
      <c r="DN291" s="7">
        <f>IF(117&gt;=113,('Testes estatísticos'!$D$118+'Testes estatísticos'!$D$122)/2,"")</f>
        <v>-2.0588480000000011</v>
      </c>
      <c r="DO291" s="7">
        <f>IF(118&gt;=113,('Testes estatísticos'!$D$118+'Testes estatísticos'!$D$123)/2,"")</f>
        <v>-2.0089375000000018</v>
      </c>
      <c r="DP291" s="7">
        <f>IF(119&gt;=113,('Testes estatísticos'!$D$118+'Testes estatísticos'!$D$124)/2,"")</f>
        <v>-2.0301490000000015</v>
      </c>
      <c r="DQ291" s="7">
        <f>IF(120&gt;=113,('Testes estatísticos'!$D$118+'Testes estatísticos'!$D$125)/2,"")</f>
        <v>1.0214655000000015</v>
      </c>
      <c r="DR291" s="7">
        <f>IF(121&gt;=113,('Testes estatísticos'!$D$118+'Testes estatísticos'!$D$126)/2,"")</f>
        <v>-1.767551000000001</v>
      </c>
      <c r="DS291" s="7">
        <f>IF(122&gt;=113,('Testes estatísticos'!$D$118+'Testes estatísticos'!$D$127)/2,"")</f>
        <v>-2.8329594999999976</v>
      </c>
      <c r="DT291" s="7">
        <f>IF(123&gt;=113,('Testes estatísticos'!$D$118+'Testes estatísticos'!$D$128)/2,"")</f>
        <v>3.235909999999997</v>
      </c>
      <c r="DU291" s="7">
        <f>IF(124&gt;=113,('Testes estatísticos'!$D$118+'Testes estatísticos'!$D$129)/2,"")</f>
        <v>-1.6598615000000017</v>
      </c>
      <c r="DV291" s="7">
        <f>IF(125&gt;=113,('Testes estatísticos'!$D$118+'Testes estatísticos'!$D$130)/2,"")</f>
        <v>-0.50155400000000228</v>
      </c>
      <c r="DW291" s="7">
        <f>IF(126&gt;=113,('Testes estatísticos'!$D$118+'Testes estatísticos'!$D$131)/2,"")</f>
        <v>-2.90503</v>
      </c>
      <c r="DX291" s="7">
        <f>IF(127&gt;=113,('Testes estatísticos'!$D$118+'Testes estatísticos'!$D$132)/2,"")</f>
        <v>-4.9612215000000006</v>
      </c>
      <c r="DY291" s="7">
        <f>IF(128&gt;=113,('Testes estatísticos'!$D$118+'Testes estatísticos'!$D$133)/2,"")</f>
        <v>-5.3023109999999996</v>
      </c>
      <c r="DZ291" s="7">
        <f>IF(129&gt;=113,('Testes estatísticos'!$D$118+'Testes estatísticos'!$D$134)/2,"")</f>
        <v>-8.7261009999999999</v>
      </c>
      <c r="EA291" s="7">
        <f>IF(130&gt;=113,('Testes estatísticos'!$D$118+'Testes estatísticos'!$D$135)/2,"")</f>
        <v>-2.9643309999999978</v>
      </c>
      <c r="EB291" s="7">
        <f>IF(131&gt;=113,('Testes estatísticos'!$D$118+'Testes estatísticos'!$D$136)/2,"")</f>
        <v>-2.8764580000000031</v>
      </c>
      <c r="EC291" s="7">
        <f>IF(132&gt;=113,('Testes estatísticos'!$D$118+'Testes estatísticos'!$D$137)/2,"")</f>
        <v>-4.3631945000000023</v>
      </c>
      <c r="ED291" s="7">
        <f>IF(133&gt;=113,('Testes estatísticos'!$D$118+'Testes estatísticos'!$D$138)/2,"")</f>
        <v>-2.1742570000000008</v>
      </c>
      <c r="EE291" s="7">
        <f>IF(134&gt;=113,('Testes estatísticos'!$D$118+'Testes estatísticos'!$D$139)/2,"")</f>
        <v>-4.4714475000000036</v>
      </c>
      <c r="EF291" s="7">
        <f>IF(135&gt;=113,('Testes estatísticos'!$D$118+'Testes estatísticos'!$D$140)/2,"")</f>
        <v>-1.2570149999999991</v>
      </c>
      <c r="EG291" s="7">
        <f>IF(136&gt;=113,('Testes estatísticos'!$D$118+'Testes estatísticos'!$D$141)/2,"")</f>
        <v>-2.9505050000000033</v>
      </c>
      <c r="EH291" s="7">
        <f>IF(137&gt;=113,('Testes estatísticos'!$D$118+'Testes estatísticos'!$D$142)/2,"")</f>
        <v>-1.2457650000000022</v>
      </c>
      <c r="EI291" s="7">
        <f>IF(138&gt;=113,('Testes estatísticos'!$D$118+'Testes estatísticos'!$D$143)/2,"")</f>
        <v>-2.9107804999999978</v>
      </c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</row>
    <row r="292" spans="2:151" x14ac:dyDescent="0.3">
      <c r="B292" s="7" t="str">
        <f>IF(1&gt;=114,('Testes estatísticos'!$D$119+'Testes estatísticos'!$D$6)/2,"")</f>
        <v/>
      </c>
      <c r="C292" s="7" t="str">
        <f>IF(2&gt;=114,('Testes estatísticos'!$D$119+'Testes estatísticos'!$D$7)/2,"")</f>
        <v/>
      </c>
      <c r="D292" s="7" t="str">
        <f>IF(3&gt;=114,('Testes estatísticos'!$D$119+'Testes estatísticos'!$D$8)/2,"")</f>
        <v/>
      </c>
      <c r="E292" s="7" t="str">
        <f>IF(4&gt;=114,('Testes estatísticos'!$D$119+'Testes estatísticos'!$D$9)/2,"")</f>
        <v/>
      </c>
      <c r="F292" s="7" t="str">
        <f>IF(5&gt;=114,('Testes estatísticos'!$D$119+'Testes estatísticos'!$D$10)/2,"")</f>
        <v/>
      </c>
      <c r="G292" s="7" t="str">
        <f>IF(6&gt;=114,('Testes estatísticos'!$D$119+'Testes estatísticos'!$D$11)/2,"")</f>
        <v/>
      </c>
      <c r="H292" s="7" t="str">
        <f>IF(7&gt;=114,('Testes estatísticos'!$D$119+'Testes estatísticos'!$D$12)/2,"")</f>
        <v/>
      </c>
      <c r="I292" s="7" t="str">
        <f>IF(8&gt;=114,('Testes estatísticos'!$D$119+'Testes estatísticos'!$D$13)/2,"")</f>
        <v/>
      </c>
      <c r="J292" s="7" t="str">
        <f>IF(9&gt;=114,('Testes estatísticos'!$D$119+'Testes estatísticos'!$D$14)/2,"")</f>
        <v/>
      </c>
      <c r="K292" s="7" t="str">
        <f>IF(10&gt;=114,('Testes estatísticos'!$D$119+'Testes estatísticos'!$D$15)/2,"")</f>
        <v/>
      </c>
      <c r="L292" s="7" t="str">
        <f>IF(11&gt;=114,('Testes estatísticos'!$D$119+'Testes estatísticos'!$D$16)/2,"")</f>
        <v/>
      </c>
      <c r="M292" s="7" t="str">
        <f>IF(12&gt;=114,('Testes estatísticos'!$D$119+'Testes estatísticos'!$D$17)/2,"")</f>
        <v/>
      </c>
      <c r="N292" s="7" t="str">
        <f>IF(13&gt;=114,('Testes estatísticos'!$D$119+'Testes estatísticos'!$D$18)/2,"")</f>
        <v/>
      </c>
      <c r="O292" s="7" t="str">
        <f>IF(14&gt;=114,('Testes estatísticos'!$D$119+'Testes estatísticos'!$D$19)/2,"")</f>
        <v/>
      </c>
      <c r="P292" s="7" t="str">
        <f>IF(15&gt;=114,('Testes estatísticos'!$D$119+'Testes estatísticos'!$D$20)/2,"")</f>
        <v/>
      </c>
      <c r="Q292" s="7" t="str">
        <f>IF(16&gt;=114,('Testes estatísticos'!$D$119+'Testes estatísticos'!$D$21)/2,"")</f>
        <v/>
      </c>
      <c r="R292" s="7" t="str">
        <f>IF(17&gt;=114,('Testes estatísticos'!$D$119+'Testes estatísticos'!$D$22)/2,"")</f>
        <v/>
      </c>
      <c r="S292" s="7" t="str">
        <f>IF(18&gt;=114,('Testes estatísticos'!$D$119+'Testes estatísticos'!$D$23)/2,"")</f>
        <v/>
      </c>
      <c r="T292" s="7" t="str">
        <f>IF(19&gt;=114,('Testes estatísticos'!$D$119+'Testes estatísticos'!$D$24)/2,"")</f>
        <v/>
      </c>
      <c r="U292" s="7" t="str">
        <f>IF(20&gt;=114,('Testes estatísticos'!$D$119+'Testes estatísticos'!$D$25)/2,"")</f>
        <v/>
      </c>
      <c r="V292" s="7" t="str">
        <f>IF(21&gt;=114,('Testes estatísticos'!$D$119+'Testes estatísticos'!$D$26)/2,"")</f>
        <v/>
      </c>
      <c r="W292" s="7" t="str">
        <f>IF(22&gt;=114,('Testes estatísticos'!$D$119+'Testes estatísticos'!$D$27)/2,"")</f>
        <v/>
      </c>
      <c r="X292" s="7" t="str">
        <f>IF(23&gt;=114,('Testes estatísticos'!$D$119+'Testes estatísticos'!$D$28)/2,"")</f>
        <v/>
      </c>
      <c r="Y292" s="7" t="str">
        <f>IF(24&gt;=114,('Testes estatísticos'!$D$119+'Testes estatísticos'!$D$29)/2,"")</f>
        <v/>
      </c>
      <c r="Z292" s="7" t="str">
        <f>IF(25&gt;=114,('Testes estatísticos'!$D$119+'Testes estatísticos'!$D$30)/2,"")</f>
        <v/>
      </c>
      <c r="AA292" s="7" t="str">
        <f>IF(26&gt;=114,('Testes estatísticos'!$D$119+'Testes estatísticos'!$D$31)/2,"")</f>
        <v/>
      </c>
      <c r="AB292" s="7" t="str">
        <f>IF(27&gt;=114,('Testes estatísticos'!$D$119+'Testes estatísticos'!$D$32)/2,"")</f>
        <v/>
      </c>
      <c r="AC292" s="7" t="str">
        <f>IF(28&gt;=114,('Testes estatísticos'!$D$119+'Testes estatísticos'!$D$33)/2,"")</f>
        <v/>
      </c>
      <c r="AD292" s="7" t="str">
        <f>IF(29&gt;=114,('Testes estatísticos'!$D$119+'Testes estatísticos'!$D$34)/2,"")</f>
        <v/>
      </c>
      <c r="AE292" s="7" t="str">
        <f>IF(30&gt;=114,('Testes estatísticos'!$D$119+'Testes estatísticos'!$D$35)/2,"")</f>
        <v/>
      </c>
      <c r="AF292" s="7" t="str">
        <f>IF(31&gt;=114,('Testes estatísticos'!$D$119+'Testes estatísticos'!$D$36)/2,"")</f>
        <v/>
      </c>
      <c r="AG292" s="7" t="str">
        <f>IF(32&gt;=114,('Testes estatísticos'!$D$119+'Testes estatísticos'!$D$37)/2,"")</f>
        <v/>
      </c>
      <c r="AH292" s="7" t="str">
        <f>IF(33&gt;=114,('Testes estatísticos'!$D$119+'Testes estatísticos'!$D$38)/2,"")</f>
        <v/>
      </c>
      <c r="AI292" s="7" t="str">
        <f>IF(34&gt;=114,('Testes estatísticos'!$D$119+'Testes estatísticos'!$D$39)/2,"")</f>
        <v/>
      </c>
      <c r="AJ292" s="7" t="str">
        <f>IF(35&gt;=114,('Testes estatísticos'!$D$119+'Testes estatísticos'!$D$40)/2,"")</f>
        <v/>
      </c>
      <c r="AK292" s="7" t="str">
        <f>IF(36&gt;=114,('Testes estatísticos'!$D$119+'Testes estatísticos'!$D$41)/2,"")</f>
        <v/>
      </c>
      <c r="AL292" s="7" t="str">
        <f>IF(37&gt;=114,('Testes estatísticos'!$D$119+'Testes estatísticos'!$D$42)/2,"")</f>
        <v/>
      </c>
      <c r="AM292" s="7" t="str">
        <f>IF(38&gt;=114,('Testes estatísticos'!$D$119+'Testes estatísticos'!$D$43)/2,"")</f>
        <v/>
      </c>
      <c r="AN292" s="7" t="str">
        <f>IF(39&gt;=114,('Testes estatísticos'!$D$119+'Testes estatísticos'!$D$44)/2,"")</f>
        <v/>
      </c>
      <c r="AO292" s="7" t="str">
        <f>IF(40&gt;=114,('Testes estatísticos'!$D$119+'Testes estatísticos'!$D$45)/2,"")</f>
        <v/>
      </c>
      <c r="AP292" s="7" t="str">
        <f>IF(41&gt;=114,('Testes estatísticos'!$D$119+'Testes estatísticos'!$D$46)/2,"")</f>
        <v/>
      </c>
      <c r="AQ292" s="7" t="str">
        <f>IF(42&gt;=114,('Testes estatísticos'!$D$119+'Testes estatísticos'!$D$47)/2,"")</f>
        <v/>
      </c>
      <c r="AR292" s="7" t="str">
        <f>IF(43&gt;=114,('Testes estatísticos'!$D$119+'Testes estatísticos'!$D$48)/2,"")</f>
        <v/>
      </c>
      <c r="AS292" s="7" t="str">
        <f>IF(44&gt;=114,('Testes estatísticos'!$D$119+'Testes estatísticos'!$D$49)/2,"")</f>
        <v/>
      </c>
      <c r="AT292" s="7" t="str">
        <f>IF(45&gt;=114,('Testes estatísticos'!$D$119+'Testes estatísticos'!$D$50)/2,"")</f>
        <v/>
      </c>
      <c r="AU292" s="7" t="str">
        <f>IF(46&gt;=114,('Testes estatísticos'!$D$119+'Testes estatísticos'!$D$51)/2,"")</f>
        <v/>
      </c>
      <c r="AV292" s="7" t="str">
        <f>IF(47&gt;=114,('Testes estatísticos'!$D$119+'Testes estatísticos'!$D$52)/2,"")</f>
        <v/>
      </c>
      <c r="AW292" s="7" t="str">
        <f>IF(48&gt;=114,('Testes estatísticos'!$D$119+'Testes estatísticos'!$D$53)/2,"")</f>
        <v/>
      </c>
      <c r="AX292" s="7" t="str">
        <f>IF(49&gt;=114,('Testes estatísticos'!$D$119+'Testes estatísticos'!$D$54)/2,"")</f>
        <v/>
      </c>
      <c r="AY292" s="7" t="str">
        <f>IF(50&gt;=114,('Testes estatísticos'!$D$119+'Testes estatísticos'!$D$55)/2,"")</f>
        <v/>
      </c>
      <c r="AZ292" s="7" t="str">
        <f>IF(51&gt;=114,('Testes estatísticos'!$D$119+'Testes estatísticos'!$D$56)/2,"")</f>
        <v/>
      </c>
      <c r="BA292" s="7" t="str">
        <f>IF(52&gt;=114,('Testes estatísticos'!$D$119+'Testes estatísticos'!$D$57)/2,"")</f>
        <v/>
      </c>
      <c r="BB292" s="7" t="str">
        <f>IF(53&gt;=114,('Testes estatísticos'!$D$119+'Testes estatísticos'!$D$58)/2,"")</f>
        <v/>
      </c>
      <c r="BC292" s="7" t="str">
        <f>IF(54&gt;=114,('Testes estatísticos'!$D$119+'Testes estatísticos'!$D$59)/2,"")</f>
        <v/>
      </c>
      <c r="BD292" s="7" t="str">
        <f>IF(55&gt;=114,('Testes estatísticos'!$D$119+'Testes estatísticos'!$D$60)/2,"")</f>
        <v/>
      </c>
      <c r="BE292" s="7" t="str">
        <f>IF(56&gt;=114,('Testes estatísticos'!$D$119+'Testes estatísticos'!$D$61)/2,"")</f>
        <v/>
      </c>
      <c r="BF292" s="7" t="str">
        <f>IF(57&gt;=114,('Testes estatísticos'!$D$119+'Testes estatísticos'!$D$62)/2,"")</f>
        <v/>
      </c>
      <c r="BG292" s="7" t="str">
        <f>IF(58&gt;=114,('Testes estatísticos'!$D$119+'Testes estatísticos'!$D$63)/2,"")</f>
        <v/>
      </c>
      <c r="BH292" s="7" t="str">
        <f>IF(59&gt;=114,('Testes estatísticos'!$D$119+'Testes estatísticos'!$D$64)/2,"")</f>
        <v/>
      </c>
      <c r="BI292" s="7" t="str">
        <f>IF(60&gt;=114,('Testes estatísticos'!$D$119+'Testes estatísticos'!$D$65)/2,"")</f>
        <v/>
      </c>
      <c r="BJ292" s="7" t="str">
        <f>IF(61&gt;=114,('Testes estatísticos'!$D$119+'Testes estatísticos'!$D$66)/2,"")</f>
        <v/>
      </c>
      <c r="BK292" s="7" t="str">
        <f>IF(62&gt;=114,('Testes estatísticos'!$D$119+'Testes estatísticos'!$D$67)/2,"")</f>
        <v/>
      </c>
      <c r="BL292" s="7" t="str">
        <f>IF(63&gt;=114,('Testes estatísticos'!$D$119+'Testes estatísticos'!$D$68)/2,"")</f>
        <v/>
      </c>
      <c r="BM292" s="7" t="str">
        <f>IF(64&gt;=114,('Testes estatísticos'!$D$119+'Testes estatísticos'!$D$69)/2,"")</f>
        <v/>
      </c>
      <c r="BN292" s="7" t="str">
        <f>IF(65&gt;=114,('Testes estatísticos'!$D$119+'Testes estatísticos'!$D$70)/2,"")</f>
        <v/>
      </c>
      <c r="BO292" s="7" t="str">
        <f>IF(66&gt;=114,('Testes estatísticos'!$D$119+'Testes estatísticos'!$D$71)/2,"")</f>
        <v/>
      </c>
      <c r="BP292" s="7" t="str">
        <f>IF(67&gt;=114,('Testes estatísticos'!$D$119+'Testes estatísticos'!$D$72)/2,"")</f>
        <v/>
      </c>
      <c r="BQ292" s="7" t="str">
        <f>IF(68&gt;=114,('Testes estatísticos'!$D$119+'Testes estatísticos'!$D$73)/2,"")</f>
        <v/>
      </c>
      <c r="BR292" s="7" t="str">
        <f>IF(69&gt;=114,('Testes estatísticos'!$D$119+'Testes estatísticos'!$D$74)/2,"")</f>
        <v/>
      </c>
      <c r="BS292" s="7" t="str">
        <f>IF(70&gt;=114,('Testes estatísticos'!$D$119+'Testes estatísticos'!$D$75)/2,"")</f>
        <v/>
      </c>
      <c r="BT292" s="7" t="str">
        <f>IF(71&gt;=114,('Testes estatísticos'!$D$119+'Testes estatísticos'!$D$76)/2,"")</f>
        <v/>
      </c>
      <c r="BU292" s="7" t="str">
        <f>IF(72&gt;=114,('Testes estatísticos'!$D$119+'Testes estatísticos'!$D$77)/2,"")</f>
        <v/>
      </c>
      <c r="BV292" s="7" t="str">
        <f>IF(73&gt;=114,('Testes estatísticos'!$D$119+'Testes estatísticos'!$D$78)/2,"")</f>
        <v/>
      </c>
      <c r="BW292" s="7" t="str">
        <f>IF(74&gt;=114,('Testes estatísticos'!$D$119+'Testes estatísticos'!$D$79)/2,"")</f>
        <v/>
      </c>
      <c r="BX292" s="7" t="str">
        <f>IF(75&gt;=114,('Testes estatísticos'!$D$119+'Testes estatísticos'!$D$80)/2,"")</f>
        <v/>
      </c>
      <c r="BY292" s="7" t="str">
        <f>IF(76&gt;=114,('Testes estatísticos'!$D$119+'Testes estatísticos'!$D$81)/2,"")</f>
        <v/>
      </c>
      <c r="BZ292" s="7" t="str">
        <f>IF(77&gt;=114,('Testes estatísticos'!$D$119+'Testes estatísticos'!$D$82)/2,"")</f>
        <v/>
      </c>
      <c r="CA292" s="7" t="str">
        <f>IF(78&gt;=114,('Testes estatísticos'!$D$119+'Testes estatísticos'!$D$83)/2,"")</f>
        <v/>
      </c>
      <c r="CB292" s="7" t="str">
        <f>IF(79&gt;=114,('Testes estatísticos'!$D$119+'Testes estatísticos'!$D$84)/2,"")</f>
        <v/>
      </c>
      <c r="CC292" s="7" t="str">
        <f>IF(80&gt;=114,('Testes estatísticos'!$D$119+'Testes estatísticos'!$D$85)/2,"")</f>
        <v/>
      </c>
      <c r="CD292" s="7" t="str">
        <f>IF(81&gt;=114,('Testes estatísticos'!$D$119+'Testes estatísticos'!$D$86)/2,"")</f>
        <v/>
      </c>
      <c r="CE292" s="7" t="str">
        <f>IF(82&gt;=114,('Testes estatísticos'!$D$119+'Testes estatísticos'!$D$87)/2,"")</f>
        <v/>
      </c>
      <c r="CF292" s="7" t="str">
        <f>IF(83&gt;=114,('Testes estatísticos'!$D$119+'Testes estatísticos'!$D$88)/2,"")</f>
        <v/>
      </c>
      <c r="CG292" s="7" t="str">
        <f>IF(84&gt;=114,('Testes estatísticos'!$D$119+'Testes estatísticos'!$D$89)/2,"")</f>
        <v/>
      </c>
      <c r="CH292" s="7" t="str">
        <f>IF(85&gt;=114,('Testes estatísticos'!$D$119+'Testes estatísticos'!$D$90)/2,"")</f>
        <v/>
      </c>
      <c r="CI292" s="7" t="str">
        <f>IF(86&gt;=114,('Testes estatísticos'!$D$119+'Testes estatísticos'!$D$91)/2,"")</f>
        <v/>
      </c>
      <c r="CJ292" s="7" t="str">
        <f>IF(87&gt;=114,('Testes estatísticos'!$D$119+'Testes estatísticos'!$D$92)/2,"")</f>
        <v/>
      </c>
      <c r="CK292" s="7" t="str">
        <f>IF(88&gt;=114,('Testes estatísticos'!$D$119+'Testes estatísticos'!$D$93)/2,"")</f>
        <v/>
      </c>
      <c r="CL292" s="7" t="str">
        <f>IF(89&gt;=114,('Testes estatísticos'!$D$119+'Testes estatísticos'!$D$94)/2,"")</f>
        <v/>
      </c>
      <c r="CM292" s="7" t="str">
        <f>IF(90&gt;=114,('Testes estatísticos'!$D$119+'Testes estatísticos'!$D$95)/2,"")</f>
        <v/>
      </c>
      <c r="CN292" s="7" t="str">
        <f>IF(91&gt;=114,('Testes estatísticos'!$D$119+'Testes estatísticos'!$D$96)/2,"")</f>
        <v/>
      </c>
      <c r="CO292" s="7" t="str">
        <f>IF(92&gt;=114,('Testes estatísticos'!$D$119+'Testes estatísticos'!$D$97)/2,"")</f>
        <v/>
      </c>
      <c r="CP292" s="7" t="str">
        <f>IF(93&gt;=114,('Testes estatísticos'!$D$119+'Testes estatísticos'!$D$98)/2,"")</f>
        <v/>
      </c>
      <c r="CQ292" s="7" t="str">
        <f>IF(94&gt;=114,('Testes estatísticos'!$D$119+'Testes estatísticos'!$D$99)/2,"")</f>
        <v/>
      </c>
      <c r="CR292" s="7" t="str">
        <f>IF(95&gt;=114,('Testes estatísticos'!$D$119+'Testes estatísticos'!$D$100)/2,"")</f>
        <v/>
      </c>
      <c r="CS292" s="7" t="str">
        <f>IF(96&gt;=114,('Testes estatísticos'!$D$119+'Testes estatísticos'!$D$101)/2,"")</f>
        <v/>
      </c>
      <c r="CT292" s="7" t="str">
        <f>IF(97&gt;=114,('Testes estatísticos'!$D$119+'Testes estatísticos'!$D$102)/2,"")</f>
        <v/>
      </c>
      <c r="CU292" s="7" t="str">
        <f>IF(98&gt;=114,('Testes estatísticos'!$D$119+'Testes estatísticos'!$D$103)/2,"")</f>
        <v/>
      </c>
      <c r="CV292" s="7" t="str">
        <f>IF(99&gt;=114,('Testes estatísticos'!$D$119+'Testes estatísticos'!$D$104)/2,"")</f>
        <v/>
      </c>
      <c r="CW292" s="7" t="str">
        <f>IF(100&gt;=114,('Testes estatísticos'!$D$119+'Testes estatísticos'!$D$105)/2,"")</f>
        <v/>
      </c>
      <c r="CX292" s="7" t="str">
        <f>IF(101&gt;=114,('Testes estatísticos'!$D$119+'Testes estatísticos'!$D$106)/2,"")</f>
        <v/>
      </c>
      <c r="CY292" s="7" t="str">
        <f>IF(102&gt;=114,('Testes estatísticos'!$D$119+'Testes estatísticos'!$D$107)/2,"")</f>
        <v/>
      </c>
      <c r="CZ292" s="7" t="str">
        <f>IF(103&gt;=114,('Testes estatísticos'!$D$119+'Testes estatísticos'!$D$108)/2,"")</f>
        <v/>
      </c>
      <c r="DA292" s="7" t="str">
        <f>IF(104&gt;=114,('Testes estatísticos'!$D$119+'Testes estatísticos'!$D$109)/2,"")</f>
        <v/>
      </c>
      <c r="DB292" s="7" t="str">
        <f>IF(105&gt;=114,('Testes estatísticos'!$D$119+'Testes estatísticos'!$D$110)/2,"")</f>
        <v/>
      </c>
      <c r="DC292" s="7" t="str">
        <f>IF(106&gt;=114,('Testes estatísticos'!$D$119+'Testes estatísticos'!$D$111)/2,"")</f>
        <v/>
      </c>
      <c r="DD292" s="7" t="str">
        <f>IF(107&gt;=114,('Testes estatísticos'!$D$119+'Testes estatísticos'!$D$112)/2,"")</f>
        <v/>
      </c>
      <c r="DE292" s="7" t="str">
        <f>IF(108&gt;=114,('Testes estatísticos'!$D$119+'Testes estatísticos'!$D$113)/2,"")</f>
        <v/>
      </c>
      <c r="DF292" s="7" t="str">
        <f>IF(109&gt;=114,('Testes estatísticos'!$D$119+'Testes estatísticos'!$D$114)/2,"")</f>
        <v/>
      </c>
      <c r="DG292" s="7" t="str">
        <f>IF(110&gt;=114,('Testes estatísticos'!$D$119+'Testes estatísticos'!$D$115)/2,"")</f>
        <v/>
      </c>
      <c r="DH292" s="7" t="str">
        <f>IF(111&gt;=114,('Testes estatísticos'!$D$119+'Testes estatísticos'!$D$116)/2,"")</f>
        <v/>
      </c>
      <c r="DI292" s="7" t="str">
        <f>IF(112&gt;=114,('Testes estatísticos'!$D$119+'Testes estatísticos'!$D$117)/2,"")</f>
        <v/>
      </c>
      <c r="DJ292" s="7" t="str">
        <f>IF(113&gt;=114,('Testes estatísticos'!$D$119+'Testes estatísticos'!$D$118)/2,"")</f>
        <v/>
      </c>
      <c r="DK292" s="7">
        <f>IF(114&gt;=114,('Testes estatísticos'!$D$119+'Testes estatísticos'!$D$119)/2,"")</f>
        <v>-2.238745999999999</v>
      </c>
      <c r="DL292" s="7">
        <f>IF(115&gt;=114,('Testes estatísticos'!$D$119+'Testes estatísticos'!$D$120)/2,"")</f>
        <v>-2.1922684999999973</v>
      </c>
      <c r="DM292" s="7">
        <f>IF(116&gt;=114,('Testes estatísticos'!$D$119+'Testes estatísticos'!$D$121)/2,"")</f>
        <v>-2.1836659999999988</v>
      </c>
      <c r="DN292" s="7">
        <f>IF(117&gt;=114,('Testes estatísticos'!$D$119+'Testes estatísticos'!$D$122)/2,"")</f>
        <v>-2.1605980000000002</v>
      </c>
      <c r="DO292" s="7">
        <f>IF(118&gt;=114,('Testes estatísticos'!$D$119+'Testes estatísticos'!$D$123)/2,"")</f>
        <v>-2.1106875000000009</v>
      </c>
      <c r="DP292" s="7">
        <f>IF(119&gt;=114,('Testes estatísticos'!$D$119+'Testes estatísticos'!$D$124)/2,"")</f>
        <v>-2.1318990000000007</v>
      </c>
      <c r="DQ292" s="7">
        <f>IF(120&gt;=114,('Testes estatísticos'!$D$119+'Testes estatísticos'!$D$125)/2,"")</f>
        <v>0.91971550000000235</v>
      </c>
      <c r="DR292" s="7">
        <f>IF(121&gt;=114,('Testes estatísticos'!$D$119+'Testes estatísticos'!$D$126)/2,"")</f>
        <v>-1.8693010000000001</v>
      </c>
      <c r="DS292" s="7">
        <f>IF(122&gt;=114,('Testes estatísticos'!$D$119+'Testes estatísticos'!$D$127)/2,"")</f>
        <v>-2.9347094999999968</v>
      </c>
      <c r="DT292" s="7">
        <f>IF(123&gt;=114,('Testes estatísticos'!$D$119+'Testes estatísticos'!$D$128)/2,"")</f>
        <v>3.1341599999999978</v>
      </c>
      <c r="DU292" s="7">
        <f>IF(124&gt;=114,('Testes estatísticos'!$D$119+'Testes estatísticos'!$D$129)/2,"")</f>
        <v>-1.7616115000000008</v>
      </c>
      <c r="DV292" s="7">
        <f>IF(125&gt;=114,('Testes estatísticos'!$D$119+'Testes estatísticos'!$D$130)/2,"")</f>
        <v>-0.60330400000000139</v>
      </c>
      <c r="DW292" s="7">
        <f>IF(126&gt;=114,('Testes estatísticos'!$D$119+'Testes estatísticos'!$D$131)/2,"")</f>
        <v>-3.0067799999999991</v>
      </c>
      <c r="DX292" s="7">
        <f>IF(127&gt;=114,('Testes estatísticos'!$D$119+'Testes estatísticos'!$D$132)/2,"")</f>
        <v>-5.0629714999999997</v>
      </c>
      <c r="DY292" s="7">
        <f>IF(128&gt;=114,('Testes estatísticos'!$D$119+'Testes estatísticos'!$D$133)/2,"")</f>
        <v>-5.4040609999999987</v>
      </c>
      <c r="DZ292" s="7">
        <f>IF(129&gt;=114,('Testes estatísticos'!$D$119+'Testes estatísticos'!$D$134)/2,"")</f>
        <v>-8.827850999999999</v>
      </c>
      <c r="EA292" s="7">
        <f>IF(130&gt;=114,('Testes estatísticos'!$D$119+'Testes estatísticos'!$D$135)/2,"")</f>
        <v>-3.0660809999999969</v>
      </c>
      <c r="EB292" s="7">
        <f>IF(131&gt;=114,('Testes estatísticos'!$D$119+'Testes estatísticos'!$D$136)/2,"")</f>
        <v>-2.9782080000000022</v>
      </c>
      <c r="EC292" s="7">
        <f>IF(132&gt;=114,('Testes estatísticos'!$D$119+'Testes estatísticos'!$D$137)/2,"")</f>
        <v>-4.4649445000000014</v>
      </c>
      <c r="ED292" s="7">
        <f>IF(133&gt;=114,('Testes estatísticos'!$D$119+'Testes estatísticos'!$D$138)/2,"")</f>
        <v>-2.2760069999999999</v>
      </c>
      <c r="EE292" s="7">
        <f>IF(134&gt;=114,('Testes estatísticos'!$D$119+'Testes estatísticos'!$D$139)/2,"")</f>
        <v>-4.5731975000000027</v>
      </c>
      <c r="EF292" s="7">
        <f>IF(135&gt;=114,('Testes estatísticos'!$D$119+'Testes estatísticos'!$D$140)/2,"")</f>
        <v>-1.3587649999999982</v>
      </c>
      <c r="EG292" s="7">
        <f>IF(136&gt;=114,('Testes estatísticos'!$D$119+'Testes estatísticos'!$D$141)/2,"")</f>
        <v>-3.0522550000000024</v>
      </c>
      <c r="EH292" s="7">
        <f>IF(137&gt;=114,('Testes estatísticos'!$D$119+'Testes estatísticos'!$D$142)/2,"")</f>
        <v>-1.3475150000000014</v>
      </c>
      <c r="EI292" s="7">
        <f>IF(138&gt;=114,('Testes estatísticos'!$D$119+'Testes estatísticos'!$D$143)/2,"")</f>
        <v>-3.0125304999999969</v>
      </c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</row>
    <row r="293" spans="2:151" x14ac:dyDescent="0.3">
      <c r="B293" s="7" t="str">
        <f>IF(1&gt;=115,('Testes estatísticos'!$D$120+'Testes estatísticos'!$D$6)/2,"")</f>
        <v/>
      </c>
      <c r="C293" s="7" t="str">
        <f>IF(2&gt;=115,('Testes estatísticos'!$D$120+'Testes estatísticos'!$D$7)/2,"")</f>
        <v/>
      </c>
      <c r="D293" s="7" t="str">
        <f>IF(3&gt;=115,('Testes estatísticos'!$D$120+'Testes estatísticos'!$D$8)/2,"")</f>
        <v/>
      </c>
      <c r="E293" s="7" t="str">
        <f>IF(4&gt;=115,('Testes estatísticos'!$D$120+'Testes estatísticos'!$D$9)/2,"")</f>
        <v/>
      </c>
      <c r="F293" s="7" t="str">
        <f>IF(5&gt;=115,('Testes estatísticos'!$D$120+'Testes estatísticos'!$D$10)/2,"")</f>
        <v/>
      </c>
      <c r="G293" s="7" t="str">
        <f>IF(6&gt;=115,('Testes estatísticos'!$D$120+'Testes estatísticos'!$D$11)/2,"")</f>
        <v/>
      </c>
      <c r="H293" s="7" t="str">
        <f>IF(7&gt;=115,('Testes estatísticos'!$D$120+'Testes estatísticos'!$D$12)/2,"")</f>
        <v/>
      </c>
      <c r="I293" s="7" t="str">
        <f>IF(8&gt;=115,('Testes estatísticos'!$D$120+'Testes estatísticos'!$D$13)/2,"")</f>
        <v/>
      </c>
      <c r="J293" s="7" t="str">
        <f>IF(9&gt;=115,('Testes estatísticos'!$D$120+'Testes estatísticos'!$D$14)/2,"")</f>
        <v/>
      </c>
      <c r="K293" s="7" t="str">
        <f>IF(10&gt;=115,('Testes estatísticos'!$D$120+'Testes estatísticos'!$D$15)/2,"")</f>
        <v/>
      </c>
      <c r="L293" s="7" t="str">
        <f>IF(11&gt;=115,('Testes estatísticos'!$D$120+'Testes estatísticos'!$D$16)/2,"")</f>
        <v/>
      </c>
      <c r="M293" s="7" t="str">
        <f>IF(12&gt;=115,('Testes estatísticos'!$D$120+'Testes estatísticos'!$D$17)/2,"")</f>
        <v/>
      </c>
      <c r="N293" s="7" t="str">
        <f>IF(13&gt;=115,('Testes estatísticos'!$D$120+'Testes estatísticos'!$D$18)/2,"")</f>
        <v/>
      </c>
      <c r="O293" s="7" t="str">
        <f>IF(14&gt;=115,('Testes estatísticos'!$D$120+'Testes estatísticos'!$D$19)/2,"")</f>
        <v/>
      </c>
      <c r="P293" s="7" t="str">
        <f>IF(15&gt;=115,('Testes estatísticos'!$D$120+'Testes estatísticos'!$D$20)/2,"")</f>
        <v/>
      </c>
      <c r="Q293" s="7" t="str">
        <f>IF(16&gt;=115,('Testes estatísticos'!$D$120+'Testes estatísticos'!$D$21)/2,"")</f>
        <v/>
      </c>
      <c r="R293" s="7" t="str">
        <f>IF(17&gt;=115,('Testes estatísticos'!$D$120+'Testes estatísticos'!$D$22)/2,"")</f>
        <v/>
      </c>
      <c r="S293" s="7" t="str">
        <f>IF(18&gt;=115,('Testes estatísticos'!$D$120+'Testes estatísticos'!$D$23)/2,"")</f>
        <v/>
      </c>
      <c r="T293" s="7" t="str">
        <f>IF(19&gt;=115,('Testes estatísticos'!$D$120+'Testes estatísticos'!$D$24)/2,"")</f>
        <v/>
      </c>
      <c r="U293" s="7" t="str">
        <f>IF(20&gt;=115,('Testes estatísticos'!$D$120+'Testes estatísticos'!$D$25)/2,"")</f>
        <v/>
      </c>
      <c r="V293" s="7" t="str">
        <f>IF(21&gt;=115,('Testes estatísticos'!$D$120+'Testes estatísticos'!$D$26)/2,"")</f>
        <v/>
      </c>
      <c r="W293" s="7" t="str">
        <f>IF(22&gt;=115,('Testes estatísticos'!$D$120+'Testes estatísticos'!$D$27)/2,"")</f>
        <v/>
      </c>
      <c r="X293" s="7" t="str">
        <f>IF(23&gt;=115,('Testes estatísticos'!$D$120+'Testes estatísticos'!$D$28)/2,"")</f>
        <v/>
      </c>
      <c r="Y293" s="7" t="str">
        <f>IF(24&gt;=115,('Testes estatísticos'!$D$120+'Testes estatísticos'!$D$29)/2,"")</f>
        <v/>
      </c>
      <c r="Z293" s="7" t="str">
        <f>IF(25&gt;=115,('Testes estatísticos'!$D$120+'Testes estatísticos'!$D$30)/2,"")</f>
        <v/>
      </c>
      <c r="AA293" s="7" t="str">
        <f>IF(26&gt;=115,('Testes estatísticos'!$D$120+'Testes estatísticos'!$D$31)/2,"")</f>
        <v/>
      </c>
      <c r="AB293" s="7" t="str">
        <f>IF(27&gt;=115,('Testes estatísticos'!$D$120+'Testes estatísticos'!$D$32)/2,"")</f>
        <v/>
      </c>
      <c r="AC293" s="7" t="str">
        <f>IF(28&gt;=115,('Testes estatísticos'!$D$120+'Testes estatísticos'!$D$33)/2,"")</f>
        <v/>
      </c>
      <c r="AD293" s="7" t="str">
        <f>IF(29&gt;=115,('Testes estatísticos'!$D$120+'Testes estatísticos'!$D$34)/2,"")</f>
        <v/>
      </c>
      <c r="AE293" s="7" t="str">
        <f>IF(30&gt;=115,('Testes estatísticos'!$D$120+'Testes estatísticos'!$D$35)/2,"")</f>
        <v/>
      </c>
      <c r="AF293" s="7" t="str">
        <f>IF(31&gt;=115,('Testes estatísticos'!$D$120+'Testes estatísticos'!$D$36)/2,"")</f>
        <v/>
      </c>
      <c r="AG293" s="7" t="str">
        <f>IF(32&gt;=115,('Testes estatísticos'!$D$120+'Testes estatísticos'!$D$37)/2,"")</f>
        <v/>
      </c>
      <c r="AH293" s="7" t="str">
        <f>IF(33&gt;=115,('Testes estatísticos'!$D$120+'Testes estatísticos'!$D$38)/2,"")</f>
        <v/>
      </c>
      <c r="AI293" s="7" t="str">
        <f>IF(34&gt;=115,('Testes estatísticos'!$D$120+'Testes estatísticos'!$D$39)/2,"")</f>
        <v/>
      </c>
      <c r="AJ293" s="7" t="str">
        <f>IF(35&gt;=115,('Testes estatísticos'!$D$120+'Testes estatísticos'!$D$40)/2,"")</f>
        <v/>
      </c>
      <c r="AK293" s="7" t="str">
        <f>IF(36&gt;=115,('Testes estatísticos'!$D$120+'Testes estatísticos'!$D$41)/2,"")</f>
        <v/>
      </c>
      <c r="AL293" s="7" t="str">
        <f>IF(37&gt;=115,('Testes estatísticos'!$D$120+'Testes estatísticos'!$D$42)/2,"")</f>
        <v/>
      </c>
      <c r="AM293" s="7" t="str">
        <f>IF(38&gt;=115,('Testes estatísticos'!$D$120+'Testes estatísticos'!$D$43)/2,"")</f>
        <v/>
      </c>
      <c r="AN293" s="7" t="str">
        <f>IF(39&gt;=115,('Testes estatísticos'!$D$120+'Testes estatísticos'!$D$44)/2,"")</f>
        <v/>
      </c>
      <c r="AO293" s="7" t="str">
        <f>IF(40&gt;=115,('Testes estatísticos'!$D$120+'Testes estatísticos'!$D$45)/2,"")</f>
        <v/>
      </c>
      <c r="AP293" s="7" t="str">
        <f>IF(41&gt;=115,('Testes estatísticos'!$D$120+'Testes estatísticos'!$D$46)/2,"")</f>
        <v/>
      </c>
      <c r="AQ293" s="7" t="str">
        <f>IF(42&gt;=115,('Testes estatísticos'!$D$120+'Testes estatísticos'!$D$47)/2,"")</f>
        <v/>
      </c>
      <c r="AR293" s="7" t="str">
        <f>IF(43&gt;=115,('Testes estatísticos'!$D$120+'Testes estatísticos'!$D$48)/2,"")</f>
        <v/>
      </c>
      <c r="AS293" s="7" t="str">
        <f>IF(44&gt;=115,('Testes estatísticos'!$D$120+'Testes estatísticos'!$D$49)/2,"")</f>
        <v/>
      </c>
      <c r="AT293" s="7" t="str">
        <f>IF(45&gt;=115,('Testes estatísticos'!$D$120+'Testes estatísticos'!$D$50)/2,"")</f>
        <v/>
      </c>
      <c r="AU293" s="7" t="str">
        <f>IF(46&gt;=115,('Testes estatísticos'!$D$120+'Testes estatísticos'!$D$51)/2,"")</f>
        <v/>
      </c>
      <c r="AV293" s="7" t="str">
        <f>IF(47&gt;=115,('Testes estatísticos'!$D$120+'Testes estatísticos'!$D$52)/2,"")</f>
        <v/>
      </c>
      <c r="AW293" s="7" t="str">
        <f>IF(48&gt;=115,('Testes estatísticos'!$D$120+'Testes estatísticos'!$D$53)/2,"")</f>
        <v/>
      </c>
      <c r="AX293" s="7" t="str">
        <f>IF(49&gt;=115,('Testes estatísticos'!$D$120+'Testes estatísticos'!$D$54)/2,"")</f>
        <v/>
      </c>
      <c r="AY293" s="7" t="str">
        <f>IF(50&gt;=115,('Testes estatísticos'!$D$120+'Testes estatísticos'!$D$55)/2,"")</f>
        <v/>
      </c>
      <c r="AZ293" s="7" t="str">
        <f>IF(51&gt;=115,('Testes estatísticos'!$D$120+'Testes estatísticos'!$D$56)/2,"")</f>
        <v/>
      </c>
      <c r="BA293" s="7" t="str">
        <f>IF(52&gt;=115,('Testes estatísticos'!$D$120+'Testes estatísticos'!$D$57)/2,"")</f>
        <v/>
      </c>
      <c r="BB293" s="7" t="str">
        <f>IF(53&gt;=115,('Testes estatísticos'!$D$120+'Testes estatísticos'!$D$58)/2,"")</f>
        <v/>
      </c>
      <c r="BC293" s="7" t="str">
        <f>IF(54&gt;=115,('Testes estatísticos'!$D$120+'Testes estatísticos'!$D$59)/2,"")</f>
        <v/>
      </c>
      <c r="BD293" s="7" t="str">
        <f>IF(55&gt;=115,('Testes estatísticos'!$D$120+'Testes estatísticos'!$D$60)/2,"")</f>
        <v/>
      </c>
      <c r="BE293" s="7" t="str">
        <f>IF(56&gt;=115,('Testes estatísticos'!$D$120+'Testes estatísticos'!$D$61)/2,"")</f>
        <v/>
      </c>
      <c r="BF293" s="7" t="str">
        <f>IF(57&gt;=115,('Testes estatísticos'!$D$120+'Testes estatísticos'!$D$62)/2,"")</f>
        <v/>
      </c>
      <c r="BG293" s="7" t="str">
        <f>IF(58&gt;=115,('Testes estatísticos'!$D$120+'Testes estatísticos'!$D$63)/2,"")</f>
        <v/>
      </c>
      <c r="BH293" s="7" t="str">
        <f>IF(59&gt;=115,('Testes estatísticos'!$D$120+'Testes estatísticos'!$D$64)/2,"")</f>
        <v/>
      </c>
      <c r="BI293" s="7" t="str">
        <f>IF(60&gt;=115,('Testes estatísticos'!$D$120+'Testes estatísticos'!$D$65)/2,"")</f>
        <v/>
      </c>
      <c r="BJ293" s="7" t="str">
        <f>IF(61&gt;=115,('Testes estatísticos'!$D$120+'Testes estatísticos'!$D$66)/2,"")</f>
        <v/>
      </c>
      <c r="BK293" s="7" t="str">
        <f>IF(62&gt;=115,('Testes estatísticos'!$D$120+'Testes estatísticos'!$D$67)/2,"")</f>
        <v/>
      </c>
      <c r="BL293" s="7" t="str">
        <f>IF(63&gt;=115,('Testes estatísticos'!$D$120+'Testes estatísticos'!$D$68)/2,"")</f>
        <v/>
      </c>
      <c r="BM293" s="7" t="str">
        <f>IF(64&gt;=115,('Testes estatísticos'!$D$120+'Testes estatísticos'!$D$69)/2,"")</f>
        <v/>
      </c>
      <c r="BN293" s="7" t="str">
        <f>IF(65&gt;=115,('Testes estatísticos'!$D$120+'Testes estatísticos'!$D$70)/2,"")</f>
        <v/>
      </c>
      <c r="BO293" s="7" t="str">
        <f>IF(66&gt;=115,('Testes estatísticos'!$D$120+'Testes estatísticos'!$D$71)/2,"")</f>
        <v/>
      </c>
      <c r="BP293" s="7" t="str">
        <f>IF(67&gt;=115,('Testes estatísticos'!$D$120+'Testes estatísticos'!$D$72)/2,"")</f>
        <v/>
      </c>
      <c r="BQ293" s="7" t="str">
        <f>IF(68&gt;=115,('Testes estatísticos'!$D$120+'Testes estatísticos'!$D$73)/2,"")</f>
        <v/>
      </c>
      <c r="BR293" s="7" t="str">
        <f>IF(69&gt;=115,('Testes estatísticos'!$D$120+'Testes estatísticos'!$D$74)/2,"")</f>
        <v/>
      </c>
      <c r="BS293" s="7" t="str">
        <f>IF(70&gt;=115,('Testes estatísticos'!$D$120+'Testes estatísticos'!$D$75)/2,"")</f>
        <v/>
      </c>
      <c r="BT293" s="7" t="str">
        <f>IF(71&gt;=115,('Testes estatísticos'!$D$120+'Testes estatísticos'!$D$76)/2,"")</f>
        <v/>
      </c>
      <c r="BU293" s="7" t="str">
        <f>IF(72&gt;=115,('Testes estatísticos'!$D$120+'Testes estatísticos'!$D$77)/2,"")</f>
        <v/>
      </c>
      <c r="BV293" s="7" t="str">
        <f>IF(73&gt;=115,('Testes estatísticos'!$D$120+'Testes estatísticos'!$D$78)/2,"")</f>
        <v/>
      </c>
      <c r="BW293" s="7" t="str">
        <f>IF(74&gt;=115,('Testes estatísticos'!$D$120+'Testes estatísticos'!$D$79)/2,"")</f>
        <v/>
      </c>
      <c r="BX293" s="7" t="str">
        <f>IF(75&gt;=115,('Testes estatísticos'!$D$120+'Testes estatísticos'!$D$80)/2,"")</f>
        <v/>
      </c>
      <c r="BY293" s="7" t="str">
        <f>IF(76&gt;=115,('Testes estatísticos'!$D$120+'Testes estatísticos'!$D$81)/2,"")</f>
        <v/>
      </c>
      <c r="BZ293" s="7" t="str">
        <f>IF(77&gt;=115,('Testes estatísticos'!$D$120+'Testes estatísticos'!$D$82)/2,"")</f>
        <v/>
      </c>
      <c r="CA293" s="7" t="str">
        <f>IF(78&gt;=115,('Testes estatísticos'!$D$120+'Testes estatísticos'!$D$83)/2,"")</f>
        <v/>
      </c>
      <c r="CB293" s="7" t="str">
        <f>IF(79&gt;=115,('Testes estatísticos'!$D$120+'Testes estatísticos'!$D$84)/2,"")</f>
        <v/>
      </c>
      <c r="CC293" s="7" t="str">
        <f>IF(80&gt;=115,('Testes estatísticos'!$D$120+'Testes estatísticos'!$D$85)/2,"")</f>
        <v/>
      </c>
      <c r="CD293" s="7" t="str">
        <f>IF(81&gt;=115,('Testes estatísticos'!$D$120+'Testes estatísticos'!$D$86)/2,"")</f>
        <v/>
      </c>
      <c r="CE293" s="7" t="str">
        <f>IF(82&gt;=115,('Testes estatísticos'!$D$120+'Testes estatísticos'!$D$87)/2,"")</f>
        <v/>
      </c>
      <c r="CF293" s="7" t="str">
        <f>IF(83&gt;=115,('Testes estatísticos'!$D$120+'Testes estatísticos'!$D$88)/2,"")</f>
        <v/>
      </c>
      <c r="CG293" s="7" t="str">
        <f>IF(84&gt;=115,('Testes estatísticos'!$D$120+'Testes estatísticos'!$D$89)/2,"")</f>
        <v/>
      </c>
      <c r="CH293" s="7" t="str">
        <f>IF(85&gt;=115,('Testes estatísticos'!$D$120+'Testes estatísticos'!$D$90)/2,"")</f>
        <v/>
      </c>
      <c r="CI293" s="7" t="str">
        <f>IF(86&gt;=115,('Testes estatísticos'!$D$120+'Testes estatísticos'!$D$91)/2,"")</f>
        <v/>
      </c>
      <c r="CJ293" s="7" t="str">
        <f>IF(87&gt;=115,('Testes estatísticos'!$D$120+'Testes estatísticos'!$D$92)/2,"")</f>
        <v/>
      </c>
      <c r="CK293" s="7" t="str">
        <f>IF(88&gt;=115,('Testes estatísticos'!$D$120+'Testes estatísticos'!$D$93)/2,"")</f>
        <v/>
      </c>
      <c r="CL293" s="7" t="str">
        <f>IF(89&gt;=115,('Testes estatísticos'!$D$120+'Testes estatísticos'!$D$94)/2,"")</f>
        <v/>
      </c>
      <c r="CM293" s="7" t="str">
        <f>IF(90&gt;=115,('Testes estatísticos'!$D$120+'Testes estatísticos'!$D$95)/2,"")</f>
        <v/>
      </c>
      <c r="CN293" s="7" t="str">
        <f>IF(91&gt;=115,('Testes estatísticos'!$D$120+'Testes estatísticos'!$D$96)/2,"")</f>
        <v/>
      </c>
      <c r="CO293" s="7" t="str">
        <f>IF(92&gt;=115,('Testes estatísticos'!$D$120+'Testes estatísticos'!$D$97)/2,"")</f>
        <v/>
      </c>
      <c r="CP293" s="7" t="str">
        <f>IF(93&gt;=115,('Testes estatísticos'!$D$120+'Testes estatísticos'!$D$98)/2,"")</f>
        <v/>
      </c>
      <c r="CQ293" s="7" t="str">
        <f>IF(94&gt;=115,('Testes estatísticos'!$D$120+'Testes estatísticos'!$D$99)/2,"")</f>
        <v/>
      </c>
      <c r="CR293" s="7" t="str">
        <f>IF(95&gt;=115,('Testes estatísticos'!$D$120+'Testes estatísticos'!$D$100)/2,"")</f>
        <v/>
      </c>
      <c r="CS293" s="7" t="str">
        <f>IF(96&gt;=115,('Testes estatísticos'!$D$120+'Testes estatísticos'!$D$101)/2,"")</f>
        <v/>
      </c>
      <c r="CT293" s="7" t="str">
        <f>IF(97&gt;=115,('Testes estatísticos'!$D$120+'Testes estatísticos'!$D$102)/2,"")</f>
        <v/>
      </c>
      <c r="CU293" s="7" t="str">
        <f>IF(98&gt;=115,('Testes estatísticos'!$D$120+'Testes estatísticos'!$D$103)/2,"")</f>
        <v/>
      </c>
      <c r="CV293" s="7" t="str">
        <f>IF(99&gt;=115,('Testes estatísticos'!$D$120+'Testes estatísticos'!$D$104)/2,"")</f>
        <v/>
      </c>
      <c r="CW293" s="7" t="str">
        <f>IF(100&gt;=115,('Testes estatísticos'!$D$120+'Testes estatísticos'!$D$105)/2,"")</f>
        <v/>
      </c>
      <c r="CX293" s="7" t="str">
        <f>IF(101&gt;=115,('Testes estatísticos'!$D$120+'Testes estatísticos'!$D$106)/2,"")</f>
        <v/>
      </c>
      <c r="CY293" s="7" t="str">
        <f>IF(102&gt;=115,('Testes estatísticos'!$D$120+'Testes estatísticos'!$D$107)/2,"")</f>
        <v/>
      </c>
      <c r="CZ293" s="7" t="str">
        <f>IF(103&gt;=115,('Testes estatísticos'!$D$120+'Testes estatísticos'!$D$108)/2,"")</f>
        <v/>
      </c>
      <c r="DA293" s="7" t="str">
        <f>IF(104&gt;=115,('Testes estatísticos'!$D$120+'Testes estatísticos'!$D$109)/2,"")</f>
        <v/>
      </c>
      <c r="DB293" s="7" t="str">
        <f>IF(105&gt;=115,('Testes estatísticos'!$D$120+'Testes estatísticos'!$D$110)/2,"")</f>
        <v/>
      </c>
      <c r="DC293" s="7" t="str">
        <f>IF(106&gt;=115,('Testes estatísticos'!$D$120+'Testes estatísticos'!$D$111)/2,"")</f>
        <v/>
      </c>
      <c r="DD293" s="7" t="str">
        <f>IF(107&gt;=115,('Testes estatísticos'!$D$120+'Testes estatísticos'!$D$112)/2,"")</f>
        <v/>
      </c>
      <c r="DE293" s="7" t="str">
        <f>IF(108&gt;=115,('Testes estatísticos'!$D$120+'Testes estatísticos'!$D$113)/2,"")</f>
        <v/>
      </c>
      <c r="DF293" s="7" t="str">
        <f>IF(109&gt;=115,('Testes estatísticos'!$D$120+'Testes estatísticos'!$D$114)/2,"")</f>
        <v/>
      </c>
      <c r="DG293" s="7" t="str">
        <f>IF(110&gt;=115,('Testes estatísticos'!$D$120+'Testes estatísticos'!$D$115)/2,"")</f>
        <v/>
      </c>
      <c r="DH293" s="7" t="str">
        <f>IF(111&gt;=115,('Testes estatísticos'!$D$120+'Testes estatísticos'!$D$116)/2,"")</f>
        <v/>
      </c>
      <c r="DI293" s="7" t="str">
        <f>IF(112&gt;=115,('Testes estatísticos'!$D$120+'Testes estatísticos'!$D$117)/2,"")</f>
        <v/>
      </c>
      <c r="DJ293" s="7" t="str">
        <f>IF(113&gt;=115,('Testes estatísticos'!$D$120+'Testes estatísticos'!$D$118)/2,"")</f>
        <v/>
      </c>
      <c r="DK293" s="7" t="str">
        <f>IF(114&gt;=115,('Testes estatísticos'!$D$120+'Testes estatísticos'!$D$119)/2,"")</f>
        <v/>
      </c>
      <c r="DL293" s="7">
        <f>IF(115&gt;=115,('Testes estatísticos'!$D$120+'Testes estatísticos'!$D$120)/2,"")</f>
        <v>-2.1457909999999956</v>
      </c>
      <c r="DM293" s="7">
        <f>IF(116&gt;=115,('Testes estatísticos'!$D$120+'Testes estatísticos'!$D$121)/2,"")</f>
        <v>-2.137188499999997</v>
      </c>
      <c r="DN293" s="7">
        <f>IF(117&gt;=115,('Testes estatísticos'!$D$120+'Testes estatísticos'!$D$122)/2,"")</f>
        <v>-2.1141204999999985</v>
      </c>
      <c r="DO293" s="7">
        <f>IF(118&gt;=115,('Testes estatísticos'!$D$120+'Testes estatísticos'!$D$123)/2,"")</f>
        <v>-2.0642099999999992</v>
      </c>
      <c r="DP293" s="7">
        <f>IF(119&gt;=115,('Testes estatísticos'!$D$120+'Testes estatísticos'!$D$124)/2,"")</f>
        <v>-2.0854214999999989</v>
      </c>
      <c r="DQ293" s="7">
        <f>IF(120&gt;=115,('Testes estatísticos'!$D$120+'Testes estatísticos'!$D$125)/2,"")</f>
        <v>0.96619300000000408</v>
      </c>
      <c r="DR293" s="7">
        <f>IF(121&gt;=115,('Testes estatísticos'!$D$120+'Testes estatísticos'!$D$126)/2,"")</f>
        <v>-1.8228234999999984</v>
      </c>
      <c r="DS293" s="7">
        <f>IF(122&gt;=115,('Testes estatísticos'!$D$120+'Testes estatísticos'!$D$127)/2,"")</f>
        <v>-2.888231999999995</v>
      </c>
      <c r="DT293" s="7">
        <f>IF(123&gt;=115,('Testes estatísticos'!$D$120+'Testes estatísticos'!$D$128)/2,"")</f>
        <v>3.1806374999999996</v>
      </c>
      <c r="DU293" s="7">
        <f>IF(124&gt;=115,('Testes estatísticos'!$D$120+'Testes estatísticos'!$D$129)/2,"")</f>
        <v>-1.715133999999999</v>
      </c>
      <c r="DV293" s="7">
        <f>IF(125&gt;=115,('Testes estatísticos'!$D$120+'Testes estatísticos'!$D$130)/2,"")</f>
        <v>-0.55682649999999967</v>
      </c>
      <c r="DW293" s="7">
        <f>IF(126&gt;=115,('Testes estatísticos'!$D$120+'Testes estatísticos'!$D$131)/2,"")</f>
        <v>-2.9603024999999974</v>
      </c>
      <c r="DX293" s="7">
        <f>IF(127&gt;=115,('Testes estatísticos'!$D$120+'Testes estatísticos'!$D$132)/2,"")</f>
        <v>-5.016493999999998</v>
      </c>
      <c r="DY293" s="7">
        <f>IF(128&gt;=115,('Testes estatísticos'!$D$120+'Testes estatísticos'!$D$133)/2,"")</f>
        <v>-5.3575834999999969</v>
      </c>
      <c r="DZ293" s="7">
        <f>IF(129&gt;=115,('Testes estatísticos'!$D$120+'Testes estatísticos'!$D$134)/2,"")</f>
        <v>-8.7813734999999973</v>
      </c>
      <c r="EA293" s="7">
        <f>IF(130&gt;=115,('Testes estatísticos'!$D$120+'Testes estatísticos'!$D$135)/2,"")</f>
        <v>-3.0196034999999952</v>
      </c>
      <c r="EB293" s="7">
        <f>IF(131&gt;=115,('Testes estatísticos'!$D$120+'Testes estatísticos'!$D$136)/2,"")</f>
        <v>-2.9317305000000005</v>
      </c>
      <c r="EC293" s="7">
        <f>IF(132&gt;=115,('Testes estatísticos'!$D$120+'Testes estatísticos'!$D$137)/2,"")</f>
        <v>-4.4184669999999997</v>
      </c>
      <c r="ED293" s="7">
        <f>IF(133&gt;=115,('Testes estatísticos'!$D$120+'Testes estatísticos'!$D$138)/2,"")</f>
        <v>-2.2295294999999982</v>
      </c>
      <c r="EE293" s="7">
        <f>IF(134&gt;=115,('Testes estatísticos'!$D$120+'Testes estatísticos'!$D$139)/2,"")</f>
        <v>-4.526720000000001</v>
      </c>
      <c r="EF293" s="7">
        <f>IF(135&gt;=115,('Testes estatísticos'!$D$120+'Testes estatísticos'!$D$140)/2,"")</f>
        <v>-1.3122874999999965</v>
      </c>
      <c r="EG293" s="7">
        <f>IF(136&gt;=115,('Testes estatísticos'!$D$120+'Testes estatísticos'!$D$141)/2,"")</f>
        <v>-3.0057775000000007</v>
      </c>
      <c r="EH293" s="7">
        <f>IF(137&gt;=115,('Testes estatísticos'!$D$120+'Testes estatísticos'!$D$142)/2,"")</f>
        <v>-1.3010374999999996</v>
      </c>
      <c r="EI293" s="7">
        <f>IF(138&gt;=115,('Testes estatísticos'!$D$120+'Testes estatísticos'!$D$143)/2,"")</f>
        <v>-2.9660529999999952</v>
      </c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</row>
    <row r="294" spans="2:151" x14ac:dyDescent="0.3">
      <c r="B294" s="7" t="str">
        <f>IF(1&gt;=116,('Testes estatísticos'!$D$121+'Testes estatísticos'!$D$6)/2,"")</f>
        <v/>
      </c>
      <c r="C294" s="7" t="str">
        <f>IF(2&gt;=116,('Testes estatísticos'!$D$121+'Testes estatísticos'!$D$7)/2,"")</f>
        <v/>
      </c>
      <c r="D294" s="7" t="str">
        <f>IF(3&gt;=116,('Testes estatísticos'!$D$121+'Testes estatísticos'!$D$8)/2,"")</f>
        <v/>
      </c>
      <c r="E294" s="7" t="str">
        <f>IF(4&gt;=116,('Testes estatísticos'!$D$121+'Testes estatísticos'!$D$9)/2,"")</f>
        <v/>
      </c>
      <c r="F294" s="7" t="str">
        <f>IF(5&gt;=116,('Testes estatísticos'!$D$121+'Testes estatísticos'!$D$10)/2,"")</f>
        <v/>
      </c>
      <c r="G294" s="7" t="str">
        <f>IF(6&gt;=116,('Testes estatísticos'!$D$121+'Testes estatísticos'!$D$11)/2,"")</f>
        <v/>
      </c>
      <c r="H294" s="7" t="str">
        <f>IF(7&gt;=116,('Testes estatísticos'!$D$121+'Testes estatísticos'!$D$12)/2,"")</f>
        <v/>
      </c>
      <c r="I294" s="7" t="str">
        <f>IF(8&gt;=116,('Testes estatísticos'!$D$121+'Testes estatísticos'!$D$13)/2,"")</f>
        <v/>
      </c>
      <c r="J294" s="7" t="str">
        <f>IF(9&gt;=116,('Testes estatísticos'!$D$121+'Testes estatísticos'!$D$14)/2,"")</f>
        <v/>
      </c>
      <c r="K294" s="7" t="str">
        <f>IF(10&gt;=116,('Testes estatísticos'!$D$121+'Testes estatísticos'!$D$15)/2,"")</f>
        <v/>
      </c>
      <c r="L294" s="7" t="str">
        <f>IF(11&gt;=116,('Testes estatísticos'!$D$121+'Testes estatísticos'!$D$16)/2,"")</f>
        <v/>
      </c>
      <c r="M294" s="7" t="str">
        <f>IF(12&gt;=116,('Testes estatísticos'!$D$121+'Testes estatísticos'!$D$17)/2,"")</f>
        <v/>
      </c>
      <c r="N294" s="7" t="str">
        <f>IF(13&gt;=116,('Testes estatísticos'!$D$121+'Testes estatísticos'!$D$18)/2,"")</f>
        <v/>
      </c>
      <c r="O294" s="7" t="str">
        <f>IF(14&gt;=116,('Testes estatísticos'!$D$121+'Testes estatísticos'!$D$19)/2,"")</f>
        <v/>
      </c>
      <c r="P294" s="7" t="str">
        <f>IF(15&gt;=116,('Testes estatísticos'!$D$121+'Testes estatísticos'!$D$20)/2,"")</f>
        <v/>
      </c>
      <c r="Q294" s="7" t="str">
        <f>IF(16&gt;=116,('Testes estatísticos'!$D$121+'Testes estatísticos'!$D$21)/2,"")</f>
        <v/>
      </c>
      <c r="R294" s="7" t="str">
        <f>IF(17&gt;=116,('Testes estatísticos'!$D$121+'Testes estatísticos'!$D$22)/2,"")</f>
        <v/>
      </c>
      <c r="S294" s="7" t="str">
        <f>IF(18&gt;=116,('Testes estatísticos'!$D$121+'Testes estatísticos'!$D$23)/2,"")</f>
        <v/>
      </c>
      <c r="T294" s="7" t="str">
        <f>IF(19&gt;=116,('Testes estatísticos'!$D$121+'Testes estatísticos'!$D$24)/2,"")</f>
        <v/>
      </c>
      <c r="U294" s="7" t="str">
        <f>IF(20&gt;=116,('Testes estatísticos'!$D$121+'Testes estatísticos'!$D$25)/2,"")</f>
        <v/>
      </c>
      <c r="V294" s="7" t="str">
        <f>IF(21&gt;=116,('Testes estatísticos'!$D$121+'Testes estatísticos'!$D$26)/2,"")</f>
        <v/>
      </c>
      <c r="W294" s="7" t="str">
        <f>IF(22&gt;=116,('Testes estatísticos'!$D$121+'Testes estatísticos'!$D$27)/2,"")</f>
        <v/>
      </c>
      <c r="X294" s="7" t="str">
        <f>IF(23&gt;=116,('Testes estatísticos'!$D$121+'Testes estatísticos'!$D$28)/2,"")</f>
        <v/>
      </c>
      <c r="Y294" s="7" t="str">
        <f>IF(24&gt;=116,('Testes estatísticos'!$D$121+'Testes estatísticos'!$D$29)/2,"")</f>
        <v/>
      </c>
      <c r="Z294" s="7" t="str">
        <f>IF(25&gt;=116,('Testes estatísticos'!$D$121+'Testes estatísticos'!$D$30)/2,"")</f>
        <v/>
      </c>
      <c r="AA294" s="7" t="str">
        <f>IF(26&gt;=116,('Testes estatísticos'!$D$121+'Testes estatísticos'!$D$31)/2,"")</f>
        <v/>
      </c>
      <c r="AB294" s="7" t="str">
        <f>IF(27&gt;=116,('Testes estatísticos'!$D$121+'Testes estatísticos'!$D$32)/2,"")</f>
        <v/>
      </c>
      <c r="AC294" s="7" t="str">
        <f>IF(28&gt;=116,('Testes estatísticos'!$D$121+'Testes estatísticos'!$D$33)/2,"")</f>
        <v/>
      </c>
      <c r="AD294" s="7" t="str">
        <f>IF(29&gt;=116,('Testes estatísticos'!$D$121+'Testes estatísticos'!$D$34)/2,"")</f>
        <v/>
      </c>
      <c r="AE294" s="7" t="str">
        <f>IF(30&gt;=116,('Testes estatísticos'!$D$121+'Testes estatísticos'!$D$35)/2,"")</f>
        <v/>
      </c>
      <c r="AF294" s="7" t="str">
        <f>IF(31&gt;=116,('Testes estatísticos'!$D$121+'Testes estatísticos'!$D$36)/2,"")</f>
        <v/>
      </c>
      <c r="AG294" s="7" t="str">
        <f>IF(32&gt;=116,('Testes estatísticos'!$D$121+'Testes estatísticos'!$D$37)/2,"")</f>
        <v/>
      </c>
      <c r="AH294" s="7" t="str">
        <f>IF(33&gt;=116,('Testes estatísticos'!$D$121+'Testes estatísticos'!$D$38)/2,"")</f>
        <v/>
      </c>
      <c r="AI294" s="7" t="str">
        <f>IF(34&gt;=116,('Testes estatísticos'!$D$121+'Testes estatísticos'!$D$39)/2,"")</f>
        <v/>
      </c>
      <c r="AJ294" s="7" t="str">
        <f>IF(35&gt;=116,('Testes estatísticos'!$D$121+'Testes estatísticos'!$D$40)/2,"")</f>
        <v/>
      </c>
      <c r="AK294" s="7" t="str">
        <f>IF(36&gt;=116,('Testes estatísticos'!$D$121+'Testes estatísticos'!$D$41)/2,"")</f>
        <v/>
      </c>
      <c r="AL294" s="7" t="str">
        <f>IF(37&gt;=116,('Testes estatísticos'!$D$121+'Testes estatísticos'!$D$42)/2,"")</f>
        <v/>
      </c>
      <c r="AM294" s="7" t="str">
        <f>IF(38&gt;=116,('Testes estatísticos'!$D$121+'Testes estatísticos'!$D$43)/2,"")</f>
        <v/>
      </c>
      <c r="AN294" s="7" t="str">
        <f>IF(39&gt;=116,('Testes estatísticos'!$D$121+'Testes estatísticos'!$D$44)/2,"")</f>
        <v/>
      </c>
      <c r="AO294" s="7" t="str">
        <f>IF(40&gt;=116,('Testes estatísticos'!$D$121+'Testes estatísticos'!$D$45)/2,"")</f>
        <v/>
      </c>
      <c r="AP294" s="7" t="str">
        <f>IF(41&gt;=116,('Testes estatísticos'!$D$121+'Testes estatísticos'!$D$46)/2,"")</f>
        <v/>
      </c>
      <c r="AQ294" s="7" t="str">
        <f>IF(42&gt;=116,('Testes estatísticos'!$D$121+'Testes estatísticos'!$D$47)/2,"")</f>
        <v/>
      </c>
      <c r="AR294" s="7" t="str">
        <f>IF(43&gt;=116,('Testes estatísticos'!$D$121+'Testes estatísticos'!$D$48)/2,"")</f>
        <v/>
      </c>
      <c r="AS294" s="7" t="str">
        <f>IF(44&gt;=116,('Testes estatísticos'!$D$121+'Testes estatísticos'!$D$49)/2,"")</f>
        <v/>
      </c>
      <c r="AT294" s="7" t="str">
        <f>IF(45&gt;=116,('Testes estatísticos'!$D$121+'Testes estatísticos'!$D$50)/2,"")</f>
        <v/>
      </c>
      <c r="AU294" s="7" t="str">
        <f>IF(46&gt;=116,('Testes estatísticos'!$D$121+'Testes estatísticos'!$D$51)/2,"")</f>
        <v/>
      </c>
      <c r="AV294" s="7" t="str">
        <f>IF(47&gt;=116,('Testes estatísticos'!$D$121+'Testes estatísticos'!$D$52)/2,"")</f>
        <v/>
      </c>
      <c r="AW294" s="7" t="str">
        <f>IF(48&gt;=116,('Testes estatísticos'!$D$121+'Testes estatísticos'!$D$53)/2,"")</f>
        <v/>
      </c>
      <c r="AX294" s="7" t="str">
        <f>IF(49&gt;=116,('Testes estatísticos'!$D$121+'Testes estatísticos'!$D$54)/2,"")</f>
        <v/>
      </c>
      <c r="AY294" s="7" t="str">
        <f>IF(50&gt;=116,('Testes estatísticos'!$D$121+'Testes estatísticos'!$D$55)/2,"")</f>
        <v/>
      </c>
      <c r="AZ294" s="7" t="str">
        <f>IF(51&gt;=116,('Testes estatísticos'!$D$121+'Testes estatísticos'!$D$56)/2,"")</f>
        <v/>
      </c>
      <c r="BA294" s="7" t="str">
        <f>IF(52&gt;=116,('Testes estatísticos'!$D$121+'Testes estatísticos'!$D$57)/2,"")</f>
        <v/>
      </c>
      <c r="BB294" s="7" t="str">
        <f>IF(53&gt;=116,('Testes estatísticos'!$D$121+'Testes estatísticos'!$D$58)/2,"")</f>
        <v/>
      </c>
      <c r="BC294" s="7" t="str">
        <f>IF(54&gt;=116,('Testes estatísticos'!$D$121+'Testes estatísticos'!$D$59)/2,"")</f>
        <v/>
      </c>
      <c r="BD294" s="7" t="str">
        <f>IF(55&gt;=116,('Testes estatísticos'!$D$121+'Testes estatísticos'!$D$60)/2,"")</f>
        <v/>
      </c>
      <c r="BE294" s="7" t="str">
        <f>IF(56&gt;=116,('Testes estatísticos'!$D$121+'Testes estatísticos'!$D$61)/2,"")</f>
        <v/>
      </c>
      <c r="BF294" s="7" t="str">
        <f>IF(57&gt;=116,('Testes estatísticos'!$D$121+'Testes estatísticos'!$D$62)/2,"")</f>
        <v/>
      </c>
      <c r="BG294" s="7" t="str">
        <f>IF(58&gt;=116,('Testes estatísticos'!$D$121+'Testes estatísticos'!$D$63)/2,"")</f>
        <v/>
      </c>
      <c r="BH294" s="7" t="str">
        <f>IF(59&gt;=116,('Testes estatísticos'!$D$121+'Testes estatísticos'!$D$64)/2,"")</f>
        <v/>
      </c>
      <c r="BI294" s="7" t="str">
        <f>IF(60&gt;=116,('Testes estatísticos'!$D$121+'Testes estatísticos'!$D$65)/2,"")</f>
        <v/>
      </c>
      <c r="BJ294" s="7" t="str">
        <f>IF(61&gt;=116,('Testes estatísticos'!$D$121+'Testes estatísticos'!$D$66)/2,"")</f>
        <v/>
      </c>
      <c r="BK294" s="7" t="str">
        <f>IF(62&gt;=116,('Testes estatísticos'!$D$121+'Testes estatísticos'!$D$67)/2,"")</f>
        <v/>
      </c>
      <c r="BL294" s="7" t="str">
        <f>IF(63&gt;=116,('Testes estatísticos'!$D$121+'Testes estatísticos'!$D$68)/2,"")</f>
        <v/>
      </c>
      <c r="BM294" s="7" t="str">
        <f>IF(64&gt;=116,('Testes estatísticos'!$D$121+'Testes estatísticos'!$D$69)/2,"")</f>
        <v/>
      </c>
      <c r="BN294" s="7" t="str">
        <f>IF(65&gt;=116,('Testes estatísticos'!$D$121+'Testes estatísticos'!$D$70)/2,"")</f>
        <v/>
      </c>
      <c r="BO294" s="7" t="str">
        <f>IF(66&gt;=116,('Testes estatísticos'!$D$121+'Testes estatísticos'!$D$71)/2,"")</f>
        <v/>
      </c>
      <c r="BP294" s="7" t="str">
        <f>IF(67&gt;=116,('Testes estatísticos'!$D$121+'Testes estatísticos'!$D$72)/2,"")</f>
        <v/>
      </c>
      <c r="BQ294" s="7" t="str">
        <f>IF(68&gt;=116,('Testes estatísticos'!$D$121+'Testes estatísticos'!$D$73)/2,"")</f>
        <v/>
      </c>
      <c r="BR294" s="7" t="str">
        <f>IF(69&gt;=116,('Testes estatísticos'!$D$121+'Testes estatísticos'!$D$74)/2,"")</f>
        <v/>
      </c>
      <c r="BS294" s="7" t="str">
        <f>IF(70&gt;=116,('Testes estatísticos'!$D$121+'Testes estatísticos'!$D$75)/2,"")</f>
        <v/>
      </c>
      <c r="BT294" s="7" t="str">
        <f>IF(71&gt;=116,('Testes estatísticos'!$D$121+'Testes estatísticos'!$D$76)/2,"")</f>
        <v/>
      </c>
      <c r="BU294" s="7" t="str">
        <f>IF(72&gt;=116,('Testes estatísticos'!$D$121+'Testes estatísticos'!$D$77)/2,"")</f>
        <v/>
      </c>
      <c r="BV294" s="7" t="str">
        <f>IF(73&gt;=116,('Testes estatísticos'!$D$121+'Testes estatísticos'!$D$78)/2,"")</f>
        <v/>
      </c>
      <c r="BW294" s="7" t="str">
        <f>IF(74&gt;=116,('Testes estatísticos'!$D$121+'Testes estatísticos'!$D$79)/2,"")</f>
        <v/>
      </c>
      <c r="BX294" s="7" t="str">
        <f>IF(75&gt;=116,('Testes estatísticos'!$D$121+'Testes estatísticos'!$D$80)/2,"")</f>
        <v/>
      </c>
      <c r="BY294" s="7" t="str">
        <f>IF(76&gt;=116,('Testes estatísticos'!$D$121+'Testes estatísticos'!$D$81)/2,"")</f>
        <v/>
      </c>
      <c r="BZ294" s="7" t="str">
        <f>IF(77&gt;=116,('Testes estatísticos'!$D$121+'Testes estatísticos'!$D$82)/2,"")</f>
        <v/>
      </c>
      <c r="CA294" s="7" t="str">
        <f>IF(78&gt;=116,('Testes estatísticos'!$D$121+'Testes estatísticos'!$D$83)/2,"")</f>
        <v/>
      </c>
      <c r="CB294" s="7" t="str">
        <f>IF(79&gt;=116,('Testes estatísticos'!$D$121+'Testes estatísticos'!$D$84)/2,"")</f>
        <v/>
      </c>
      <c r="CC294" s="7" t="str">
        <f>IF(80&gt;=116,('Testes estatísticos'!$D$121+'Testes estatísticos'!$D$85)/2,"")</f>
        <v/>
      </c>
      <c r="CD294" s="7" t="str">
        <f>IF(81&gt;=116,('Testes estatísticos'!$D$121+'Testes estatísticos'!$D$86)/2,"")</f>
        <v/>
      </c>
      <c r="CE294" s="7" t="str">
        <f>IF(82&gt;=116,('Testes estatísticos'!$D$121+'Testes estatísticos'!$D$87)/2,"")</f>
        <v/>
      </c>
      <c r="CF294" s="7" t="str">
        <f>IF(83&gt;=116,('Testes estatísticos'!$D$121+'Testes estatísticos'!$D$88)/2,"")</f>
        <v/>
      </c>
      <c r="CG294" s="7" t="str">
        <f>IF(84&gt;=116,('Testes estatísticos'!$D$121+'Testes estatísticos'!$D$89)/2,"")</f>
        <v/>
      </c>
      <c r="CH294" s="7" t="str">
        <f>IF(85&gt;=116,('Testes estatísticos'!$D$121+'Testes estatísticos'!$D$90)/2,"")</f>
        <v/>
      </c>
      <c r="CI294" s="7" t="str">
        <f>IF(86&gt;=116,('Testes estatísticos'!$D$121+'Testes estatísticos'!$D$91)/2,"")</f>
        <v/>
      </c>
      <c r="CJ294" s="7" t="str">
        <f>IF(87&gt;=116,('Testes estatísticos'!$D$121+'Testes estatísticos'!$D$92)/2,"")</f>
        <v/>
      </c>
      <c r="CK294" s="7" t="str">
        <f>IF(88&gt;=116,('Testes estatísticos'!$D$121+'Testes estatísticos'!$D$93)/2,"")</f>
        <v/>
      </c>
      <c r="CL294" s="7" t="str">
        <f>IF(89&gt;=116,('Testes estatísticos'!$D$121+'Testes estatísticos'!$D$94)/2,"")</f>
        <v/>
      </c>
      <c r="CM294" s="7" t="str">
        <f>IF(90&gt;=116,('Testes estatísticos'!$D$121+'Testes estatísticos'!$D$95)/2,"")</f>
        <v/>
      </c>
      <c r="CN294" s="7" t="str">
        <f>IF(91&gt;=116,('Testes estatísticos'!$D$121+'Testes estatísticos'!$D$96)/2,"")</f>
        <v/>
      </c>
      <c r="CO294" s="7" t="str">
        <f>IF(92&gt;=116,('Testes estatísticos'!$D$121+'Testes estatísticos'!$D$97)/2,"")</f>
        <v/>
      </c>
      <c r="CP294" s="7" t="str">
        <f>IF(93&gt;=116,('Testes estatísticos'!$D$121+'Testes estatísticos'!$D$98)/2,"")</f>
        <v/>
      </c>
      <c r="CQ294" s="7" t="str">
        <f>IF(94&gt;=116,('Testes estatísticos'!$D$121+'Testes estatísticos'!$D$99)/2,"")</f>
        <v/>
      </c>
      <c r="CR294" s="7" t="str">
        <f>IF(95&gt;=116,('Testes estatísticos'!$D$121+'Testes estatísticos'!$D$100)/2,"")</f>
        <v/>
      </c>
      <c r="CS294" s="7" t="str">
        <f>IF(96&gt;=116,('Testes estatísticos'!$D$121+'Testes estatísticos'!$D$101)/2,"")</f>
        <v/>
      </c>
      <c r="CT294" s="7" t="str">
        <f>IF(97&gt;=116,('Testes estatísticos'!$D$121+'Testes estatísticos'!$D$102)/2,"")</f>
        <v/>
      </c>
      <c r="CU294" s="7" t="str">
        <f>IF(98&gt;=116,('Testes estatísticos'!$D$121+'Testes estatísticos'!$D$103)/2,"")</f>
        <v/>
      </c>
      <c r="CV294" s="7" t="str">
        <f>IF(99&gt;=116,('Testes estatísticos'!$D$121+'Testes estatísticos'!$D$104)/2,"")</f>
        <v/>
      </c>
      <c r="CW294" s="7" t="str">
        <f>IF(100&gt;=116,('Testes estatísticos'!$D$121+'Testes estatísticos'!$D$105)/2,"")</f>
        <v/>
      </c>
      <c r="CX294" s="7" t="str">
        <f>IF(101&gt;=116,('Testes estatísticos'!$D$121+'Testes estatísticos'!$D$106)/2,"")</f>
        <v/>
      </c>
      <c r="CY294" s="7" t="str">
        <f>IF(102&gt;=116,('Testes estatísticos'!$D$121+'Testes estatísticos'!$D$107)/2,"")</f>
        <v/>
      </c>
      <c r="CZ294" s="7" t="str">
        <f>IF(103&gt;=116,('Testes estatísticos'!$D$121+'Testes estatísticos'!$D$108)/2,"")</f>
        <v/>
      </c>
      <c r="DA294" s="7" t="str">
        <f>IF(104&gt;=116,('Testes estatísticos'!$D$121+'Testes estatísticos'!$D$109)/2,"")</f>
        <v/>
      </c>
      <c r="DB294" s="7" t="str">
        <f>IF(105&gt;=116,('Testes estatísticos'!$D$121+'Testes estatísticos'!$D$110)/2,"")</f>
        <v/>
      </c>
      <c r="DC294" s="7" t="str">
        <f>IF(106&gt;=116,('Testes estatísticos'!$D$121+'Testes estatísticos'!$D$111)/2,"")</f>
        <v/>
      </c>
      <c r="DD294" s="7" t="str">
        <f>IF(107&gt;=116,('Testes estatísticos'!$D$121+'Testes estatísticos'!$D$112)/2,"")</f>
        <v/>
      </c>
      <c r="DE294" s="7" t="str">
        <f>IF(108&gt;=116,('Testes estatísticos'!$D$121+'Testes estatísticos'!$D$113)/2,"")</f>
        <v/>
      </c>
      <c r="DF294" s="7" t="str">
        <f>IF(109&gt;=116,('Testes estatísticos'!$D$121+'Testes estatísticos'!$D$114)/2,"")</f>
        <v/>
      </c>
      <c r="DG294" s="7" t="str">
        <f>IF(110&gt;=116,('Testes estatísticos'!$D$121+'Testes estatísticos'!$D$115)/2,"")</f>
        <v/>
      </c>
      <c r="DH294" s="7" t="str">
        <f>IF(111&gt;=116,('Testes estatísticos'!$D$121+'Testes estatísticos'!$D$116)/2,"")</f>
        <v/>
      </c>
      <c r="DI294" s="7" t="str">
        <f>IF(112&gt;=116,('Testes estatísticos'!$D$121+'Testes estatísticos'!$D$117)/2,"")</f>
        <v/>
      </c>
      <c r="DJ294" s="7" t="str">
        <f>IF(113&gt;=116,('Testes estatísticos'!$D$121+'Testes estatísticos'!$D$118)/2,"")</f>
        <v/>
      </c>
      <c r="DK294" s="7" t="str">
        <f>IF(114&gt;=116,('Testes estatísticos'!$D$121+'Testes estatísticos'!$D$119)/2,"")</f>
        <v/>
      </c>
      <c r="DL294" s="7" t="str">
        <f>IF(115&gt;=116,('Testes estatísticos'!$D$121+'Testes estatísticos'!$D$120)/2,"")</f>
        <v/>
      </c>
      <c r="DM294" s="7">
        <f>IF(116&gt;=116,('Testes estatísticos'!$D$121+'Testes estatísticos'!$D$121)/2,"")</f>
        <v>-2.1285859999999985</v>
      </c>
      <c r="DN294" s="7">
        <f>IF(117&gt;=116,('Testes estatísticos'!$D$121+'Testes estatísticos'!$D$122)/2,"")</f>
        <v>-2.105518</v>
      </c>
      <c r="DO294" s="7">
        <f>IF(118&gt;=116,('Testes estatísticos'!$D$121+'Testes estatísticos'!$D$123)/2,"")</f>
        <v>-2.0556075000000007</v>
      </c>
      <c r="DP294" s="7">
        <f>IF(119&gt;=116,('Testes estatísticos'!$D$121+'Testes estatísticos'!$D$124)/2,"")</f>
        <v>-2.0768190000000004</v>
      </c>
      <c r="DQ294" s="7">
        <f>IF(120&gt;=116,('Testes estatísticos'!$D$121+'Testes estatísticos'!$D$125)/2,"")</f>
        <v>0.97479550000000259</v>
      </c>
      <c r="DR294" s="7">
        <f>IF(121&gt;=116,('Testes estatísticos'!$D$121+'Testes estatísticos'!$D$126)/2,"")</f>
        <v>-1.8142209999999999</v>
      </c>
      <c r="DS294" s="7">
        <f>IF(122&gt;=116,('Testes estatísticos'!$D$121+'Testes estatísticos'!$D$127)/2,"")</f>
        <v>-2.8796294999999965</v>
      </c>
      <c r="DT294" s="7">
        <f>IF(123&gt;=116,('Testes estatísticos'!$D$121+'Testes estatísticos'!$D$128)/2,"")</f>
        <v>3.1892399999999981</v>
      </c>
      <c r="DU294" s="7">
        <f>IF(124&gt;=116,('Testes estatísticos'!$D$121+'Testes estatísticos'!$D$129)/2,"")</f>
        <v>-1.7065315000000005</v>
      </c>
      <c r="DV294" s="7">
        <f>IF(125&gt;=116,('Testes estatísticos'!$D$121+'Testes estatísticos'!$D$130)/2,"")</f>
        <v>-0.54822400000000115</v>
      </c>
      <c r="DW294" s="7">
        <f>IF(126&gt;=116,('Testes estatísticos'!$D$121+'Testes estatísticos'!$D$131)/2,"")</f>
        <v>-2.9516999999999989</v>
      </c>
      <c r="DX294" s="7">
        <f>IF(127&gt;=116,('Testes estatísticos'!$D$121+'Testes estatísticos'!$D$132)/2,"")</f>
        <v>-5.0078914999999995</v>
      </c>
      <c r="DY294" s="7">
        <f>IF(128&gt;=116,('Testes estatísticos'!$D$121+'Testes estatísticos'!$D$133)/2,"")</f>
        <v>-5.3489809999999984</v>
      </c>
      <c r="DZ294" s="7">
        <f>IF(129&gt;=116,('Testes estatísticos'!$D$121+'Testes estatísticos'!$D$134)/2,"")</f>
        <v>-8.7727709999999988</v>
      </c>
      <c r="EA294" s="7">
        <f>IF(130&gt;=116,('Testes estatísticos'!$D$121+'Testes estatísticos'!$D$135)/2,"")</f>
        <v>-3.0110009999999967</v>
      </c>
      <c r="EB294" s="7">
        <f>IF(131&gt;=116,('Testes estatísticos'!$D$121+'Testes estatísticos'!$D$136)/2,"")</f>
        <v>-2.9231280000000019</v>
      </c>
      <c r="EC294" s="7">
        <f>IF(132&gt;=116,('Testes estatísticos'!$D$121+'Testes estatísticos'!$D$137)/2,"")</f>
        <v>-4.4098645000000012</v>
      </c>
      <c r="ED294" s="7">
        <f>IF(133&gt;=116,('Testes estatísticos'!$D$121+'Testes estatísticos'!$D$138)/2,"")</f>
        <v>-2.2209269999999997</v>
      </c>
      <c r="EE294" s="7">
        <f>IF(134&gt;=116,('Testes estatísticos'!$D$121+'Testes estatísticos'!$D$139)/2,"")</f>
        <v>-4.5181175000000025</v>
      </c>
      <c r="EF294" s="7">
        <f>IF(135&gt;=116,('Testes estatísticos'!$D$121+'Testes estatísticos'!$D$140)/2,"")</f>
        <v>-1.303684999999998</v>
      </c>
      <c r="EG294" s="7">
        <f>IF(136&gt;=116,('Testes estatísticos'!$D$121+'Testes estatísticos'!$D$141)/2,"")</f>
        <v>-2.9971750000000021</v>
      </c>
      <c r="EH294" s="7">
        <f>IF(137&gt;=116,('Testes estatísticos'!$D$121+'Testes estatísticos'!$D$142)/2,"")</f>
        <v>-1.2924350000000011</v>
      </c>
      <c r="EI294" s="7">
        <f>IF(138&gt;=116,('Testes estatísticos'!$D$121+'Testes estatísticos'!$D$143)/2,"")</f>
        <v>-2.9574504999999967</v>
      </c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</row>
    <row r="295" spans="2:151" x14ac:dyDescent="0.3">
      <c r="B295" s="7" t="str">
        <f>IF(1&gt;=117,('Testes estatísticos'!$D$122+'Testes estatísticos'!$D$6)/2,"")</f>
        <v/>
      </c>
      <c r="C295" s="7" t="str">
        <f>IF(2&gt;=117,('Testes estatísticos'!$D$122+'Testes estatísticos'!$D$7)/2,"")</f>
        <v/>
      </c>
      <c r="D295" s="7" t="str">
        <f>IF(3&gt;=117,('Testes estatísticos'!$D$122+'Testes estatísticos'!$D$8)/2,"")</f>
        <v/>
      </c>
      <c r="E295" s="7" t="str">
        <f>IF(4&gt;=117,('Testes estatísticos'!$D$122+'Testes estatísticos'!$D$9)/2,"")</f>
        <v/>
      </c>
      <c r="F295" s="7" t="str">
        <f>IF(5&gt;=117,('Testes estatísticos'!$D$122+'Testes estatísticos'!$D$10)/2,"")</f>
        <v/>
      </c>
      <c r="G295" s="7" t="str">
        <f>IF(6&gt;=117,('Testes estatísticos'!$D$122+'Testes estatísticos'!$D$11)/2,"")</f>
        <v/>
      </c>
      <c r="H295" s="7" t="str">
        <f>IF(7&gt;=117,('Testes estatísticos'!$D$122+'Testes estatísticos'!$D$12)/2,"")</f>
        <v/>
      </c>
      <c r="I295" s="7" t="str">
        <f>IF(8&gt;=117,('Testes estatísticos'!$D$122+'Testes estatísticos'!$D$13)/2,"")</f>
        <v/>
      </c>
      <c r="J295" s="7" t="str">
        <f>IF(9&gt;=117,('Testes estatísticos'!$D$122+'Testes estatísticos'!$D$14)/2,"")</f>
        <v/>
      </c>
      <c r="K295" s="7" t="str">
        <f>IF(10&gt;=117,('Testes estatísticos'!$D$122+'Testes estatísticos'!$D$15)/2,"")</f>
        <v/>
      </c>
      <c r="L295" s="7" t="str">
        <f>IF(11&gt;=117,('Testes estatísticos'!$D$122+'Testes estatísticos'!$D$16)/2,"")</f>
        <v/>
      </c>
      <c r="M295" s="7" t="str">
        <f>IF(12&gt;=117,('Testes estatísticos'!$D$122+'Testes estatísticos'!$D$17)/2,"")</f>
        <v/>
      </c>
      <c r="N295" s="7" t="str">
        <f>IF(13&gt;=117,('Testes estatísticos'!$D$122+'Testes estatísticos'!$D$18)/2,"")</f>
        <v/>
      </c>
      <c r="O295" s="7" t="str">
        <f>IF(14&gt;=117,('Testes estatísticos'!$D$122+'Testes estatísticos'!$D$19)/2,"")</f>
        <v/>
      </c>
      <c r="P295" s="7" t="str">
        <f>IF(15&gt;=117,('Testes estatísticos'!$D$122+'Testes estatísticos'!$D$20)/2,"")</f>
        <v/>
      </c>
      <c r="Q295" s="7" t="str">
        <f>IF(16&gt;=117,('Testes estatísticos'!$D$122+'Testes estatísticos'!$D$21)/2,"")</f>
        <v/>
      </c>
      <c r="R295" s="7" t="str">
        <f>IF(17&gt;=117,('Testes estatísticos'!$D$122+'Testes estatísticos'!$D$22)/2,"")</f>
        <v/>
      </c>
      <c r="S295" s="7" t="str">
        <f>IF(18&gt;=117,('Testes estatísticos'!$D$122+'Testes estatísticos'!$D$23)/2,"")</f>
        <v/>
      </c>
      <c r="T295" s="7" t="str">
        <f>IF(19&gt;=117,('Testes estatísticos'!$D$122+'Testes estatísticos'!$D$24)/2,"")</f>
        <v/>
      </c>
      <c r="U295" s="7" t="str">
        <f>IF(20&gt;=117,('Testes estatísticos'!$D$122+'Testes estatísticos'!$D$25)/2,"")</f>
        <v/>
      </c>
      <c r="V295" s="7" t="str">
        <f>IF(21&gt;=117,('Testes estatísticos'!$D$122+'Testes estatísticos'!$D$26)/2,"")</f>
        <v/>
      </c>
      <c r="W295" s="7" t="str">
        <f>IF(22&gt;=117,('Testes estatísticos'!$D$122+'Testes estatísticos'!$D$27)/2,"")</f>
        <v/>
      </c>
      <c r="X295" s="7" t="str">
        <f>IF(23&gt;=117,('Testes estatísticos'!$D$122+'Testes estatísticos'!$D$28)/2,"")</f>
        <v/>
      </c>
      <c r="Y295" s="7" t="str">
        <f>IF(24&gt;=117,('Testes estatísticos'!$D$122+'Testes estatísticos'!$D$29)/2,"")</f>
        <v/>
      </c>
      <c r="Z295" s="7" t="str">
        <f>IF(25&gt;=117,('Testes estatísticos'!$D$122+'Testes estatísticos'!$D$30)/2,"")</f>
        <v/>
      </c>
      <c r="AA295" s="7" t="str">
        <f>IF(26&gt;=117,('Testes estatísticos'!$D$122+'Testes estatísticos'!$D$31)/2,"")</f>
        <v/>
      </c>
      <c r="AB295" s="7" t="str">
        <f>IF(27&gt;=117,('Testes estatísticos'!$D$122+'Testes estatísticos'!$D$32)/2,"")</f>
        <v/>
      </c>
      <c r="AC295" s="7" t="str">
        <f>IF(28&gt;=117,('Testes estatísticos'!$D$122+'Testes estatísticos'!$D$33)/2,"")</f>
        <v/>
      </c>
      <c r="AD295" s="7" t="str">
        <f>IF(29&gt;=117,('Testes estatísticos'!$D$122+'Testes estatísticos'!$D$34)/2,"")</f>
        <v/>
      </c>
      <c r="AE295" s="7" t="str">
        <f>IF(30&gt;=117,('Testes estatísticos'!$D$122+'Testes estatísticos'!$D$35)/2,"")</f>
        <v/>
      </c>
      <c r="AF295" s="7" t="str">
        <f>IF(31&gt;=117,('Testes estatísticos'!$D$122+'Testes estatísticos'!$D$36)/2,"")</f>
        <v/>
      </c>
      <c r="AG295" s="7" t="str">
        <f>IF(32&gt;=117,('Testes estatísticos'!$D$122+'Testes estatísticos'!$D$37)/2,"")</f>
        <v/>
      </c>
      <c r="AH295" s="7" t="str">
        <f>IF(33&gt;=117,('Testes estatísticos'!$D$122+'Testes estatísticos'!$D$38)/2,"")</f>
        <v/>
      </c>
      <c r="AI295" s="7" t="str">
        <f>IF(34&gt;=117,('Testes estatísticos'!$D$122+'Testes estatísticos'!$D$39)/2,"")</f>
        <v/>
      </c>
      <c r="AJ295" s="7" t="str">
        <f>IF(35&gt;=117,('Testes estatísticos'!$D$122+'Testes estatísticos'!$D$40)/2,"")</f>
        <v/>
      </c>
      <c r="AK295" s="7" t="str">
        <f>IF(36&gt;=117,('Testes estatísticos'!$D$122+'Testes estatísticos'!$D$41)/2,"")</f>
        <v/>
      </c>
      <c r="AL295" s="7" t="str">
        <f>IF(37&gt;=117,('Testes estatísticos'!$D$122+'Testes estatísticos'!$D$42)/2,"")</f>
        <v/>
      </c>
      <c r="AM295" s="7" t="str">
        <f>IF(38&gt;=117,('Testes estatísticos'!$D$122+'Testes estatísticos'!$D$43)/2,"")</f>
        <v/>
      </c>
      <c r="AN295" s="7" t="str">
        <f>IF(39&gt;=117,('Testes estatísticos'!$D$122+'Testes estatísticos'!$D$44)/2,"")</f>
        <v/>
      </c>
      <c r="AO295" s="7" t="str">
        <f>IF(40&gt;=117,('Testes estatísticos'!$D$122+'Testes estatísticos'!$D$45)/2,"")</f>
        <v/>
      </c>
      <c r="AP295" s="7" t="str">
        <f>IF(41&gt;=117,('Testes estatísticos'!$D$122+'Testes estatísticos'!$D$46)/2,"")</f>
        <v/>
      </c>
      <c r="AQ295" s="7" t="str">
        <f>IF(42&gt;=117,('Testes estatísticos'!$D$122+'Testes estatísticos'!$D$47)/2,"")</f>
        <v/>
      </c>
      <c r="AR295" s="7" t="str">
        <f>IF(43&gt;=117,('Testes estatísticos'!$D$122+'Testes estatísticos'!$D$48)/2,"")</f>
        <v/>
      </c>
      <c r="AS295" s="7" t="str">
        <f>IF(44&gt;=117,('Testes estatísticos'!$D$122+'Testes estatísticos'!$D$49)/2,"")</f>
        <v/>
      </c>
      <c r="AT295" s="7" t="str">
        <f>IF(45&gt;=117,('Testes estatísticos'!$D$122+'Testes estatísticos'!$D$50)/2,"")</f>
        <v/>
      </c>
      <c r="AU295" s="7" t="str">
        <f>IF(46&gt;=117,('Testes estatísticos'!$D$122+'Testes estatísticos'!$D$51)/2,"")</f>
        <v/>
      </c>
      <c r="AV295" s="7" t="str">
        <f>IF(47&gt;=117,('Testes estatísticos'!$D$122+'Testes estatísticos'!$D$52)/2,"")</f>
        <v/>
      </c>
      <c r="AW295" s="7" t="str">
        <f>IF(48&gt;=117,('Testes estatísticos'!$D$122+'Testes estatísticos'!$D$53)/2,"")</f>
        <v/>
      </c>
      <c r="AX295" s="7" t="str">
        <f>IF(49&gt;=117,('Testes estatísticos'!$D$122+'Testes estatísticos'!$D$54)/2,"")</f>
        <v/>
      </c>
      <c r="AY295" s="7" t="str">
        <f>IF(50&gt;=117,('Testes estatísticos'!$D$122+'Testes estatísticos'!$D$55)/2,"")</f>
        <v/>
      </c>
      <c r="AZ295" s="7" t="str">
        <f>IF(51&gt;=117,('Testes estatísticos'!$D$122+'Testes estatísticos'!$D$56)/2,"")</f>
        <v/>
      </c>
      <c r="BA295" s="7" t="str">
        <f>IF(52&gt;=117,('Testes estatísticos'!$D$122+'Testes estatísticos'!$D$57)/2,"")</f>
        <v/>
      </c>
      <c r="BB295" s="7" t="str">
        <f>IF(53&gt;=117,('Testes estatísticos'!$D$122+'Testes estatísticos'!$D$58)/2,"")</f>
        <v/>
      </c>
      <c r="BC295" s="7" t="str">
        <f>IF(54&gt;=117,('Testes estatísticos'!$D$122+'Testes estatísticos'!$D$59)/2,"")</f>
        <v/>
      </c>
      <c r="BD295" s="7" t="str">
        <f>IF(55&gt;=117,('Testes estatísticos'!$D$122+'Testes estatísticos'!$D$60)/2,"")</f>
        <v/>
      </c>
      <c r="BE295" s="7" t="str">
        <f>IF(56&gt;=117,('Testes estatísticos'!$D$122+'Testes estatísticos'!$D$61)/2,"")</f>
        <v/>
      </c>
      <c r="BF295" s="7" t="str">
        <f>IF(57&gt;=117,('Testes estatísticos'!$D$122+'Testes estatísticos'!$D$62)/2,"")</f>
        <v/>
      </c>
      <c r="BG295" s="7" t="str">
        <f>IF(58&gt;=117,('Testes estatísticos'!$D$122+'Testes estatísticos'!$D$63)/2,"")</f>
        <v/>
      </c>
      <c r="BH295" s="7" t="str">
        <f>IF(59&gt;=117,('Testes estatísticos'!$D$122+'Testes estatísticos'!$D$64)/2,"")</f>
        <v/>
      </c>
      <c r="BI295" s="7" t="str">
        <f>IF(60&gt;=117,('Testes estatísticos'!$D$122+'Testes estatísticos'!$D$65)/2,"")</f>
        <v/>
      </c>
      <c r="BJ295" s="7" t="str">
        <f>IF(61&gt;=117,('Testes estatísticos'!$D$122+'Testes estatísticos'!$D$66)/2,"")</f>
        <v/>
      </c>
      <c r="BK295" s="7" t="str">
        <f>IF(62&gt;=117,('Testes estatísticos'!$D$122+'Testes estatísticos'!$D$67)/2,"")</f>
        <v/>
      </c>
      <c r="BL295" s="7" t="str">
        <f>IF(63&gt;=117,('Testes estatísticos'!$D$122+'Testes estatísticos'!$D$68)/2,"")</f>
        <v/>
      </c>
      <c r="BM295" s="7" t="str">
        <f>IF(64&gt;=117,('Testes estatísticos'!$D$122+'Testes estatísticos'!$D$69)/2,"")</f>
        <v/>
      </c>
      <c r="BN295" s="7" t="str">
        <f>IF(65&gt;=117,('Testes estatísticos'!$D$122+'Testes estatísticos'!$D$70)/2,"")</f>
        <v/>
      </c>
      <c r="BO295" s="7" t="str">
        <f>IF(66&gt;=117,('Testes estatísticos'!$D$122+'Testes estatísticos'!$D$71)/2,"")</f>
        <v/>
      </c>
      <c r="BP295" s="7" t="str">
        <f>IF(67&gt;=117,('Testes estatísticos'!$D$122+'Testes estatísticos'!$D$72)/2,"")</f>
        <v/>
      </c>
      <c r="BQ295" s="7" t="str">
        <f>IF(68&gt;=117,('Testes estatísticos'!$D$122+'Testes estatísticos'!$D$73)/2,"")</f>
        <v/>
      </c>
      <c r="BR295" s="7" t="str">
        <f>IF(69&gt;=117,('Testes estatísticos'!$D$122+'Testes estatísticos'!$D$74)/2,"")</f>
        <v/>
      </c>
      <c r="BS295" s="7" t="str">
        <f>IF(70&gt;=117,('Testes estatísticos'!$D$122+'Testes estatísticos'!$D$75)/2,"")</f>
        <v/>
      </c>
      <c r="BT295" s="7" t="str">
        <f>IF(71&gt;=117,('Testes estatísticos'!$D$122+'Testes estatísticos'!$D$76)/2,"")</f>
        <v/>
      </c>
      <c r="BU295" s="7" t="str">
        <f>IF(72&gt;=117,('Testes estatísticos'!$D$122+'Testes estatísticos'!$D$77)/2,"")</f>
        <v/>
      </c>
      <c r="BV295" s="7" t="str">
        <f>IF(73&gt;=117,('Testes estatísticos'!$D$122+'Testes estatísticos'!$D$78)/2,"")</f>
        <v/>
      </c>
      <c r="BW295" s="7" t="str">
        <f>IF(74&gt;=117,('Testes estatísticos'!$D$122+'Testes estatísticos'!$D$79)/2,"")</f>
        <v/>
      </c>
      <c r="BX295" s="7" t="str">
        <f>IF(75&gt;=117,('Testes estatísticos'!$D$122+'Testes estatísticos'!$D$80)/2,"")</f>
        <v/>
      </c>
      <c r="BY295" s="7" t="str">
        <f>IF(76&gt;=117,('Testes estatísticos'!$D$122+'Testes estatísticos'!$D$81)/2,"")</f>
        <v/>
      </c>
      <c r="BZ295" s="7" t="str">
        <f>IF(77&gt;=117,('Testes estatísticos'!$D$122+'Testes estatísticos'!$D$82)/2,"")</f>
        <v/>
      </c>
      <c r="CA295" s="7" t="str">
        <f>IF(78&gt;=117,('Testes estatísticos'!$D$122+'Testes estatísticos'!$D$83)/2,"")</f>
        <v/>
      </c>
      <c r="CB295" s="7" t="str">
        <f>IF(79&gt;=117,('Testes estatísticos'!$D$122+'Testes estatísticos'!$D$84)/2,"")</f>
        <v/>
      </c>
      <c r="CC295" s="7" t="str">
        <f>IF(80&gt;=117,('Testes estatísticos'!$D$122+'Testes estatísticos'!$D$85)/2,"")</f>
        <v/>
      </c>
      <c r="CD295" s="7" t="str">
        <f>IF(81&gt;=117,('Testes estatísticos'!$D$122+'Testes estatísticos'!$D$86)/2,"")</f>
        <v/>
      </c>
      <c r="CE295" s="7" t="str">
        <f>IF(82&gt;=117,('Testes estatísticos'!$D$122+'Testes estatísticos'!$D$87)/2,"")</f>
        <v/>
      </c>
      <c r="CF295" s="7" t="str">
        <f>IF(83&gt;=117,('Testes estatísticos'!$D$122+'Testes estatísticos'!$D$88)/2,"")</f>
        <v/>
      </c>
      <c r="CG295" s="7" t="str">
        <f>IF(84&gt;=117,('Testes estatísticos'!$D$122+'Testes estatísticos'!$D$89)/2,"")</f>
        <v/>
      </c>
      <c r="CH295" s="7" t="str">
        <f>IF(85&gt;=117,('Testes estatísticos'!$D$122+'Testes estatísticos'!$D$90)/2,"")</f>
        <v/>
      </c>
      <c r="CI295" s="7" t="str">
        <f>IF(86&gt;=117,('Testes estatísticos'!$D$122+'Testes estatísticos'!$D$91)/2,"")</f>
        <v/>
      </c>
      <c r="CJ295" s="7" t="str">
        <f>IF(87&gt;=117,('Testes estatísticos'!$D$122+'Testes estatísticos'!$D$92)/2,"")</f>
        <v/>
      </c>
      <c r="CK295" s="7" t="str">
        <f>IF(88&gt;=117,('Testes estatísticos'!$D$122+'Testes estatísticos'!$D$93)/2,"")</f>
        <v/>
      </c>
      <c r="CL295" s="7" t="str">
        <f>IF(89&gt;=117,('Testes estatísticos'!$D$122+'Testes estatísticos'!$D$94)/2,"")</f>
        <v/>
      </c>
      <c r="CM295" s="7" t="str">
        <f>IF(90&gt;=117,('Testes estatísticos'!$D$122+'Testes estatísticos'!$D$95)/2,"")</f>
        <v/>
      </c>
      <c r="CN295" s="7" t="str">
        <f>IF(91&gt;=117,('Testes estatísticos'!$D$122+'Testes estatísticos'!$D$96)/2,"")</f>
        <v/>
      </c>
      <c r="CO295" s="7" t="str">
        <f>IF(92&gt;=117,('Testes estatísticos'!$D$122+'Testes estatísticos'!$D$97)/2,"")</f>
        <v/>
      </c>
      <c r="CP295" s="7" t="str">
        <f>IF(93&gt;=117,('Testes estatísticos'!$D$122+'Testes estatísticos'!$D$98)/2,"")</f>
        <v/>
      </c>
      <c r="CQ295" s="7" t="str">
        <f>IF(94&gt;=117,('Testes estatísticos'!$D$122+'Testes estatísticos'!$D$99)/2,"")</f>
        <v/>
      </c>
      <c r="CR295" s="7" t="str">
        <f>IF(95&gt;=117,('Testes estatísticos'!$D$122+'Testes estatísticos'!$D$100)/2,"")</f>
        <v/>
      </c>
      <c r="CS295" s="7" t="str">
        <f>IF(96&gt;=117,('Testes estatísticos'!$D$122+'Testes estatísticos'!$D$101)/2,"")</f>
        <v/>
      </c>
      <c r="CT295" s="7" t="str">
        <f>IF(97&gt;=117,('Testes estatísticos'!$D$122+'Testes estatísticos'!$D$102)/2,"")</f>
        <v/>
      </c>
      <c r="CU295" s="7" t="str">
        <f>IF(98&gt;=117,('Testes estatísticos'!$D$122+'Testes estatísticos'!$D$103)/2,"")</f>
        <v/>
      </c>
      <c r="CV295" s="7" t="str">
        <f>IF(99&gt;=117,('Testes estatísticos'!$D$122+'Testes estatísticos'!$D$104)/2,"")</f>
        <v/>
      </c>
      <c r="CW295" s="7" t="str">
        <f>IF(100&gt;=117,('Testes estatísticos'!$D$122+'Testes estatísticos'!$D$105)/2,"")</f>
        <v/>
      </c>
      <c r="CX295" s="7" t="str">
        <f>IF(101&gt;=117,('Testes estatísticos'!$D$122+'Testes estatísticos'!$D$106)/2,"")</f>
        <v/>
      </c>
      <c r="CY295" s="7" t="str">
        <f>IF(102&gt;=117,('Testes estatísticos'!$D$122+'Testes estatísticos'!$D$107)/2,"")</f>
        <v/>
      </c>
      <c r="CZ295" s="7" t="str">
        <f>IF(103&gt;=117,('Testes estatísticos'!$D$122+'Testes estatísticos'!$D$108)/2,"")</f>
        <v/>
      </c>
      <c r="DA295" s="7" t="str">
        <f>IF(104&gt;=117,('Testes estatísticos'!$D$122+'Testes estatísticos'!$D$109)/2,"")</f>
        <v/>
      </c>
      <c r="DB295" s="7" t="str">
        <f>IF(105&gt;=117,('Testes estatísticos'!$D$122+'Testes estatísticos'!$D$110)/2,"")</f>
        <v/>
      </c>
      <c r="DC295" s="7" t="str">
        <f>IF(106&gt;=117,('Testes estatísticos'!$D$122+'Testes estatísticos'!$D$111)/2,"")</f>
        <v/>
      </c>
      <c r="DD295" s="7" t="str">
        <f>IF(107&gt;=117,('Testes estatísticos'!$D$122+'Testes estatísticos'!$D$112)/2,"")</f>
        <v/>
      </c>
      <c r="DE295" s="7" t="str">
        <f>IF(108&gt;=117,('Testes estatísticos'!$D$122+'Testes estatísticos'!$D$113)/2,"")</f>
        <v/>
      </c>
      <c r="DF295" s="7" t="str">
        <f>IF(109&gt;=117,('Testes estatísticos'!$D$122+'Testes estatísticos'!$D$114)/2,"")</f>
        <v/>
      </c>
      <c r="DG295" s="7" t="str">
        <f>IF(110&gt;=117,('Testes estatísticos'!$D$122+'Testes estatísticos'!$D$115)/2,"")</f>
        <v/>
      </c>
      <c r="DH295" s="7" t="str">
        <f>IF(111&gt;=117,('Testes estatísticos'!$D$122+'Testes estatísticos'!$D$116)/2,"")</f>
        <v/>
      </c>
      <c r="DI295" s="7" t="str">
        <f>IF(112&gt;=117,('Testes estatísticos'!$D$122+'Testes estatísticos'!$D$117)/2,"")</f>
        <v/>
      </c>
      <c r="DJ295" s="7" t="str">
        <f>IF(113&gt;=117,('Testes estatísticos'!$D$122+'Testes estatísticos'!$D$118)/2,"")</f>
        <v/>
      </c>
      <c r="DK295" s="7" t="str">
        <f>IF(114&gt;=117,('Testes estatísticos'!$D$122+'Testes estatísticos'!$D$119)/2,"")</f>
        <v/>
      </c>
      <c r="DL295" s="7" t="str">
        <f>IF(115&gt;=117,('Testes estatísticos'!$D$122+'Testes estatísticos'!$D$120)/2,"")</f>
        <v/>
      </c>
      <c r="DM295" s="7" t="str">
        <f>IF(116&gt;=117,('Testes estatísticos'!$D$122+'Testes estatísticos'!$D$121)/2,"")</f>
        <v/>
      </c>
      <c r="DN295" s="7">
        <f>IF(117&gt;=117,('Testes estatísticos'!$D$122+'Testes estatísticos'!$D$122)/2,"")</f>
        <v>-2.0824500000000015</v>
      </c>
      <c r="DO295" s="7">
        <f>IF(118&gt;=117,('Testes estatísticos'!$D$122+'Testes estatísticos'!$D$123)/2,"")</f>
        <v>-2.0325395000000022</v>
      </c>
      <c r="DP295" s="7">
        <f>IF(119&gt;=117,('Testes estatísticos'!$D$122+'Testes estatísticos'!$D$124)/2,"")</f>
        <v>-2.0537510000000019</v>
      </c>
      <c r="DQ295" s="7">
        <f>IF(120&gt;=117,('Testes estatísticos'!$D$122+'Testes estatísticos'!$D$125)/2,"")</f>
        <v>0.99786350000000112</v>
      </c>
      <c r="DR295" s="7">
        <f>IF(121&gt;=117,('Testes estatísticos'!$D$122+'Testes estatísticos'!$D$126)/2,"")</f>
        <v>-1.7911530000000013</v>
      </c>
      <c r="DS295" s="7">
        <f>IF(122&gt;=117,('Testes estatísticos'!$D$122+'Testes estatísticos'!$D$127)/2,"")</f>
        <v>-2.856561499999998</v>
      </c>
      <c r="DT295" s="7">
        <f>IF(123&gt;=117,('Testes estatísticos'!$D$122+'Testes estatísticos'!$D$128)/2,"")</f>
        <v>3.2123079999999966</v>
      </c>
      <c r="DU295" s="7">
        <f>IF(124&gt;=117,('Testes estatísticos'!$D$122+'Testes estatísticos'!$D$129)/2,"")</f>
        <v>-1.683463500000002</v>
      </c>
      <c r="DV295" s="7">
        <f>IF(125&gt;=117,('Testes estatísticos'!$D$122+'Testes estatísticos'!$D$130)/2,"")</f>
        <v>-0.52515600000000262</v>
      </c>
      <c r="DW295" s="7">
        <f>IF(126&gt;=117,('Testes estatísticos'!$D$122+'Testes estatísticos'!$D$131)/2,"")</f>
        <v>-2.9286320000000003</v>
      </c>
      <c r="DX295" s="7">
        <f>IF(127&gt;=117,('Testes estatísticos'!$D$122+'Testes estatísticos'!$D$132)/2,"")</f>
        <v>-4.984823500000001</v>
      </c>
      <c r="DY295" s="7">
        <f>IF(128&gt;=117,('Testes estatísticos'!$D$122+'Testes estatísticos'!$D$133)/2,"")</f>
        <v>-5.3259129999999999</v>
      </c>
      <c r="DZ295" s="7">
        <f>IF(129&gt;=117,('Testes estatísticos'!$D$122+'Testes estatísticos'!$D$134)/2,"")</f>
        <v>-8.7497030000000002</v>
      </c>
      <c r="EA295" s="7">
        <f>IF(130&gt;=117,('Testes estatísticos'!$D$122+'Testes estatísticos'!$D$135)/2,"")</f>
        <v>-2.9879329999999982</v>
      </c>
      <c r="EB295" s="7">
        <f>IF(131&gt;=117,('Testes estatísticos'!$D$122+'Testes estatísticos'!$D$136)/2,"")</f>
        <v>-2.9000600000000034</v>
      </c>
      <c r="EC295" s="7">
        <f>IF(132&gt;=117,('Testes estatísticos'!$D$122+'Testes estatísticos'!$D$137)/2,"")</f>
        <v>-4.3867965000000027</v>
      </c>
      <c r="ED295" s="7">
        <f>IF(133&gt;=117,('Testes estatísticos'!$D$122+'Testes estatísticos'!$D$138)/2,"")</f>
        <v>-2.1978590000000011</v>
      </c>
      <c r="EE295" s="7">
        <f>IF(134&gt;=117,('Testes estatísticos'!$D$122+'Testes estatísticos'!$D$139)/2,"")</f>
        <v>-4.4950495000000039</v>
      </c>
      <c r="EF295" s="7">
        <f>IF(135&gt;=117,('Testes estatísticos'!$D$122+'Testes estatísticos'!$D$140)/2,"")</f>
        <v>-1.2806169999999995</v>
      </c>
      <c r="EG295" s="7">
        <f>IF(136&gt;=117,('Testes estatísticos'!$D$122+'Testes estatísticos'!$D$141)/2,"")</f>
        <v>-2.9741070000000036</v>
      </c>
      <c r="EH295" s="7">
        <f>IF(137&gt;=117,('Testes estatísticos'!$D$122+'Testes estatísticos'!$D$142)/2,"")</f>
        <v>-1.2693670000000026</v>
      </c>
      <c r="EI295" s="7">
        <f>IF(138&gt;=117,('Testes estatísticos'!$D$122+'Testes estatísticos'!$D$143)/2,"")</f>
        <v>-2.9343824999999981</v>
      </c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</row>
    <row r="296" spans="2:151" x14ac:dyDescent="0.3">
      <c r="B296" s="7" t="str">
        <f>IF(1&gt;=118,('Testes estatísticos'!$D$123+'Testes estatísticos'!$D$6)/2,"")</f>
        <v/>
      </c>
      <c r="C296" s="7" t="str">
        <f>IF(2&gt;=118,('Testes estatísticos'!$D$123+'Testes estatísticos'!$D$7)/2,"")</f>
        <v/>
      </c>
      <c r="D296" s="7" t="str">
        <f>IF(3&gt;=118,('Testes estatísticos'!$D$123+'Testes estatísticos'!$D$8)/2,"")</f>
        <v/>
      </c>
      <c r="E296" s="7" t="str">
        <f>IF(4&gt;=118,('Testes estatísticos'!$D$123+'Testes estatísticos'!$D$9)/2,"")</f>
        <v/>
      </c>
      <c r="F296" s="7" t="str">
        <f>IF(5&gt;=118,('Testes estatísticos'!$D$123+'Testes estatísticos'!$D$10)/2,"")</f>
        <v/>
      </c>
      <c r="G296" s="7" t="str">
        <f>IF(6&gt;=118,('Testes estatísticos'!$D$123+'Testes estatísticos'!$D$11)/2,"")</f>
        <v/>
      </c>
      <c r="H296" s="7" t="str">
        <f>IF(7&gt;=118,('Testes estatísticos'!$D$123+'Testes estatísticos'!$D$12)/2,"")</f>
        <v/>
      </c>
      <c r="I296" s="7" t="str">
        <f>IF(8&gt;=118,('Testes estatísticos'!$D$123+'Testes estatísticos'!$D$13)/2,"")</f>
        <v/>
      </c>
      <c r="J296" s="7" t="str">
        <f>IF(9&gt;=118,('Testes estatísticos'!$D$123+'Testes estatísticos'!$D$14)/2,"")</f>
        <v/>
      </c>
      <c r="K296" s="7" t="str">
        <f>IF(10&gt;=118,('Testes estatísticos'!$D$123+'Testes estatísticos'!$D$15)/2,"")</f>
        <v/>
      </c>
      <c r="L296" s="7" t="str">
        <f>IF(11&gt;=118,('Testes estatísticos'!$D$123+'Testes estatísticos'!$D$16)/2,"")</f>
        <v/>
      </c>
      <c r="M296" s="7" t="str">
        <f>IF(12&gt;=118,('Testes estatísticos'!$D$123+'Testes estatísticos'!$D$17)/2,"")</f>
        <v/>
      </c>
      <c r="N296" s="7" t="str">
        <f>IF(13&gt;=118,('Testes estatísticos'!$D$123+'Testes estatísticos'!$D$18)/2,"")</f>
        <v/>
      </c>
      <c r="O296" s="7" t="str">
        <f>IF(14&gt;=118,('Testes estatísticos'!$D$123+'Testes estatísticos'!$D$19)/2,"")</f>
        <v/>
      </c>
      <c r="P296" s="7" t="str">
        <f>IF(15&gt;=118,('Testes estatísticos'!$D$123+'Testes estatísticos'!$D$20)/2,"")</f>
        <v/>
      </c>
      <c r="Q296" s="7" t="str">
        <f>IF(16&gt;=118,('Testes estatísticos'!$D$123+'Testes estatísticos'!$D$21)/2,"")</f>
        <v/>
      </c>
      <c r="R296" s="7" t="str">
        <f>IF(17&gt;=118,('Testes estatísticos'!$D$123+'Testes estatísticos'!$D$22)/2,"")</f>
        <v/>
      </c>
      <c r="S296" s="7" t="str">
        <f>IF(18&gt;=118,('Testes estatísticos'!$D$123+'Testes estatísticos'!$D$23)/2,"")</f>
        <v/>
      </c>
      <c r="T296" s="7" t="str">
        <f>IF(19&gt;=118,('Testes estatísticos'!$D$123+'Testes estatísticos'!$D$24)/2,"")</f>
        <v/>
      </c>
      <c r="U296" s="7" t="str">
        <f>IF(20&gt;=118,('Testes estatísticos'!$D$123+'Testes estatísticos'!$D$25)/2,"")</f>
        <v/>
      </c>
      <c r="V296" s="7" t="str">
        <f>IF(21&gt;=118,('Testes estatísticos'!$D$123+'Testes estatísticos'!$D$26)/2,"")</f>
        <v/>
      </c>
      <c r="W296" s="7" t="str">
        <f>IF(22&gt;=118,('Testes estatísticos'!$D$123+'Testes estatísticos'!$D$27)/2,"")</f>
        <v/>
      </c>
      <c r="X296" s="7" t="str">
        <f>IF(23&gt;=118,('Testes estatísticos'!$D$123+'Testes estatísticos'!$D$28)/2,"")</f>
        <v/>
      </c>
      <c r="Y296" s="7" t="str">
        <f>IF(24&gt;=118,('Testes estatísticos'!$D$123+'Testes estatísticos'!$D$29)/2,"")</f>
        <v/>
      </c>
      <c r="Z296" s="7" t="str">
        <f>IF(25&gt;=118,('Testes estatísticos'!$D$123+'Testes estatísticos'!$D$30)/2,"")</f>
        <v/>
      </c>
      <c r="AA296" s="7" t="str">
        <f>IF(26&gt;=118,('Testes estatísticos'!$D$123+'Testes estatísticos'!$D$31)/2,"")</f>
        <v/>
      </c>
      <c r="AB296" s="7" t="str">
        <f>IF(27&gt;=118,('Testes estatísticos'!$D$123+'Testes estatísticos'!$D$32)/2,"")</f>
        <v/>
      </c>
      <c r="AC296" s="7" t="str">
        <f>IF(28&gt;=118,('Testes estatísticos'!$D$123+'Testes estatísticos'!$D$33)/2,"")</f>
        <v/>
      </c>
      <c r="AD296" s="7" t="str">
        <f>IF(29&gt;=118,('Testes estatísticos'!$D$123+'Testes estatísticos'!$D$34)/2,"")</f>
        <v/>
      </c>
      <c r="AE296" s="7" t="str">
        <f>IF(30&gt;=118,('Testes estatísticos'!$D$123+'Testes estatísticos'!$D$35)/2,"")</f>
        <v/>
      </c>
      <c r="AF296" s="7" t="str">
        <f>IF(31&gt;=118,('Testes estatísticos'!$D$123+'Testes estatísticos'!$D$36)/2,"")</f>
        <v/>
      </c>
      <c r="AG296" s="7" t="str">
        <f>IF(32&gt;=118,('Testes estatísticos'!$D$123+'Testes estatísticos'!$D$37)/2,"")</f>
        <v/>
      </c>
      <c r="AH296" s="7" t="str">
        <f>IF(33&gt;=118,('Testes estatísticos'!$D$123+'Testes estatísticos'!$D$38)/2,"")</f>
        <v/>
      </c>
      <c r="AI296" s="7" t="str">
        <f>IF(34&gt;=118,('Testes estatísticos'!$D$123+'Testes estatísticos'!$D$39)/2,"")</f>
        <v/>
      </c>
      <c r="AJ296" s="7" t="str">
        <f>IF(35&gt;=118,('Testes estatísticos'!$D$123+'Testes estatísticos'!$D$40)/2,"")</f>
        <v/>
      </c>
      <c r="AK296" s="7" t="str">
        <f>IF(36&gt;=118,('Testes estatísticos'!$D$123+'Testes estatísticos'!$D$41)/2,"")</f>
        <v/>
      </c>
      <c r="AL296" s="7" t="str">
        <f>IF(37&gt;=118,('Testes estatísticos'!$D$123+'Testes estatísticos'!$D$42)/2,"")</f>
        <v/>
      </c>
      <c r="AM296" s="7" t="str">
        <f>IF(38&gt;=118,('Testes estatísticos'!$D$123+'Testes estatísticos'!$D$43)/2,"")</f>
        <v/>
      </c>
      <c r="AN296" s="7" t="str">
        <f>IF(39&gt;=118,('Testes estatísticos'!$D$123+'Testes estatísticos'!$D$44)/2,"")</f>
        <v/>
      </c>
      <c r="AO296" s="7" t="str">
        <f>IF(40&gt;=118,('Testes estatísticos'!$D$123+'Testes estatísticos'!$D$45)/2,"")</f>
        <v/>
      </c>
      <c r="AP296" s="7" t="str">
        <f>IF(41&gt;=118,('Testes estatísticos'!$D$123+'Testes estatísticos'!$D$46)/2,"")</f>
        <v/>
      </c>
      <c r="AQ296" s="7" t="str">
        <f>IF(42&gt;=118,('Testes estatísticos'!$D$123+'Testes estatísticos'!$D$47)/2,"")</f>
        <v/>
      </c>
      <c r="AR296" s="7" t="str">
        <f>IF(43&gt;=118,('Testes estatísticos'!$D$123+'Testes estatísticos'!$D$48)/2,"")</f>
        <v/>
      </c>
      <c r="AS296" s="7" t="str">
        <f>IF(44&gt;=118,('Testes estatísticos'!$D$123+'Testes estatísticos'!$D$49)/2,"")</f>
        <v/>
      </c>
      <c r="AT296" s="7" t="str">
        <f>IF(45&gt;=118,('Testes estatísticos'!$D$123+'Testes estatísticos'!$D$50)/2,"")</f>
        <v/>
      </c>
      <c r="AU296" s="7" t="str">
        <f>IF(46&gt;=118,('Testes estatísticos'!$D$123+'Testes estatísticos'!$D$51)/2,"")</f>
        <v/>
      </c>
      <c r="AV296" s="7" t="str">
        <f>IF(47&gt;=118,('Testes estatísticos'!$D$123+'Testes estatísticos'!$D$52)/2,"")</f>
        <v/>
      </c>
      <c r="AW296" s="7" t="str">
        <f>IF(48&gt;=118,('Testes estatísticos'!$D$123+'Testes estatísticos'!$D$53)/2,"")</f>
        <v/>
      </c>
      <c r="AX296" s="7" t="str">
        <f>IF(49&gt;=118,('Testes estatísticos'!$D$123+'Testes estatísticos'!$D$54)/2,"")</f>
        <v/>
      </c>
      <c r="AY296" s="7" t="str">
        <f>IF(50&gt;=118,('Testes estatísticos'!$D$123+'Testes estatísticos'!$D$55)/2,"")</f>
        <v/>
      </c>
      <c r="AZ296" s="7" t="str">
        <f>IF(51&gt;=118,('Testes estatísticos'!$D$123+'Testes estatísticos'!$D$56)/2,"")</f>
        <v/>
      </c>
      <c r="BA296" s="7" t="str">
        <f>IF(52&gt;=118,('Testes estatísticos'!$D$123+'Testes estatísticos'!$D$57)/2,"")</f>
        <v/>
      </c>
      <c r="BB296" s="7" t="str">
        <f>IF(53&gt;=118,('Testes estatísticos'!$D$123+'Testes estatísticos'!$D$58)/2,"")</f>
        <v/>
      </c>
      <c r="BC296" s="7" t="str">
        <f>IF(54&gt;=118,('Testes estatísticos'!$D$123+'Testes estatísticos'!$D$59)/2,"")</f>
        <v/>
      </c>
      <c r="BD296" s="7" t="str">
        <f>IF(55&gt;=118,('Testes estatísticos'!$D$123+'Testes estatísticos'!$D$60)/2,"")</f>
        <v/>
      </c>
      <c r="BE296" s="7" t="str">
        <f>IF(56&gt;=118,('Testes estatísticos'!$D$123+'Testes estatísticos'!$D$61)/2,"")</f>
        <v/>
      </c>
      <c r="BF296" s="7" t="str">
        <f>IF(57&gt;=118,('Testes estatísticos'!$D$123+'Testes estatísticos'!$D$62)/2,"")</f>
        <v/>
      </c>
      <c r="BG296" s="7" t="str">
        <f>IF(58&gt;=118,('Testes estatísticos'!$D$123+'Testes estatísticos'!$D$63)/2,"")</f>
        <v/>
      </c>
      <c r="BH296" s="7" t="str">
        <f>IF(59&gt;=118,('Testes estatísticos'!$D$123+'Testes estatísticos'!$D$64)/2,"")</f>
        <v/>
      </c>
      <c r="BI296" s="7" t="str">
        <f>IF(60&gt;=118,('Testes estatísticos'!$D$123+'Testes estatísticos'!$D$65)/2,"")</f>
        <v/>
      </c>
      <c r="BJ296" s="7" t="str">
        <f>IF(61&gt;=118,('Testes estatísticos'!$D$123+'Testes estatísticos'!$D$66)/2,"")</f>
        <v/>
      </c>
      <c r="BK296" s="7" t="str">
        <f>IF(62&gt;=118,('Testes estatísticos'!$D$123+'Testes estatísticos'!$D$67)/2,"")</f>
        <v/>
      </c>
      <c r="BL296" s="7" t="str">
        <f>IF(63&gt;=118,('Testes estatísticos'!$D$123+'Testes estatísticos'!$D$68)/2,"")</f>
        <v/>
      </c>
      <c r="BM296" s="7" t="str">
        <f>IF(64&gt;=118,('Testes estatísticos'!$D$123+'Testes estatísticos'!$D$69)/2,"")</f>
        <v/>
      </c>
      <c r="BN296" s="7" t="str">
        <f>IF(65&gt;=118,('Testes estatísticos'!$D$123+'Testes estatísticos'!$D$70)/2,"")</f>
        <v/>
      </c>
      <c r="BO296" s="7" t="str">
        <f>IF(66&gt;=118,('Testes estatísticos'!$D$123+'Testes estatísticos'!$D$71)/2,"")</f>
        <v/>
      </c>
      <c r="BP296" s="7" t="str">
        <f>IF(67&gt;=118,('Testes estatísticos'!$D$123+'Testes estatísticos'!$D$72)/2,"")</f>
        <v/>
      </c>
      <c r="BQ296" s="7" t="str">
        <f>IF(68&gt;=118,('Testes estatísticos'!$D$123+'Testes estatísticos'!$D$73)/2,"")</f>
        <v/>
      </c>
      <c r="BR296" s="7" t="str">
        <f>IF(69&gt;=118,('Testes estatísticos'!$D$123+'Testes estatísticos'!$D$74)/2,"")</f>
        <v/>
      </c>
      <c r="BS296" s="7" t="str">
        <f>IF(70&gt;=118,('Testes estatísticos'!$D$123+'Testes estatísticos'!$D$75)/2,"")</f>
        <v/>
      </c>
      <c r="BT296" s="7" t="str">
        <f>IF(71&gt;=118,('Testes estatísticos'!$D$123+'Testes estatísticos'!$D$76)/2,"")</f>
        <v/>
      </c>
      <c r="BU296" s="7" t="str">
        <f>IF(72&gt;=118,('Testes estatísticos'!$D$123+'Testes estatísticos'!$D$77)/2,"")</f>
        <v/>
      </c>
      <c r="BV296" s="7" t="str">
        <f>IF(73&gt;=118,('Testes estatísticos'!$D$123+'Testes estatísticos'!$D$78)/2,"")</f>
        <v/>
      </c>
      <c r="BW296" s="7" t="str">
        <f>IF(74&gt;=118,('Testes estatísticos'!$D$123+'Testes estatísticos'!$D$79)/2,"")</f>
        <v/>
      </c>
      <c r="BX296" s="7" t="str">
        <f>IF(75&gt;=118,('Testes estatísticos'!$D$123+'Testes estatísticos'!$D$80)/2,"")</f>
        <v/>
      </c>
      <c r="BY296" s="7" t="str">
        <f>IF(76&gt;=118,('Testes estatísticos'!$D$123+'Testes estatísticos'!$D$81)/2,"")</f>
        <v/>
      </c>
      <c r="BZ296" s="7" t="str">
        <f>IF(77&gt;=118,('Testes estatísticos'!$D$123+'Testes estatísticos'!$D$82)/2,"")</f>
        <v/>
      </c>
      <c r="CA296" s="7" t="str">
        <f>IF(78&gt;=118,('Testes estatísticos'!$D$123+'Testes estatísticos'!$D$83)/2,"")</f>
        <v/>
      </c>
      <c r="CB296" s="7" t="str">
        <f>IF(79&gt;=118,('Testes estatísticos'!$D$123+'Testes estatísticos'!$D$84)/2,"")</f>
        <v/>
      </c>
      <c r="CC296" s="7" t="str">
        <f>IF(80&gt;=118,('Testes estatísticos'!$D$123+'Testes estatísticos'!$D$85)/2,"")</f>
        <v/>
      </c>
      <c r="CD296" s="7" t="str">
        <f>IF(81&gt;=118,('Testes estatísticos'!$D$123+'Testes estatísticos'!$D$86)/2,"")</f>
        <v/>
      </c>
      <c r="CE296" s="7" t="str">
        <f>IF(82&gt;=118,('Testes estatísticos'!$D$123+'Testes estatísticos'!$D$87)/2,"")</f>
        <v/>
      </c>
      <c r="CF296" s="7" t="str">
        <f>IF(83&gt;=118,('Testes estatísticos'!$D$123+'Testes estatísticos'!$D$88)/2,"")</f>
        <v/>
      </c>
      <c r="CG296" s="7" t="str">
        <f>IF(84&gt;=118,('Testes estatísticos'!$D$123+'Testes estatísticos'!$D$89)/2,"")</f>
        <v/>
      </c>
      <c r="CH296" s="7" t="str">
        <f>IF(85&gt;=118,('Testes estatísticos'!$D$123+'Testes estatísticos'!$D$90)/2,"")</f>
        <v/>
      </c>
      <c r="CI296" s="7" t="str">
        <f>IF(86&gt;=118,('Testes estatísticos'!$D$123+'Testes estatísticos'!$D$91)/2,"")</f>
        <v/>
      </c>
      <c r="CJ296" s="7" t="str">
        <f>IF(87&gt;=118,('Testes estatísticos'!$D$123+'Testes estatísticos'!$D$92)/2,"")</f>
        <v/>
      </c>
      <c r="CK296" s="7" t="str">
        <f>IF(88&gt;=118,('Testes estatísticos'!$D$123+'Testes estatísticos'!$D$93)/2,"")</f>
        <v/>
      </c>
      <c r="CL296" s="7" t="str">
        <f>IF(89&gt;=118,('Testes estatísticos'!$D$123+'Testes estatísticos'!$D$94)/2,"")</f>
        <v/>
      </c>
      <c r="CM296" s="7" t="str">
        <f>IF(90&gt;=118,('Testes estatísticos'!$D$123+'Testes estatísticos'!$D$95)/2,"")</f>
        <v/>
      </c>
      <c r="CN296" s="7" t="str">
        <f>IF(91&gt;=118,('Testes estatísticos'!$D$123+'Testes estatísticos'!$D$96)/2,"")</f>
        <v/>
      </c>
      <c r="CO296" s="7" t="str">
        <f>IF(92&gt;=118,('Testes estatísticos'!$D$123+'Testes estatísticos'!$D$97)/2,"")</f>
        <v/>
      </c>
      <c r="CP296" s="7" t="str">
        <f>IF(93&gt;=118,('Testes estatísticos'!$D$123+'Testes estatísticos'!$D$98)/2,"")</f>
        <v/>
      </c>
      <c r="CQ296" s="7" t="str">
        <f>IF(94&gt;=118,('Testes estatísticos'!$D$123+'Testes estatísticos'!$D$99)/2,"")</f>
        <v/>
      </c>
      <c r="CR296" s="7" t="str">
        <f>IF(95&gt;=118,('Testes estatísticos'!$D$123+'Testes estatísticos'!$D$100)/2,"")</f>
        <v/>
      </c>
      <c r="CS296" s="7" t="str">
        <f>IF(96&gt;=118,('Testes estatísticos'!$D$123+'Testes estatísticos'!$D$101)/2,"")</f>
        <v/>
      </c>
      <c r="CT296" s="7" t="str">
        <f>IF(97&gt;=118,('Testes estatísticos'!$D$123+'Testes estatísticos'!$D$102)/2,"")</f>
        <v/>
      </c>
      <c r="CU296" s="7" t="str">
        <f>IF(98&gt;=118,('Testes estatísticos'!$D$123+'Testes estatísticos'!$D$103)/2,"")</f>
        <v/>
      </c>
      <c r="CV296" s="7" t="str">
        <f>IF(99&gt;=118,('Testes estatísticos'!$D$123+'Testes estatísticos'!$D$104)/2,"")</f>
        <v/>
      </c>
      <c r="CW296" s="7" t="str">
        <f>IF(100&gt;=118,('Testes estatísticos'!$D$123+'Testes estatísticos'!$D$105)/2,"")</f>
        <v/>
      </c>
      <c r="CX296" s="7" t="str">
        <f>IF(101&gt;=118,('Testes estatísticos'!$D$123+'Testes estatísticos'!$D$106)/2,"")</f>
        <v/>
      </c>
      <c r="CY296" s="7" t="str">
        <f>IF(102&gt;=118,('Testes estatísticos'!$D$123+'Testes estatísticos'!$D$107)/2,"")</f>
        <v/>
      </c>
      <c r="CZ296" s="7" t="str">
        <f>IF(103&gt;=118,('Testes estatísticos'!$D$123+'Testes estatísticos'!$D$108)/2,"")</f>
        <v/>
      </c>
      <c r="DA296" s="7" t="str">
        <f>IF(104&gt;=118,('Testes estatísticos'!$D$123+'Testes estatísticos'!$D$109)/2,"")</f>
        <v/>
      </c>
      <c r="DB296" s="7" t="str">
        <f>IF(105&gt;=118,('Testes estatísticos'!$D$123+'Testes estatísticos'!$D$110)/2,"")</f>
        <v/>
      </c>
      <c r="DC296" s="7" t="str">
        <f>IF(106&gt;=118,('Testes estatísticos'!$D$123+'Testes estatísticos'!$D$111)/2,"")</f>
        <v/>
      </c>
      <c r="DD296" s="7" t="str">
        <f>IF(107&gt;=118,('Testes estatísticos'!$D$123+'Testes estatísticos'!$D$112)/2,"")</f>
        <v/>
      </c>
      <c r="DE296" s="7" t="str">
        <f>IF(108&gt;=118,('Testes estatísticos'!$D$123+'Testes estatísticos'!$D$113)/2,"")</f>
        <v/>
      </c>
      <c r="DF296" s="7" t="str">
        <f>IF(109&gt;=118,('Testes estatísticos'!$D$123+'Testes estatísticos'!$D$114)/2,"")</f>
        <v/>
      </c>
      <c r="DG296" s="7" t="str">
        <f>IF(110&gt;=118,('Testes estatísticos'!$D$123+'Testes estatísticos'!$D$115)/2,"")</f>
        <v/>
      </c>
      <c r="DH296" s="7" t="str">
        <f>IF(111&gt;=118,('Testes estatísticos'!$D$123+'Testes estatísticos'!$D$116)/2,"")</f>
        <v/>
      </c>
      <c r="DI296" s="7" t="str">
        <f>IF(112&gt;=118,('Testes estatísticos'!$D$123+'Testes estatísticos'!$D$117)/2,"")</f>
        <v/>
      </c>
      <c r="DJ296" s="7" t="str">
        <f>IF(113&gt;=118,('Testes estatísticos'!$D$123+'Testes estatísticos'!$D$118)/2,"")</f>
        <v/>
      </c>
      <c r="DK296" s="7" t="str">
        <f>IF(114&gt;=118,('Testes estatísticos'!$D$123+'Testes estatísticos'!$D$119)/2,"")</f>
        <v/>
      </c>
      <c r="DL296" s="7" t="str">
        <f>IF(115&gt;=118,('Testes estatísticos'!$D$123+'Testes estatísticos'!$D$120)/2,"")</f>
        <v/>
      </c>
      <c r="DM296" s="7" t="str">
        <f>IF(116&gt;=118,('Testes estatísticos'!$D$123+'Testes estatísticos'!$D$121)/2,"")</f>
        <v/>
      </c>
      <c r="DN296" s="7" t="str">
        <f>IF(117&gt;=118,('Testes estatísticos'!$D$123+'Testes estatísticos'!$D$122)/2,"")</f>
        <v/>
      </c>
      <c r="DO296" s="7">
        <f>IF(118&gt;=118,('Testes estatísticos'!$D$123+'Testes estatísticos'!$D$123)/2,"")</f>
        <v>-1.9826290000000029</v>
      </c>
      <c r="DP296" s="7">
        <f>IF(119&gt;=118,('Testes estatísticos'!$D$123+'Testes estatísticos'!$D$124)/2,"")</f>
        <v>-2.0038405000000026</v>
      </c>
      <c r="DQ296" s="7">
        <f>IF(120&gt;=118,('Testes estatísticos'!$D$123+'Testes estatísticos'!$D$125)/2,"")</f>
        <v>1.0477740000000004</v>
      </c>
      <c r="DR296" s="7">
        <f>IF(121&gt;=118,('Testes estatísticos'!$D$123+'Testes estatísticos'!$D$126)/2,"")</f>
        <v>-1.741242500000002</v>
      </c>
      <c r="DS296" s="7">
        <f>IF(122&gt;=118,('Testes estatísticos'!$D$123+'Testes estatísticos'!$D$127)/2,"")</f>
        <v>-2.8066509999999987</v>
      </c>
      <c r="DT296" s="7">
        <f>IF(123&gt;=118,('Testes estatísticos'!$D$123+'Testes estatísticos'!$D$128)/2,"")</f>
        <v>3.2622184999999959</v>
      </c>
      <c r="DU296" s="7">
        <f>IF(124&gt;=118,('Testes estatísticos'!$D$123+'Testes estatísticos'!$D$129)/2,"")</f>
        <v>-1.6335530000000027</v>
      </c>
      <c r="DV296" s="7">
        <f>IF(125&gt;=118,('Testes estatísticos'!$D$123+'Testes estatísticos'!$D$130)/2,"")</f>
        <v>-0.47524550000000332</v>
      </c>
      <c r="DW296" s="7">
        <f>IF(126&gt;=118,('Testes estatísticos'!$D$123+'Testes estatísticos'!$D$131)/2,"")</f>
        <v>-2.878721500000001</v>
      </c>
      <c r="DX296" s="7">
        <f>IF(127&gt;=118,('Testes estatísticos'!$D$123+'Testes estatísticos'!$D$132)/2,"")</f>
        <v>-4.9349130000000017</v>
      </c>
      <c r="DY296" s="7">
        <f>IF(128&gt;=118,('Testes estatísticos'!$D$123+'Testes estatísticos'!$D$133)/2,"")</f>
        <v>-5.2760025000000006</v>
      </c>
      <c r="DZ296" s="7">
        <f>IF(129&gt;=118,('Testes estatísticos'!$D$123+'Testes estatísticos'!$D$134)/2,"")</f>
        <v>-8.6997925000000009</v>
      </c>
      <c r="EA296" s="7">
        <f>IF(130&gt;=118,('Testes estatísticos'!$D$123+'Testes estatísticos'!$D$135)/2,"")</f>
        <v>-2.9380224999999989</v>
      </c>
      <c r="EB296" s="7">
        <f>IF(131&gt;=118,('Testes estatísticos'!$D$123+'Testes estatísticos'!$D$136)/2,"")</f>
        <v>-2.8501495000000041</v>
      </c>
      <c r="EC296" s="7">
        <f>IF(132&gt;=118,('Testes estatísticos'!$D$123+'Testes estatísticos'!$D$137)/2,"")</f>
        <v>-4.3368860000000033</v>
      </c>
      <c r="ED296" s="7">
        <f>IF(133&gt;=118,('Testes estatísticos'!$D$123+'Testes estatísticos'!$D$138)/2,"")</f>
        <v>-2.1479485000000018</v>
      </c>
      <c r="EE296" s="7">
        <f>IF(134&gt;=118,('Testes estatísticos'!$D$123+'Testes estatísticos'!$D$139)/2,"")</f>
        <v>-4.4451390000000046</v>
      </c>
      <c r="EF296" s="7">
        <f>IF(135&gt;=118,('Testes estatísticos'!$D$123+'Testes estatísticos'!$D$140)/2,"")</f>
        <v>-1.2307065000000001</v>
      </c>
      <c r="EG296" s="7">
        <f>IF(136&gt;=118,('Testes estatísticos'!$D$123+'Testes estatísticos'!$D$141)/2,"")</f>
        <v>-2.9241965000000043</v>
      </c>
      <c r="EH296" s="7">
        <f>IF(137&gt;=118,('Testes estatísticos'!$D$123+'Testes estatísticos'!$D$142)/2,"")</f>
        <v>-1.2194565000000033</v>
      </c>
      <c r="EI296" s="7">
        <f>IF(138&gt;=118,('Testes estatísticos'!$D$123+'Testes estatísticos'!$D$143)/2,"")</f>
        <v>-2.8844719999999988</v>
      </c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</row>
    <row r="297" spans="2:151" x14ac:dyDescent="0.3">
      <c r="B297" s="7" t="str">
        <f>IF(1&gt;=119,('Testes estatísticos'!$D$124+'Testes estatísticos'!$D$6)/2,"")</f>
        <v/>
      </c>
      <c r="C297" s="7" t="str">
        <f>IF(2&gt;=119,('Testes estatísticos'!$D$124+'Testes estatísticos'!$D$7)/2,"")</f>
        <v/>
      </c>
      <c r="D297" s="7" t="str">
        <f>IF(3&gt;=119,('Testes estatísticos'!$D$124+'Testes estatísticos'!$D$8)/2,"")</f>
        <v/>
      </c>
      <c r="E297" s="7" t="str">
        <f>IF(4&gt;=119,('Testes estatísticos'!$D$124+'Testes estatísticos'!$D$9)/2,"")</f>
        <v/>
      </c>
      <c r="F297" s="7" t="str">
        <f>IF(5&gt;=119,('Testes estatísticos'!$D$124+'Testes estatísticos'!$D$10)/2,"")</f>
        <v/>
      </c>
      <c r="G297" s="7" t="str">
        <f>IF(6&gt;=119,('Testes estatísticos'!$D$124+'Testes estatísticos'!$D$11)/2,"")</f>
        <v/>
      </c>
      <c r="H297" s="7" t="str">
        <f>IF(7&gt;=119,('Testes estatísticos'!$D$124+'Testes estatísticos'!$D$12)/2,"")</f>
        <v/>
      </c>
      <c r="I297" s="7" t="str">
        <f>IF(8&gt;=119,('Testes estatísticos'!$D$124+'Testes estatísticos'!$D$13)/2,"")</f>
        <v/>
      </c>
      <c r="J297" s="7" t="str">
        <f>IF(9&gt;=119,('Testes estatísticos'!$D$124+'Testes estatísticos'!$D$14)/2,"")</f>
        <v/>
      </c>
      <c r="K297" s="7" t="str">
        <f>IF(10&gt;=119,('Testes estatísticos'!$D$124+'Testes estatísticos'!$D$15)/2,"")</f>
        <v/>
      </c>
      <c r="L297" s="7" t="str">
        <f>IF(11&gt;=119,('Testes estatísticos'!$D$124+'Testes estatísticos'!$D$16)/2,"")</f>
        <v/>
      </c>
      <c r="M297" s="7" t="str">
        <f>IF(12&gt;=119,('Testes estatísticos'!$D$124+'Testes estatísticos'!$D$17)/2,"")</f>
        <v/>
      </c>
      <c r="N297" s="7" t="str">
        <f>IF(13&gt;=119,('Testes estatísticos'!$D$124+'Testes estatísticos'!$D$18)/2,"")</f>
        <v/>
      </c>
      <c r="O297" s="7" t="str">
        <f>IF(14&gt;=119,('Testes estatísticos'!$D$124+'Testes estatísticos'!$D$19)/2,"")</f>
        <v/>
      </c>
      <c r="P297" s="7" t="str">
        <f>IF(15&gt;=119,('Testes estatísticos'!$D$124+'Testes estatísticos'!$D$20)/2,"")</f>
        <v/>
      </c>
      <c r="Q297" s="7" t="str">
        <f>IF(16&gt;=119,('Testes estatísticos'!$D$124+'Testes estatísticos'!$D$21)/2,"")</f>
        <v/>
      </c>
      <c r="R297" s="7" t="str">
        <f>IF(17&gt;=119,('Testes estatísticos'!$D$124+'Testes estatísticos'!$D$22)/2,"")</f>
        <v/>
      </c>
      <c r="S297" s="7" t="str">
        <f>IF(18&gt;=119,('Testes estatísticos'!$D$124+'Testes estatísticos'!$D$23)/2,"")</f>
        <v/>
      </c>
      <c r="T297" s="7" t="str">
        <f>IF(19&gt;=119,('Testes estatísticos'!$D$124+'Testes estatísticos'!$D$24)/2,"")</f>
        <v/>
      </c>
      <c r="U297" s="7" t="str">
        <f>IF(20&gt;=119,('Testes estatísticos'!$D$124+'Testes estatísticos'!$D$25)/2,"")</f>
        <v/>
      </c>
      <c r="V297" s="7" t="str">
        <f>IF(21&gt;=119,('Testes estatísticos'!$D$124+'Testes estatísticos'!$D$26)/2,"")</f>
        <v/>
      </c>
      <c r="W297" s="7" t="str">
        <f>IF(22&gt;=119,('Testes estatísticos'!$D$124+'Testes estatísticos'!$D$27)/2,"")</f>
        <v/>
      </c>
      <c r="X297" s="7" t="str">
        <f>IF(23&gt;=119,('Testes estatísticos'!$D$124+'Testes estatísticos'!$D$28)/2,"")</f>
        <v/>
      </c>
      <c r="Y297" s="7" t="str">
        <f>IF(24&gt;=119,('Testes estatísticos'!$D$124+'Testes estatísticos'!$D$29)/2,"")</f>
        <v/>
      </c>
      <c r="Z297" s="7" t="str">
        <f>IF(25&gt;=119,('Testes estatísticos'!$D$124+'Testes estatísticos'!$D$30)/2,"")</f>
        <v/>
      </c>
      <c r="AA297" s="7" t="str">
        <f>IF(26&gt;=119,('Testes estatísticos'!$D$124+'Testes estatísticos'!$D$31)/2,"")</f>
        <v/>
      </c>
      <c r="AB297" s="7" t="str">
        <f>IF(27&gt;=119,('Testes estatísticos'!$D$124+'Testes estatísticos'!$D$32)/2,"")</f>
        <v/>
      </c>
      <c r="AC297" s="7" t="str">
        <f>IF(28&gt;=119,('Testes estatísticos'!$D$124+'Testes estatísticos'!$D$33)/2,"")</f>
        <v/>
      </c>
      <c r="AD297" s="7" t="str">
        <f>IF(29&gt;=119,('Testes estatísticos'!$D$124+'Testes estatísticos'!$D$34)/2,"")</f>
        <v/>
      </c>
      <c r="AE297" s="7" t="str">
        <f>IF(30&gt;=119,('Testes estatísticos'!$D$124+'Testes estatísticos'!$D$35)/2,"")</f>
        <v/>
      </c>
      <c r="AF297" s="7" t="str">
        <f>IF(31&gt;=119,('Testes estatísticos'!$D$124+'Testes estatísticos'!$D$36)/2,"")</f>
        <v/>
      </c>
      <c r="AG297" s="7" t="str">
        <f>IF(32&gt;=119,('Testes estatísticos'!$D$124+'Testes estatísticos'!$D$37)/2,"")</f>
        <v/>
      </c>
      <c r="AH297" s="7" t="str">
        <f>IF(33&gt;=119,('Testes estatísticos'!$D$124+'Testes estatísticos'!$D$38)/2,"")</f>
        <v/>
      </c>
      <c r="AI297" s="7" t="str">
        <f>IF(34&gt;=119,('Testes estatísticos'!$D$124+'Testes estatísticos'!$D$39)/2,"")</f>
        <v/>
      </c>
      <c r="AJ297" s="7" t="str">
        <f>IF(35&gt;=119,('Testes estatísticos'!$D$124+'Testes estatísticos'!$D$40)/2,"")</f>
        <v/>
      </c>
      <c r="AK297" s="7" t="str">
        <f>IF(36&gt;=119,('Testes estatísticos'!$D$124+'Testes estatísticos'!$D$41)/2,"")</f>
        <v/>
      </c>
      <c r="AL297" s="7" t="str">
        <f>IF(37&gt;=119,('Testes estatísticos'!$D$124+'Testes estatísticos'!$D$42)/2,"")</f>
        <v/>
      </c>
      <c r="AM297" s="7" t="str">
        <f>IF(38&gt;=119,('Testes estatísticos'!$D$124+'Testes estatísticos'!$D$43)/2,"")</f>
        <v/>
      </c>
      <c r="AN297" s="7" t="str">
        <f>IF(39&gt;=119,('Testes estatísticos'!$D$124+'Testes estatísticos'!$D$44)/2,"")</f>
        <v/>
      </c>
      <c r="AO297" s="7" t="str">
        <f>IF(40&gt;=119,('Testes estatísticos'!$D$124+'Testes estatísticos'!$D$45)/2,"")</f>
        <v/>
      </c>
      <c r="AP297" s="7" t="str">
        <f>IF(41&gt;=119,('Testes estatísticos'!$D$124+'Testes estatísticos'!$D$46)/2,"")</f>
        <v/>
      </c>
      <c r="AQ297" s="7" t="str">
        <f>IF(42&gt;=119,('Testes estatísticos'!$D$124+'Testes estatísticos'!$D$47)/2,"")</f>
        <v/>
      </c>
      <c r="AR297" s="7" t="str">
        <f>IF(43&gt;=119,('Testes estatísticos'!$D$124+'Testes estatísticos'!$D$48)/2,"")</f>
        <v/>
      </c>
      <c r="AS297" s="7" t="str">
        <f>IF(44&gt;=119,('Testes estatísticos'!$D$124+'Testes estatísticos'!$D$49)/2,"")</f>
        <v/>
      </c>
      <c r="AT297" s="7" t="str">
        <f>IF(45&gt;=119,('Testes estatísticos'!$D$124+'Testes estatísticos'!$D$50)/2,"")</f>
        <v/>
      </c>
      <c r="AU297" s="7" t="str">
        <f>IF(46&gt;=119,('Testes estatísticos'!$D$124+'Testes estatísticos'!$D$51)/2,"")</f>
        <v/>
      </c>
      <c r="AV297" s="7" t="str">
        <f>IF(47&gt;=119,('Testes estatísticos'!$D$124+'Testes estatísticos'!$D$52)/2,"")</f>
        <v/>
      </c>
      <c r="AW297" s="7" t="str">
        <f>IF(48&gt;=119,('Testes estatísticos'!$D$124+'Testes estatísticos'!$D$53)/2,"")</f>
        <v/>
      </c>
      <c r="AX297" s="7" t="str">
        <f>IF(49&gt;=119,('Testes estatísticos'!$D$124+'Testes estatísticos'!$D$54)/2,"")</f>
        <v/>
      </c>
      <c r="AY297" s="7" t="str">
        <f>IF(50&gt;=119,('Testes estatísticos'!$D$124+'Testes estatísticos'!$D$55)/2,"")</f>
        <v/>
      </c>
      <c r="AZ297" s="7" t="str">
        <f>IF(51&gt;=119,('Testes estatísticos'!$D$124+'Testes estatísticos'!$D$56)/2,"")</f>
        <v/>
      </c>
      <c r="BA297" s="7" t="str">
        <f>IF(52&gt;=119,('Testes estatísticos'!$D$124+'Testes estatísticos'!$D$57)/2,"")</f>
        <v/>
      </c>
      <c r="BB297" s="7" t="str">
        <f>IF(53&gt;=119,('Testes estatísticos'!$D$124+'Testes estatísticos'!$D$58)/2,"")</f>
        <v/>
      </c>
      <c r="BC297" s="7" t="str">
        <f>IF(54&gt;=119,('Testes estatísticos'!$D$124+'Testes estatísticos'!$D$59)/2,"")</f>
        <v/>
      </c>
      <c r="BD297" s="7" t="str">
        <f>IF(55&gt;=119,('Testes estatísticos'!$D$124+'Testes estatísticos'!$D$60)/2,"")</f>
        <v/>
      </c>
      <c r="BE297" s="7" t="str">
        <f>IF(56&gt;=119,('Testes estatísticos'!$D$124+'Testes estatísticos'!$D$61)/2,"")</f>
        <v/>
      </c>
      <c r="BF297" s="7" t="str">
        <f>IF(57&gt;=119,('Testes estatísticos'!$D$124+'Testes estatísticos'!$D$62)/2,"")</f>
        <v/>
      </c>
      <c r="BG297" s="7" t="str">
        <f>IF(58&gt;=119,('Testes estatísticos'!$D$124+'Testes estatísticos'!$D$63)/2,"")</f>
        <v/>
      </c>
      <c r="BH297" s="7" t="str">
        <f>IF(59&gt;=119,('Testes estatísticos'!$D$124+'Testes estatísticos'!$D$64)/2,"")</f>
        <v/>
      </c>
      <c r="BI297" s="7" t="str">
        <f>IF(60&gt;=119,('Testes estatísticos'!$D$124+'Testes estatísticos'!$D$65)/2,"")</f>
        <v/>
      </c>
      <c r="BJ297" s="7" t="str">
        <f>IF(61&gt;=119,('Testes estatísticos'!$D$124+'Testes estatísticos'!$D$66)/2,"")</f>
        <v/>
      </c>
      <c r="BK297" s="7" t="str">
        <f>IF(62&gt;=119,('Testes estatísticos'!$D$124+'Testes estatísticos'!$D$67)/2,"")</f>
        <v/>
      </c>
      <c r="BL297" s="7" t="str">
        <f>IF(63&gt;=119,('Testes estatísticos'!$D$124+'Testes estatísticos'!$D$68)/2,"")</f>
        <v/>
      </c>
      <c r="BM297" s="7" t="str">
        <f>IF(64&gt;=119,('Testes estatísticos'!$D$124+'Testes estatísticos'!$D$69)/2,"")</f>
        <v/>
      </c>
      <c r="BN297" s="7" t="str">
        <f>IF(65&gt;=119,('Testes estatísticos'!$D$124+'Testes estatísticos'!$D$70)/2,"")</f>
        <v/>
      </c>
      <c r="BO297" s="7" t="str">
        <f>IF(66&gt;=119,('Testes estatísticos'!$D$124+'Testes estatísticos'!$D$71)/2,"")</f>
        <v/>
      </c>
      <c r="BP297" s="7" t="str">
        <f>IF(67&gt;=119,('Testes estatísticos'!$D$124+'Testes estatísticos'!$D$72)/2,"")</f>
        <v/>
      </c>
      <c r="BQ297" s="7" t="str">
        <f>IF(68&gt;=119,('Testes estatísticos'!$D$124+'Testes estatísticos'!$D$73)/2,"")</f>
        <v/>
      </c>
      <c r="BR297" s="7" t="str">
        <f>IF(69&gt;=119,('Testes estatísticos'!$D$124+'Testes estatísticos'!$D$74)/2,"")</f>
        <v/>
      </c>
      <c r="BS297" s="7" t="str">
        <f>IF(70&gt;=119,('Testes estatísticos'!$D$124+'Testes estatísticos'!$D$75)/2,"")</f>
        <v/>
      </c>
      <c r="BT297" s="7" t="str">
        <f>IF(71&gt;=119,('Testes estatísticos'!$D$124+'Testes estatísticos'!$D$76)/2,"")</f>
        <v/>
      </c>
      <c r="BU297" s="7" t="str">
        <f>IF(72&gt;=119,('Testes estatísticos'!$D$124+'Testes estatísticos'!$D$77)/2,"")</f>
        <v/>
      </c>
      <c r="BV297" s="7" t="str">
        <f>IF(73&gt;=119,('Testes estatísticos'!$D$124+'Testes estatísticos'!$D$78)/2,"")</f>
        <v/>
      </c>
      <c r="BW297" s="7" t="str">
        <f>IF(74&gt;=119,('Testes estatísticos'!$D$124+'Testes estatísticos'!$D$79)/2,"")</f>
        <v/>
      </c>
      <c r="BX297" s="7" t="str">
        <f>IF(75&gt;=119,('Testes estatísticos'!$D$124+'Testes estatísticos'!$D$80)/2,"")</f>
        <v/>
      </c>
      <c r="BY297" s="7" t="str">
        <f>IF(76&gt;=119,('Testes estatísticos'!$D$124+'Testes estatísticos'!$D$81)/2,"")</f>
        <v/>
      </c>
      <c r="BZ297" s="7" t="str">
        <f>IF(77&gt;=119,('Testes estatísticos'!$D$124+'Testes estatísticos'!$D$82)/2,"")</f>
        <v/>
      </c>
      <c r="CA297" s="7" t="str">
        <f>IF(78&gt;=119,('Testes estatísticos'!$D$124+'Testes estatísticos'!$D$83)/2,"")</f>
        <v/>
      </c>
      <c r="CB297" s="7" t="str">
        <f>IF(79&gt;=119,('Testes estatísticos'!$D$124+'Testes estatísticos'!$D$84)/2,"")</f>
        <v/>
      </c>
      <c r="CC297" s="7" t="str">
        <f>IF(80&gt;=119,('Testes estatísticos'!$D$124+'Testes estatísticos'!$D$85)/2,"")</f>
        <v/>
      </c>
      <c r="CD297" s="7" t="str">
        <f>IF(81&gt;=119,('Testes estatísticos'!$D$124+'Testes estatísticos'!$D$86)/2,"")</f>
        <v/>
      </c>
      <c r="CE297" s="7" t="str">
        <f>IF(82&gt;=119,('Testes estatísticos'!$D$124+'Testes estatísticos'!$D$87)/2,"")</f>
        <v/>
      </c>
      <c r="CF297" s="7" t="str">
        <f>IF(83&gt;=119,('Testes estatísticos'!$D$124+'Testes estatísticos'!$D$88)/2,"")</f>
        <v/>
      </c>
      <c r="CG297" s="7" t="str">
        <f>IF(84&gt;=119,('Testes estatísticos'!$D$124+'Testes estatísticos'!$D$89)/2,"")</f>
        <v/>
      </c>
      <c r="CH297" s="7" t="str">
        <f>IF(85&gt;=119,('Testes estatísticos'!$D$124+'Testes estatísticos'!$D$90)/2,"")</f>
        <v/>
      </c>
      <c r="CI297" s="7" t="str">
        <f>IF(86&gt;=119,('Testes estatísticos'!$D$124+'Testes estatísticos'!$D$91)/2,"")</f>
        <v/>
      </c>
      <c r="CJ297" s="7" t="str">
        <f>IF(87&gt;=119,('Testes estatísticos'!$D$124+'Testes estatísticos'!$D$92)/2,"")</f>
        <v/>
      </c>
      <c r="CK297" s="7" t="str">
        <f>IF(88&gt;=119,('Testes estatísticos'!$D$124+'Testes estatísticos'!$D$93)/2,"")</f>
        <v/>
      </c>
      <c r="CL297" s="7" t="str">
        <f>IF(89&gt;=119,('Testes estatísticos'!$D$124+'Testes estatísticos'!$D$94)/2,"")</f>
        <v/>
      </c>
      <c r="CM297" s="7" t="str">
        <f>IF(90&gt;=119,('Testes estatísticos'!$D$124+'Testes estatísticos'!$D$95)/2,"")</f>
        <v/>
      </c>
      <c r="CN297" s="7" t="str">
        <f>IF(91&gt;=119,('Testes estatísticos'!$D$124+'Testes estatísticos'!$D$96)/2,"")</f>
        <v/>
      </c>
      <c r="CO297" s="7" t="str">
        <f>IF(92&gt;=119,('Testes estatísticos'!$D$124+'Testes estatísticos'!$D$97)/2,"")</f>
        <v/>
      </c>
      <c r="CP297" s="7" t="str">
        <f>IF(93&gt;=119,('Testes estatísticos'!$D$124+'Testes estatísticos'!$D$98)/2,"")</f>
        <v/>
      </c>
      <c r="CQ297" s="7" t="str">
        <f>IF(94&gt;=119,('Testes estatísticos'!$D$124+'Testes estatísticos'!$D$99)/2,"")</f>
        <v/>
      </c>
      <c r="CR297" s="7" t="str">
        <f>IF(95&gt;=119,('Testes estatísticos'!$D$124+'Testes estatísticos'!$D$100)/2,"")</f>
        <v/>
      </c>
      <c r="CS297" s="7" t="str">
        <f>IF(96&gt;=119,('Testes estatísticos'!$D$124+'Testes estatísticos'!$D$101)/2,"")</f>
        <v/>
      </c>
      <c r="CT297" s="7" t="str">
        <f>IF(97&gt;=119,('Testes estatísticos'!$D$124+'Testes estatísticos'!$D$102)/2,"")</f>
        <v/>
      </c>
      <c r="CU297" s="7" t="str">
        <f>IF(98&gt;=119,('Testes estatísticos'!$D$124+'Testes estatísticos'!$D$103)/2,"")</f>
        <v/>
      </c>
      <c r="CV297" s="7" t="str">
        <f>IF(99&gt;=119,('Testes estatísticos'!$D$124+'Testes estatísticos'!$D$104)/2,"")</f>
        <v/>
      </c>
      <c r="CW297" s="7" t="str">
        <f>IF(100&gt;=119,('Testes estatísticos'!$D$124+'Testes estatísticos'!$D$105)/2,"")</f>
        <v/>
      </c>
      <c r="CX297" s="7" t="str">
        <f>IF(101&gt;=119,('Testes estatísticos'!$D$124+'Testes estatísticos'!$D$106)/2,"")</f>
        <v/>
      </c>
      <c r="CY297" s="7" t="str">
        <f>IF(102&gt;=119,('Testes estatísticos'!$D$124+'Testes estatísticos'!$D$107)/2,"")</f>
        <v/>
      </c>
      <c r="CZ297" s="7" t="str">
        <f>IF(103&gt;=119,('Testes estatísticos'!$D$124+'Testes estatísticos'!$D$108)/2,"")</f>
        <v/>
      </c>
      <c r="DA297" s="7" t="str">
        <f>IF(104&gt;=119,('Testes estatísticos'!$D$124+'Testes estatísticos'!$D$109)/2,"")</f>
        <v/>
      </c>
      <c r="DB297" s="7" t="str">
        <f>IF(105&gt;=119,('Testes estatísticos'!$D$124+'Testes estatísticos'!$D$110)/2,"")</f>
        <v/>
      </c>
      <c r="DC297" s="7" t="str">
        <f>IF(106&gt;=119,('Testes estatísticos'!$D$124+'Testes estatísticos'!$D$111)/2,"")</f>
        <v/>
      </c>
      <c r="DD297" s="7" t="str">
        <f>IF(107&gt;=119,('Testes estatísticos'!$D$124+'Testes estatísticos'!$D$112)/2,"")</f>
        <v/>
      </c>
      <c r="DE297" s="7" t="str">
        <f>IF(108&gt;=119,('Testes estatísticos'!$D$124+'Testes estatísticos'!$D$113)/2,"")</f>
        <v/>
      </c>
      <c r="DF297" s="7" t="str">
        <f>IF(109&gt;=119,('Testes estatísticos'!$D$124+'Testes estatísticos'!$D$114)/2,"")</f>
        <v/>
      </c>
      <c r="DG297" s="7" t="str">
        <f>IF(110&gt;=119,('Testes estatísticos'!$D$124+'Testes estatísticos'!$D$115)/2,"")</f>
        <v/>
      </c>
      <c r="DH297" s="7" t="str">
        <f>IF(111&gt;=119,('Testes estatísticos'!$D$124+'Testes estatísticos'!$D$116)/2,"")</f>
        <v/>
      </c>
      <c r="DI297" s="7" t="str">
        <f>IF(112&gt;=119,('Testes estatísticos'!$D$124+'Testes estatísticos'!$D$117)/2,"")</f>
        <v/>
      </c>
      <c r="DJ297" s="7" t="str">
        <f>IF(113&gt;=119,('Testes estatísticos'!$D$124+'Testes estatísticos'!$D$118)/2,"")</f>
        <v/>
      </c>
      <c r="DK297" s="7" t="str">
        <f>IF(114&gt;=119,('Testes estatísticos'!$D$124+'Testes estatísticos'!$D$119)/2,"")</f>
        <v/>
      </c>
      <c r="DL297" s="7" t="str">
        <f>IF(115&gt;=119,('Testes estatísticos'!$D$124+'Testes estatísticos'!$D$120)/2,"")</f>
        <v/>
      </c>
      <c r="DM297" s="7" t="str">
        <f>IF(116&gt;=119,('Testes estatísticos'!$D$124+'Testes estatísticos'!$D$121)/2,"")</f>
        <v/>
      </c>
      <c r="DN297" s="7" t="str">
        <f>IF(117&gt;=119,('Testes estatísticos'!$D$124+'Testes estatísticos'!$D$122)/2,"")</f>
        <v/>
      </c>
      <c r="DO297" s="7" t="str">
        <f>IF(118&gt;=119,('Testes estatísticos'!$D$124+'Testes estatísticos'!$D$123)/2,"")</f>
        <v/>
      </c>
      <c r="DP297" s="7">
        <f>IF(119&gt;=119,('Testes estatísticos'!$D$124+'Testes estatísticos'!$D$124)/2,"")</f>
        <v>-2.0250520000000023</v>
      </c>
      <c r="DQ297" s="7">
        <f>IF(120&gt;=119,('Testes estatísticos'!$D$124+'Testes estatísticos'!$D$125)/2,"")</f>
        <v>1.0265625000000007</v>
      </c>
      <c r="DR297" s="7">
        <f>IF(121&gt;=119,('Testes estatísticos'!$D$124+'Testes estatísticos'!$D$126)/2,"")</f>
        <v>-1.7624540000000017</v>
      </c>
      <c r="DS297" s="7">
        <f>IF(122&gt;=119,('Testes estatísticos'!$D$124+'Testes estatísticos'!$D$127)/2,"")</f>
        <v>-2.8278624999999984</v>
      </c>
      <c r="DT297" s="7">
        <f>IF(123&gt;=119,('Testes estatísticos'!$D$124+'Testes estatísticos'!$D$128)/2,"")</f>
        <v>3.2410069999999962</v>
      </c>
      <c r="DU297" s="7">
        <f>IF(124&gt;=119,('Testes estatísticos'!$D$124+'Testes estatísticos'!$D$129)/2,"")</f>
        <v>-1.6547645000000024</v>
      </c>
      <c r="DV297" s="7">
        <f>IF(125&gt;=119,('Testes estatísticos'!$D$124+'Testes estatísticos'!$D$130)/2,"")</f>
        <v>-0.49645700000000303</v>
      </c>
      <c r="DW297" s="7">
        <f>IF(126&gt;=119,('Testes estatísticos'!$D$124+'Testes estatísticos'!$D$131)/2,"")</f>
        <v>-2.8999330000000008</v>
      </c>
      <c r="DX297" s="7">
        <f>IF(127&gt;=119,('Testes estatísticos'!$D$124+'Testes estatísticos'!$D$132)/2,"")</f>
        <v>-4.9561245000000014</v>
      </c>
      <c r="DY297" s="7">
        <f>IF(128&gt;=119,('Testes estatísticos'!$D$124+'Testes estatísticos'!$D$133)/2,"")</f>
        <v>-5.2972140000000003</v>
      </c>
      <c r="DZ297" s="7">
        <f>IF(129&gt;=119,('Testes estatísticos'!$D$124+'Testes estatísticos'!$D$134)/2,"")</f>
        <v>-8.7210040000000006</v>
      </c>
      <c r="EA297" s="7">
        <f>IF(130&gt;=119,('Testes estatísticos'!$D$124+'Testes estatísticos'!$D$135)/2,"")</f>
        <v>-2.9592339999999986</v>
      </c>
      <c r="EB297" s="7">
        <f>IF(131&gt;=119,('Testes estatísticos'!$D$124+'Testes estatísticos'!$D$136)/2,"")</f>
        <v>-2.8713610000000038</v>
      </c>
      <c r="EC297" s="7">
        <f>IF(132&gt;=119,('Testes estatísticos'!$D$124+'Testes estatísticos'!$D$137)/2,"")</f>
        <v>-4.3580975000000031</v>
      </c>
      <c r="ED297" s="7">
        <f>IF(133&gt;=119,('Testes estatísticos'!$D$124+'Testes estatísticos'!$D$138)/2,"")</f>
        <v>-2.1691600000000015</v>
      </c>
      <c r="EE297" s="7">
        <f>IF(134&gt;=119,('Testes estatísticos'!$D$124+'Testes estatísticos'!$D$139)/2,"")</f>
        <v>-4.4663505000000043</v>
      </c>
      <c r="EF297" s="7">
        <f>IF(135&gt;=119,('Testes estatísticos'!$D$124+'Testes estatísticos'!$D$140)/2,"")</f>
        <v>-1.2519179999999999</v>
      </c>
      <c r="EG297" s="7">
        <f>IF(136&gt;=119,('Testes estatísticos'!$D$124+'Testes estatísticos'!$D$141)/2,"")</f>
        <v>-2.945408000000004</v>
      </c>
      <c r="EH297" s="7">
        <f>IF(137&gt;=119,('Testes estatísticos'!$D$124+'Testes estatísticos'!$D$142)/2,"")</f>
        <v>-1.240668000000003</v>
      </c>
      <c r="EI297" s="7">
        <f>IF(138&gt;=119,('Testes estatísticos'!$D$124+'Testes estatísticos'!$D$143)/2,"")</f>
        <v>-2.9056834999999985</v>
      </c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</row>
    <row r="298" spans="2:151" x14ac:dyDescent="0.3">
      <c r="B298" s="7" t="str">
        <f>IF(1&gt;=120,('Testes estatísticos'!$D$125+'Testes estatísticos'!$D$6)/2,"")</f>
        <v/>
      </c>
      <c r="C298" s="7" t="str">
        <f>IF(2&gt;=120,('Testes estatísticos'!$D$125+'Testes estatísticos'!$D$7)/2,"")</f>
        <v/>
      </c>
      <c r="D298" s="7" t="str">
        <f>IF(3&gt;=120,('Testes estatísticos'!$D$125+'Testes estatísticos'!$D$8)/2,"")</f>
        <v/>
      </c>
      <c r="E298" s="7" t="str">
        <f>IF(4&gt;=120,('Testes estatísticos'!$D$125+'Testes estatísticos'!$D$9)/2,"")</f>
        <v/>
      </c>
      <c r="F298" s="7" t="str">
        <f>IF(5&gt;=120,('Testes estatísticos'!$D$125+'Testes estatísticos'!$D$10)/2,"")</f>
        <v/>
      </c>
      <c r="G298" s="7" t="str">
        <f>IF(6&gt;=120,('Testes estatísticos'!$D$125+'Testes estatísticos'!$D$11)/2,"")</f>
        <v/>
      </c>
      <c r="H298" s="7" t="str">
        <f>IF(7&gt;=120,('Testes estatísticos'!$D$125+'Testes estatísticos'!$D$12)/2,"")</f>
        <v/>
      </c>
      <c r="I298" s="7" t="str">
        <f>IF(8&gt;=120,('Testes estatísticos'!$D$125+'Testes estatísticos'!$D$13)/2,"")</f>
        <v/>
      </c>
      <c r="J298" s="7" t="str">
        <f>IF(9&gt;=120,('Testes estatísticos'!$D$125+'Testes estatísticos'!$D$14)/2,"")</f>
        <v/>
      </c>
      <c r="K298" s="7" t="str">
        <f>IF(10&gt;=120,('Testes estatísticos'!$D$125+'Testes estatísticos'!$D$15)/2,"")</f>
        <v/>
      </c>
      <c r="L298" s="7" t="str">
        <f>IF(11&gt;=120,('Testes estatísticos'!$D$125+'Testes estatísticos'!$D$16)/2,"")</f>
        <v/>
      </c>
      <c r="M298" s="7" t="str">
        <f>IF(12&gt;=120,('Testes estatísticos'!$D$125+'Testes estatísticos'!$D$17)/2,"")</f>
        <v/>
      </c>
      <c r="N298" s="7" t="str">
        <f>IF(13&gt;=120,('Testes estatísticos'!$D$125+'Testes estatísticos'!$D$18)/2,"")</f>
        <v/>
      </c>
      <c r="O298" s="7" t="str">
        <f>IF(14&gt;=120,('Testes estatísticos'!$D$125+'Testes estatísticos'!$D$19)/2,"")</f>
        <v/>
      </c>
      <c r="P298" s="7" t="str">
        <f>IF(15&gt;=120,('Testes estatísticos'!$D$125+'Testes estatísticos'!$D$20)/2,"")</f>
        <v/>
      </c>
      <c r="Q298" s="7" t="str">
        <f>IF(16&gt;=120,('Testes estatísticos'!$D$125+'Testes estatísticos'!$D$21)/2,"")</f>
        <v/>
      </c>
      <c r="R298" s="7" t="str">
        <f>IF(17&gt;=120,('Testes estatísticos'!$D$125+'Testes estatísticos'!$D$22)/2,"")</f>
        <v/>
      </c>
      <c r="S298" s="7" t="str">
        <f>IF(18&gt;=120,('Testes estatísticos'!$D$125+'Testes estatísticos'!$D$23)/2,"")</f>
        <v/>
      </c>
      <c r="T298" s="7" t="str">
        <f>IF(19&gt;=120,('Testes estatísticos'!$D$125+'Testes estatísticos'!$D$24)/2,"")</f>
        <v/>
      </c>
      <c r="U298" s="7" t="str">
        <f>IF(20&gt;=120,('Testes estatísticos'!$D$125+'Testes estatísticos'!$D$25)/2,"")</f>
        <v/>
      </c>
      <c r="V298" s="7" t="str">
        <f>IF(21&gt;=120,('Testes estatísticos'!$D$125+'Testes estatísticos'!$D$26)/2,"")</f>
        <v/>
      </c>
      <c r="W298" s="7" t="str">
        <f>IF(22&gt;=120,('Testes estatísticos'!$D$125+'Testes estatísticos'!$D$27)/2,"")</f>
        <v/>
      </c>
      <c r="X298" s="7" t="str">
        <f>IF(23&gt;=120,('Testes estatísticos'!$D$125+'Testes estatísticos'!$D$28)/2,"")</f>
        <v/>
      </c>
      <c r="Y298" s="7" t="str">
        <f>IF(24&gt;=120,('Testes estatísticos'!$D$125+'Testes estatísticos'!$D$29)/2,"")</f>
        <v/>
      </c>
      <c r="Z298" s="7" t="str">
        <f>IF(25&gt;=120,('Testes estatísticos'!$D$125+'Testes estatísticos'!$D$30)/2,"")</f>
        <v/>
      </c>
      <c r="AA298" s="7" t="str">
        <f>IF(26&gt;=120,('Testes estatísticos'!$D$125+'Testes estatísticos'!$D$31)/2,"")</f>
        <v/>
      </c>
      <c r="AB298" s="7" t="str">
        <f>IF(27&gt;=120,('Testes estatísticos'!$D$125+'Testes estatísticos'!$D$32)/2,"")</f>
        <v/>
      </c>
      <c r="AC298" s="7" t="str">
        <f>IF(28&gt;=120,('Testes estatísticos'!$D$125+'Testes estatísticos'!$D$33)/2,"")</f>
        <v/>
      </c>
      <c r="AD298" s="7" t="str">
        <f>IF(29&gt;=120,('Testes estatísticos'!$D$125+'Testes estatísticos'!$D$34)/2,"")</f>
        <v/>
      </c>
      <c r="AE298" s="7" t="str">
        <f>IF(30&gt;=120,('Testes estatísticos'!$D$125+'Testes estatísticos'!$D$35)/2,"")</f>
        <v/>
      </c>
      <c r="AF298" s="7" t="str">
        <f>IF(31&gt;=120,('Testes estatísticos'!$D$125+'Testes estatísticos'!$D$36)/2,"")</f>
        <v/>
      </c>
      <c r="AG298" s="7" t="str">
        <f>IF(32&gt;=120,('Testes estatísticos'!$D$125+'Testes estatísticos'!$D$37)/2,"")</f>
        <v/>
      </c>
      <c r="AH298" s="7" t="str">
        <f>IF(33&gt;=120,('Testes estatísticos'!$D$125+'Testes estatísticos'!$D$38)/2,"")</f>
        <v/>
      </c>
      <c r="AI298" s="7" t="str">
        <f>IF(34&gt;=120,('Testes estatísticos'!$D$125+'Testes estatísticos'!$D$39)/2,"")</f>
        <v/>
      </c>
      <c r="AJ298" s="7" t="str">
        <f>IF(35&gt;=120,('Testes estatísticos'!$D$125+'Testes estatísticos'!$D$40)/2,"")</f>
        <v/>
      </c>
      <c r="AK298" s="7" t="str">
        <f>IF(36&gt;=120,('Testes estatísticos'!$D$125+'Testes estatísticos'!$D$41)/2,"")</f>
        <v/>
      </c>
      <c r="AL298" s="7" t="str">
        <f>IF(37&gt;=120,('Testes estatísticos'!$D$125+'Testes estatísticos'!$D$42)/2,"")</f>
        <v/>
      </c>
      <c r="AM298" s="7" t="str">
        <f>IF(38&gt;=120,('Testes estatísticos'!$D$125+'Testes estatísticos'!$D$43)/2,"")</f>
        <v/>
      </c>
      <c r="AN298" s="7" t="str">
        <f>IF(39&gt;=120,('Testes estatísticos'!$D$125+'Testes estatísticos'!$D$44)/2,"")</f>
        <v/>
      </c>
      <c r="AO298" s="7" t="str">
        <f>IF(40&gt;=120,('Testes estatísticos'!$D$125+'Testes estatísticos'!$D$45)/2,"")</f>
        <v/>
      </c>
      <c r="AP298" s="7" t="str">
        <f>IF(41&gt;=120,('Testes estatísticos'!$D$125+'Testes estatísticos'!$D$46)/2,"")</f>
        <v/>
      </c>
      <c r="AQ298" s="7" t="str">
        <f>IF(42&gt;=120,('Testes estatísticos'!$D$125+'Testes estatísticos'!$D$47)/2,"")</f>
        <v/>
      </c>
      <c r="AR298" s="7" t="str">
        <f>IF(43&gt;=120,('Testes estatísticos'!$D$125+'Testes estatísticos'!$D$48)/2,"")</f>
        <v/>
      </c>
      <c r="AS298" s="7" t="str">
        <f>IF(44&gt;=120,('Testes estatísticos'!$D$125+'Testes estatísticos'!$D$49)/2,"")</f>
        <v/>
      </c>
      <c r="AT298" s="7" t="str">
        <f>IF(45&gt;=120,('Testes estatísticos'!$D$125+'Testes estatísticos'!$D$50)/2,"")</f>
        <v/>
      </c>
      <c r="AU298" s="7" t="str">
        <f>IF(46&gt;=120,('Testes estatísticos'!$D$125+'Testes estatísticos'!$D$51)/2,"")</f>
        <v/>
      </c>
      <c r="AV298" s="7" t="str">
        <f>IF(47&gt;=120,('Testes estatísticos'!$D$125+'Testes estatísticos'!$D$52)/2,"")</f>
        <v/>
      </c>
      <c r="AW298" s="7" t="str">
        <f>IF(48&gt;=120,('Testes estatísticos'!$D$125+'Testes estatísticos'!$D$53)/2,"")</f>
        <v/>
      </c>
      <c r="AX298" s="7" t="str">
        <f>IF(49&gt;=120,('Testes estatísticos'!$D$125+'Testes estatísticos'!$D$54)/2,"")</f>
        <v/>
      </c>
      <c r="AY298" s="7" t="str">
        <f>IF(50&gt;=120,('Testes estatísticos'!$D$125+'Testes estatísticos'!$D$55)/2,"")</f>
        <v/>
      </c>
      <c r="AZ298" s="7" t="str">
        <f>IF(51&gt;=120,('Testes estatísticos'!$D$125+'Testes estatísticos'!$D$56)/2,"")</f>
        <v/>
      </c>
      <c r="BA298" s="7" t="str">
        <f>IF(52&gt;=120,('Testes estatísticos'!$D$125+'Testes estatísticos'!$D$57)/2,"")</f>
        <v/>
      </c>
      <c r="BB298" s="7" t="str">
        <f>IF(53&gt;=120,('Testes estatísticos'!$D$125+'Testes estatísticos'!$D$58)/2,"")</f>
        <v/>
      </c>
      <c r="BC298" s="7" t="str">
        <f>IF(54&gt;=120,('Testes estatísticos'!$D$125+'Testes estatísticos'!$D$59)/2,"")</f>
        <v/>
      </c>
      <c r="BD298" s="7" t="str">
        <f>IF(55&gt;=120,('Testes estatísticos'!$D$125+'Testes estatísticos'!$D$60)/2,"")</f>
        <v/>
      </c>
      <c r="BE298" s="7" t="str">
        <f>IF(56&gt;=120,('Testes estatísticos'!$D$125+'Testes estatísticos'!$D$61)/2,"")</f>
        <v/>
      </c>
      <c r="BF298" s="7" t="str">
        <f>IF(57&gt;=120,('Testes estatísticos'!$D$125+'Testes estatísticos'!$D$62)/2,"")</f>
        <v/>
      </c>
      <c r="BG298" s="7" t="str">
        <f>IF(58&gt;=120,('Testes estatísticos'!$D$125+'Testes estatísticos'!$D$63)/2,"")</f>
        <v/>
      </c>
      <c r="BH298" s="7" t="str">
        <f>IF(59&gt;=120,('Testes estatísticos'!$D$125+'Testes estatísticos'!$D$64)/2,"")</f>
        <v/>
      </c>
      <c r="BI298" s="7" t="str">
        <f>IF(60&gt;=120,('Testes estatísticos'!$D$125+'Testes estatísticos'!$D$65)/2,"")</f>
        <v/>
      </c>
      <c r="BJ298" s="7" t="str">
        <f>IF(61&gt;=120,('Testes estatísticos'!$D$125+'Testes estatísticos'!$D$66)/2,"")</f>
        <v/>
      </c>
      <c r="BK298" s="7" t="str">
        <f>IF(62&gt;=120,('Testes estatísticos'!$D$125+'Testes estatísticos'!$D$67)/2,"")</f>
        <v/>
      </c>
      <c r="BL298" s="7" t="str">
        <f>IF(63&gt;=120,('Testes estatísticos'!$D$125+'Testes estatísticos'!$D$68)/2,"")</f>
        <v/>
      </c>
      <c r="BM298" s="7" t="str">
        <f>IF(64&gt;=120,('Testes estatísticos'!$D$125+'Testes estatísticos'!$D$69)/2,"")</f>
        <v/>
      </c>
      <c r="BN298" s="7" t="str">
        <f>IF(65&gt;=120,('Testes estatísticos'!$D$125+'Testes estatísticos'!$D$70)/2,"")</f>
        <v/>
      </c>
      <c r="BO298" s="7" t="str">
        <f>IF(66&gt;=120,('Testes estatísticos'!$D$125+'Testes estatísticos'!$D$71)/2,"")</f>
        <v/>
      </c>
      <c r="BP298" s="7" t="str">
        <f>IF(67&gt;=120,('Testes estatísticos'!$D$125+'Testes estatísticos'!$D$72)/2,"")</f>
        <v/>
      </c>
      <c r="BQ298" s="7" t="str">
        <f>IF(68&gt;=120,('Testes estatísticos'!$D$125+'Testes estatísticos'!$D$73)/2,"")</f>
        <v/>
      </c>
      <c r="BR298" s="7" t="str">
        <f>IF(69&gt;=120,('Testes estatísticos'!$D$125+'Testes estatísticos'!$D$74)/2,"")</f>
        <v/>
      </c>
      <c r="BS298" s="7" t="str">
        <f>IF(70&gt;=120,('Testes estatísticos'!$D$125+'Testes estatísticos'!$D$75)/2,"")</f>
        <v/>
      </c>
      <c r="BT298" s="7" t="str">
        <f>IF(71&gt;=120,('Testes estatísticos'!$D$125+'Testes estatísticos'!$D$76)/2,"")</f>
        <v/>
      </c>
      <c r="BU298" s="7" t="str">
        <f>IF(72&gt;=120,('Testes estatísticos'!$D$125+'Testes estatísticos'!$D$77)/2,"")</f>
        <v/>
      </c>
      <c r="BV298" s="7" t="str">
        <f>IF(73&gt;=120,('Testes estatísticos'!$D$125+'Testes estatísticos'!$D$78)/2,"")</f>
        <v/>
      </c>
      <c r="BW298" s="7" t="str">
        <f>IF(74&gt;=120,('Testes estatísticos'!$D$125+'Testes estatísticos'!$D$79)/2,"")</f>
        <v/>
      </c>
      <c r="BX298" s="7" t="str">
        <f>IF(75&gt;=120,('Testes estatísticos'!$D$125+'Testes estatísticos'!$D$80)/2,"")</f>
        <v/>
      </c>
      <c r="BY298" s="7" t="str">
        <f>IF(76&gt;=120,('Testes estatísticos'!$D$125+'Testes estatísticos'!$D$81)/2,"")</f>
        <v/>
      </c>
      <c r="BZ298" s="7" t="str">
        <f>IF(77&gt;=120,('Testes estatísticos'!$D$125+'Testes estatísticos'!$D$82)/2,"")</f>
        <v/>
      </c>
      <c r="CA298" s="7" t="str">
        <f>IF(78&gt;=120,('Testes estatísticos'!$D$125+'Testes estatísticos'!$D$83)/2,"")</f>
        <v/>
      </c>
      <c r="CB298" s="7" t="str">
        <f>IF(79&gt;=120,('Testes estatísticos'!$D$125+'Testes estatísticos'!$D$84)/2,"")</f>
        <v/>
      </c>
      <c r="CC298" s="7" t="str">
        <f>IF(80&gt;=120,('Testes estatísticos'!$D$125+'Testes estatísticos'!$D$85)/2,"")</f>
        <v/>
      </c>
      <c r="CD298" s="7" t="str">
        <f>IF(81&gt;=120,('Testes estatísticos'!$D$125+'Testes estatísticos'!$D$86)/2,"")</f>
        <v/>
      </c>
      <c r="CE298" s="7" t="str">
        <f>IF(82&gt;=120,('Testes estatísticos'!$D$125+'Testes estatísticos'!$D$87)/2,"")</f>
        <v/>
      </c>
      <c r="CF298" s="7" t="str">
        <f>IF(83&gt;=120,('Testes estatísticos'!$D$125+'Testes estatísticos'!$D$88)/2,"")</f>
        <v/>
      </c>
      <c r="CG298" s="7" t="str">
        <f>IF(84&gt;=120,('Testes estatísticos'!$D$125+'Testes estatísticos'!$D$89)/2,"")</f>
        <v/>
      </c>
      <c r="CH298" s="7" t="str">
        <f>IF(85&gt;=120,('Testes estatísticos'!$D$125+'Testes estatísticos'!$D$90)/2,"")</f>
        <v/>
      </c>
      <c r="CI298" s="7" t="str">
        <f>IF(86&gt;=120,('Testes estatísticos'!$D$125+'Testes estatísticos'!$D$91)/2,"")</f>
        <v/>
      </c>
      <c r="CJ298" s="7" t="str">
        <f>IF(87&gt;=120,('Testes estatísticos'!$D$125+'Testes estatísticos'!$D$92)/2,"")</f>
        <v/>
      </c>
      <c r="CK298" s="7" t="str">
        <f>IF(88&gt;=120,('Testes estatísticos'!$D$125+'Testes estatísticos'!$D$93)/2,"")</f>
        <v/>
      </c>
      <c r="CL298" s="7" t="str">
        <f>IF(89&gt;=120,('Testes estatísticos'!$D$125+'Testes estatísticos'!$D$94)/2,"")</f>
        <v/>
      </c>
      <c r="CM298" s="7" t="str">
        <f>IF(90&gt;=120,('Testes estatísticos'!$D$125+'Testes estatísticos'!$D$95)/2,"")</f>
        <v/>
      </c>
      <c r="CN298" s="7" t="str">
        <f>IF(91&gt;=120,('Testes estatísticos'!$D$125+'Testes estatísticos'!$D$96)/2,"")</f>
        <v/>
      </c>
      <c r="CO298" s="7" t="str">
        <f>IF(92&gt;=120,('Testes estatísticos'!$D$125+'Testes estatísticos'!$D$97)/2,"")</f>
        <v/>
      </c>
      <c r="CP298" s="7" t="str">
        <f>IF(93&gt;=120,('Testes estatísticos'!$D$125+'Testes estatísticos'!$D$98)/2,"")</f>
        <v/>
      </c>
      <c r="CQ298" s="7" t="str">
        <f>IF(94&gt;=120,('Testes estatísticos'!$D$125+'Testes estatísticos'!$D$99)/2,"")</f>
        <v/>
      </c>
      <c r="CR298" s="7" t="str">
        <f>IF(95&gt;=120,('Testes estatísticos'!$D$125+'Testes estatísticos'!$D$100)/2,"")</f>
        <v/>
      </c>
      <c r="CS298" s="7" t="str">
        <f>IF(96&gt;=120,('Testes estatísticos'!$D$125+'Testes estatísticos'!$D$101)/2,"")</f>
        <v/>
      </c>
      <c r="CT298" s="7" t="str">
        <f>IF(97&gt;=120,('Testes estatísticos'!$D$125+'Testes estatísticos'!$D$102)/2,"")</f>
        <v/>
      </c>
      <c r="CU298" s="7" t="str">
        <f>IF(98&gt;=120,('Testes estatísticos'!$D$125+'Testes estatísticos'!$D$103)/2,"")</f>
        <v/>
      </c>
      <c r="CV298" s="7" t="str">
        <f>IF(99&gt;=120,('Testes estatísticos'!$D$125+'Testes estatísticos'!$D$104)/2,"")</f>
        <v/>
      </c>
      <c r="CW298" s="7" t="str">
        <f>IF(100&gt;=120,('Testes estatísticos'!$D$125+'Testes estatísticos'!$D$105)/2,"")</f>
        <v/>
      </c>
      <c r="CX298" s="7" t="str">
        <f>IF(101&gt;=120,('Testes estatísticos'!$D$125+'Testes estatísticos'!$D$106)/2,"")</f>
        <v/>
      </c>
      <c r="CY298" s="7" t="str">
        <f>IF(102&gt;=120,('Testes estatísticos'!$D$125+'Testes estatísticos'!$D$107)/2,"")</f>
        <v/>
      </c>
      <c r="CZ298" s="7" t="str">
        <f>IF(103&gt;=120,('Testes estatísticos'!$D$125+'Testes estatísticos'!$D$108)/2,"")</f>
        <v/>
      </c>
      <c r="DA298" s="7" t="str">
        <f>IF(104&gt;=120,('Testes estatísticos'!$D$125+'Testes estatísticos'!$D$109)/2,"")</f>
        <v/>
      </c>
      <c r="DB298" s="7" t="str">
        <f>IF(105&gt;=120,('Testes estatísticos'!$D$125+'Testes estatísticos'!$D$110)/2,"")</f>
        <v/>
      </c>
      <c r="DC298" s="7" t="str">
        <f>IF(106&gt;=120,('Testes estatísticos'!$D$125+'Testes estatísticos'!$D$111)/2,"")</f>
        <v/>
      </c>
      <c r="DD298" s="7" t="str">
        <f>IF(107&gt;=120,('Testes estatísticos'!$D$125+'Testes estatísticos'!$D$112)/2,"")</f>
        <v/>
      </c>
      <c r="DE298" s="7" t="str">
        <f>IF(108&gt;=120,('Testes estatísticos'!$D$125+'Testes estatísticos'!$D$113)/2,"")</f>
        <v/>
      </c>
      <c r="DF298" s="7" t="str">
        <f>IF(109&gt;=120,('Testes estatísticos'!$D$125+'Testes estatísticos'!$D$114)/2,"")</f>
        <v/>
      </c>
      <c r="DG298" s="7" t="str">
        <f>IF(110&gt;=120,('Testes estatísticos'!$D$125+'Testes estatísticos'!$D$115)/2,"")</f>
        <v/>
      </c>
      <c r="DH298" s="7" t="str">
        <f>IF(111&gt;=120,('Testes estatísticos'!$D$125+'Testes estatísticos'!$D$116)/2,"")</f>
        <v/>
      </c>
      <c r="DI298" s="7" t="str">
        <f>IF(112&gt;=120,('Testes estatísticos'!$D$125+'Testes estatísticos'!$D$117)/2,"")</f>
        <v/>
      </c>
      <c r="DJ298" s="7" t="str">
        <f>IF(113&gt;=120,('Testes estatísticos'!$D$125+'Testes estatísticos'!$D$118)/2,"")</f>
        <v/>
      </c>
      <c r="DK298" s="7" t="str">
        <f>IF(114&gt;=120,('Testes estatísticos'!$D$125+'Testes estatísticos'!$D$119)/2,"")</f>
        <v/>
      </c>
      <c r="DL298" s="7" t="str">
        <f>IF(115&gt;=120,('Testes estatísticos'!$D$125+'Testes estatísticos'!$D$120)/2,"")</f>
        <v/>
      </c>
      <c r="DM298" s="7" t="str">
        <f>IF(116&gt;=120,('Testes estatísticos'!$D$125+'Testes estatísticos'!$D$121)/2,"")</f>
        <v/>
      </c>
      <c r="DN298" s="7" t="str">
        <f>IF(117&gt;=120,('Testes estatísticos'!$D$125+'Testes estatísticos'!$D$122)/2,"")</f>
        <v/>
      </c>
      <c r="DO298" s="7" t="str">
        <f>IF(118&gt;=120,('Testes estatísticos'!$D$125+'Testes estatísticos'!$D$123)/2,"")</f>
        <v/>
      </c>
      <c r="DP298" s="7" t="str">
        <f>IF(119&gt;=120,('Testes estatísticos'!$D$125+'Testes estatísticos'!$D$124)/2,"")</f>
        <v/>
      </c>
      <c r="DQ298" s="7">
        <f>IF(120&gt;=120,('Testes estatísticos'!$D$125+'Testes estatísticos'!$D$125)/2,"")</f>
        <v>4.0781770000000037</v>
      </c>
      <c r="DR298" s="7">
        <f>IF(121&gt;=120,('Testes estatísticos'!$D$125+'Testes estatísticos'!$D$126)/2,"")</f>
        <v>1.2891605000000013</v>
      </c>
      <c r="DS298" s="7">
        <f>IF(122&gt;=120,('Testes estatísticos'!$D$125+'Testes estatísticos'!$D$127)/2,"")</f>
        <v>0.22375200000000461</v>
      </c>
      <c r="DT298" s="7">
        <f>IF(123&gt;=120,('Testes estatísticos'!$D$125+'Testes estatísticos'!$D$128)/2,"")</f>
        <v>6.2926214999999992</v>
      </c>
      <c r="DU298" s="7">
        <f>IF(124&gt;=120,('Testes estatísticos'!$D$125+'Testes estatísticos'!$D$129)/2,"")</f>
        <v>1.3968500000000006</v>
      </c>
      <c r="DV298" s="7">
        <f>IF(125&gt;=120,('Testes estatísticos'!$D$125+'Testes estatísticos'!$D$130)/2,"")</f>
        <v>2.5551575</v>
      </c>
      <c r="DW298" s="7">
        <f>IF(126&gt;=120,('Testes estatísticos'!$D$125+'Testes estatísticos'!$D$131)/2,"")</f>
        <v>0.15168150000000225</v>
      </c>
      <c r="DX298" s="7">
        <f>IF(127&gt;=120,('Testes estatísticos'!$D$125+'Testes estatísticos'!$D$132)/2,"")</f>
        <v>-1.9045099999999984</v>
      </c>
      <c r="DY298" s="7">
        <f>IF(128&gt;=120,('Testes estatísticos'!$D$125+'Testes estatísticos'!$D$133)/2,"")</f>
        <v>-2.2455994999999973</v>
      </c>
      <c r="DZ298" s="7">
        <f>IF(129&gt;=120,('Testes estatísticos'!$D$125+'Testes estatísticos'!$D$134)/2,"")</f>
        <v>-5.6693894999999976</v>
      </c>
      <c r="EA298" s="7">
        <f>IF(130&gt;=120,('Testes estatísticos'!$D$125+'Testes estatísticos'!$D$135)/2,"")</f>
        <v>9.2380500000004417E-2</v>
      </c>
      <c r="EB298" s="7">
        <f>IF(131&gt;=120,('Testes estatísticos'!$D$125+'Testes estatísticos'!$D$136)/2,"")</f>
        <v>0.18025349999999918</v>
      </c>
      <c r="EC298" s="7">
        <f>IF(132&gt;=120,('Testes estatísticos'!$D$125+'Testes estatísticos'!$D$137)/2,"")</f>
        <v>-1.3064830000000001</v>
      </c>
      <c r="ED298" s="7">
        <f>IF(133&gt;=120,('Testes estatísticos'!$D$125+'Testes estatísticos'!$D$138)/2,"")</f>
        <v>0.88245450000000147</v>
      </c>
      <c r="EE298" s="7">
        <f>IF(134&gt;=120,('Testes estatísticos'!$D$125+'Testes estatísticos'!$D$139)/2,"")</f>
        <v>-1.4147360000000013</v>
      </c>
      <c r="EF298" s="7">
        <f>IF(135&gt;=120,('Testes estatísticos'!$D$125+'Testes estatísticos'!$D$140)/2,"")</f>
        <v>1.7996965000000031</v>
      </c>
      <c r="EG298" s="7">
        <f>IF(136&gt;=120,('Testes estatísticos'!$D$125+'Testes estatísticos'!$D$141)/2,"")</f>
        <v>0.10620649999999898</v>
      </c>
      <c r="EH298" s="7">
        <f>IF(137&gt;=120,('Testes estatísticos'!$D$125+'Testes estatísticos'!$D$142)/2,"")</f>
        <v>1.8109465</v>
      </c>
      <c r="EI298" s="7">
        <f>IF(138&gt;=120,('Testes estatísticos'!$D$125+'Testes estatísticos'!$D$143)/2,"")</f>
        <v>0.14593100000000447</v>
      </c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</row>
    <row r="299" spans="2:151" x14ac:dyDescent="0.3">
      <c r="B299" s="7" t="str">
        <f>IF(1&gt;=121,('Testes estatísticos'!$D$126+'Testes estatísticos'!$D$6)/2,"")</f>
        <v/>
      </c>
      <c r="C299" s="7" t="str">
        <f>IF(2&gt;=121,('Testes estatísticos'!$D$126+'Testes estatísticos'!$D$7)/2,"")</f>
        <v/>
      </c>
      <c r="D299" s="7" t="str">
        <f>IF(3&gt;=121,('Testes estatísticos'!$D$126+'Testes estatísticos'!$D$8)/2,"")</f>
        <v/>
      </c>
      <c r="E299" s="7" t="str">
        <f>IF(4&gt;=121,('Testes estatísticos'!$D$126+'Testes estatísticos'!$D$9)/2,"")</f>
        <v/>
      </c>
      <c r="F299" s="7" t="str">
        <f>IF(5&gt;=121,('Testes estatísticos'!$D$126+'Testes estatísticos'!$D$10)/2,"")</f>
        <v/>
      </c>
      <c r="G299" s="7" t="str">
        <f>IF(6&gt;=121,('Testes estatísticos'!$D$126+'Testes estatísticos'!$D$11)/2,"")</f>
        <v/>
      </c>
      <c r="H299" s="7" t="str">
        <f>IF(7&gt;=121,('Testes estatísticos'!$D$126+'Testes estatísticos'!$D$12)/2,"")</f>
        <v/>
      </c>
      <c r="I299" s="7" t="str">
        <f>IF(8&gt;=121,('Testes estatísticos'!$D$126+'Testes estatísticos'!$D$13)/2,"")</f>
        <v/>
      </c>
      <c r="J299" s="7" t="str">
        <f>IF(9&gt;=121,('Testes estatísticos'!$D$126+'Testes estatísticos'!$D$14)/2,"")</f>
        <v/>
      </c>
      <c r="K299" s="7" t="str">
        <f>IF(10&gt;=121,('Testes estatísticos'!$D$126+'Testes estatísticos'!$D$15)/2,"")</f>
        <v/>
      </c>
      <c r="L299" s="7" t="str">
        <f>IF(11&gt;=121,('Testes estatísticos'!$D$126+'Testes estatísticos'!$D$16)/2,"")</f>
        <v/>
      </c>
      <c r="M299" s="7" t="str">
        <f>IF(12&gt;=121,('Testes estatísticos'!$D$126+'Testes estatísticos'!$D$17)/2,"")</f>
        <v/>
      </c>
      <c r="N299" s="7" t="str">
        <f>IF(13&gt;=121,('Testes estatísticos'!$D$126+'Testes estatísticos'!$D$18)/2,"")</f>
        <v/>
      </c>
      <c r="O299" s="7" t="str">
        <f>IF(14&gt;=121,('Testes estatísticos'!$D$126+'Testes estatísticos'!$D$19)/2,"")</f>
        <v/>
      </c>
      <c r="P299" s="7" t="str">
        <f>IF(15&gt;=121,('Testes estatísticos'!$D$126+'Testes estatísticos'!$D$20)/2,"")</f>
        <v/>
      </c>
      <c r="Q299" s="7" t="str">
        <f>IF(16&gt;=121,('Testes estatísticos'!$D$126+'Testes estatísticos'!$D$21)/2,"")</f>
        <v/>
      </c>
      <c r="R299" s="7" t="str">
        <f>IF(17&gt;=121,('Testes estatísticos'!$D$126+'Testes estatísticos'!$D$22)/2,"")</f>
        <v/>
      </c>
      <c r="S299" s="7" t="str">
        <f>IF(18&gt;=121,('Testes estatísticos'!$D$126+'Testes estatísticos'!$D$23)/2,"")</f>
        <v/>
      </c>
      <c r="T299" s="7" t="str">
        <f>IF(19&gt;=121,('Testes estatísticos'!$D$126+'Testes estatísticos'!$D$24)/2,"")</f>
        <v/>
      </c>
      <c r="U299" s="7" t="str">
        <f>IF(20&gt;=121,('Testes estatísticos'!$D$126+'Testes estatísticos'!$D$25)/2,"")</f>
        <v/>
      </c>
      <c r="V299" s="7" t="str">
        <f>IF(21&gt;=121,('Testes estatísticos'!$D$126+'Testes estatísticos'!$D$26)/2,"")</f>
        <v/>
      </c>
      <c r="W299" s="7" t="str">
        <f>IF(22&gt;=121,('Testes estatísticos'!$D$126+'Testes estatísticos'!$D$27)/2,"")</f>
        <v/>
      </c>
      <c r="X299" s="7" t="str">
        <f>IF(23&gt;=121,('Testes estatísticos'!$D$126+'Testes estatísticos'!$D$28)/2,"")</f>
        <v/>
      </c>
      <c r="Y299" s="7" t="str">
        <f>IF(24&gt;=121,('Testes estatísticos'!$D$126+'Testes estatísticos'!$D$29)/2,"")</f>
        <v/>
      </c>
      <c r="Z299" s="7" t="str">
        <f>IF(25&gt;=121,('Testes estatísticos'!$D$126+'Testes estatísticos'!$D$30)/2,"")</f>
        <v/>
      </c>
      <c r="AA299" s="7" t="str">
        <f>IF(26&gt;=121,('Testes estatísticos'!$D$126+'Testes estatísticos'!$D$31)/2,"")</f>
        <v/>
      </c>
      <c r="AB299" s="7" t="str">
        <f>IF(27&gt;=121,('Testes estatísticos'!$D$126+'Testes estatísticos'!$D$32)/2,"")</f>
        <v/>
      </c>
      <c r="AC299" s="7" t="str">
        <f>IF(28&gt;=121,('Testes estatísticos'!$D$126+'Testes estatísticos'!$D$33)/2,"")</f>
        <v/>
      </c>
      <c r="AD299" s="7" t="str">
        <f>IF(29&gt;=121,('Testes estatísticos'!$D$126+'Testes estatísticos'!$D$34)/2,"")</f>
        <v/>
      </c>
      <c r="AE299" s="7" t="str">
        <f>IF(30&gt;=121,('Testes estatísticos'!$D$126+'Testes estatísticos'!$D$35)/2,"")</f>
        <v/>
      </c>
      <c r="AF299" s="7" t="str">
        <f>IF(31&gt;=121,('Testes estatísticos'!$D$126+'Testes estatísticos'!$D$36)/2,"")</f>
        <v/>
      </c>
      <c r="AG299" s="7" t="str">
        <f>IF(32&gt;=121,('Testes estatísticos'!$D$126+'Testes estatísticos'!$D$37)/2,"")</f>
        <v/>
      </c>
      <c r="AH299" s="7" t="str">
        <f>IF(33&gt;=121,('Testes estatísticos'!$D$126+'Testes estatísticos'!$D$38)/2,"")</f>
        <v/>
      </c>
      <c r="AI299" s="7" t="str">
        <f>IF(34&gt;=121,('Testes estatísticos'!$D$126+'Testes estatísticos'!$D$39)/2,"")</f>
        <v/>
      </c>
      <c r="AJ299" s="7" t="str">
        <f>IF(35&gt;=121,('Testes estatísticos'!$D$126+'Testes estatísticos'!$D$40)/2,"")</f>
        <v/>
      </c>
      <c r="AK299" s="7" t="str">
        <f>IF(36&gt;=121,('Testes estatísticos'!$D$126+'Testes estatísticos'!$D$41)/2,"")</f>
        <v/>
      </c>
      <c r="AL299" s="7" t="str">
        <f>IF(37&gt;=121,('Testes estatísticos'!$D$126+'Testes estatísticos'!$D$42)/2,"")</f>
        <v/>
      </c>
      <c r="AM299" s="7" t="str">
        <f>IF(38&gt;=121,('Testes estatísticos'!$D$126+'Testes estatísticos'!$D$43)/2,"")</f>
        <v/>
      </c>
      <c r="AN299" s="7" t="str">
        <f>IF(39&gt;=121,('Testes estatísticos'!$D$126+'Testes estatísticos'!$D$44)/2,"")</f>
        <v/>
      </c>
      <c r="AO299" s="7" t="str">
        <f>IF(40&gt;=121,('Testes estatísticos'!$D$126+'Testes estatísticos'!$D$45)/2,"")</f>
        <v/>
      </c>
      <c r="AP299" s="7" t="str">
        <f>IF(41&gt;=121,('Testes estatísticos'!$D$126+'Testes estatísticos'!$D$46)/2,"")</f>
        <v/>
      </c>
      <c r="AQ299" s="7" t="str">
        <f>IF(42&gt;=121,('Testes estatísticos'!$D$126+'Testes estatísticos'!$D$47)/2,"")</f>
        <v/>
      </c>
      <c r="AR299" s="7" t="str">
        <f>IF(43&gt;=121,('Testes estatísticos'!$D$126+'Testes estatísticos'!$D$48)/2,"")</f>
        <v/>
      </c>
      <c r="AS299" s="7" t="str">
        <f>IF(44&gt;=121,('Testes estatísticos'!$D$126+'Testes estatísticos'!$D$49)/2,"")</f>
        <v/>
      </c>
      <c r="AT299" s="7" t="str">
        <f>IF(45&gt;=121,('Testes estatísticos'!$D$126+'Testes estatísticos'!$D$50)/2,"")</f>
        <v/>
      </c>
      <c r="AU299" s="7" t="str">
        <f>IF(46&gt;=121,('Testes estatísticos'!$D$126+'Testes estatísticos'!$D$51)/2,"")</f>
        <v/>
      </c>
      <c r="AV299" s="7" t="str">
        <f>IF(47&gt;=121,('Testes estatísticos'!$D$126+'Testes estatísticos'!$D$52)/2,"")</f>
        <v/>
      </c>
      <c r="AW299" s="7" t="str">
        <f>IF(48&gt;=121,('Testes estatísticos'!$D$126+'Testes estatísticos'!$D$53)/2,"")</f>
        <v/>
      </c>
      <c r="AX299" s="7" t="str">
        <f>IF(49&gt;=121,('Testes estatísticos'!$D$126+'Testes estatísticos'!$D$54)/2,"")</f>
        <v/>
      </c>
      <c r="AY299" s="7" t="str">
        <f>IF(50&gt;=121,('Testes estatísticos'!$D$126+'Testes estatísticos'!$D$55)/2,"")</f>
        <v/>
      </c>
      <c r="AZ299" s="7" t="str">
        <f>IF(51&gt;=121,('Testes estatísticos'!$D$126+'Testes estatísticos'!$D$56)/2,"")</f>
        <v/>
      </c>
      <c r="BA299" s="7" t="str">
        <f>IF(52&gt;=121,('Testes estatísticos'!$D$126+'Testes estatísticos'!$D$57)/2,"")</f>
        <v/>
      </c>
      <c r="BB299" s="7" t="str">
        <f>IF(53&gt;=121,('Testes estatísticos'!$D$126+'Testes estatísticos'!$D$58)/2,"")</f>
        <v/>
      </c>
      <c r="BC299" s="7" t="str">
        <f>IF(54&gt;=121,('Testes estatísticos'!$D$126+'Testes estatísticos'!$D$59)/2,"")</f>
        <v/>
      </c>
      <c r="BD299" s="7" t="str">
        <f>IF(55&gt;=121,('Testes estatísticos'!$D$126+'Testes estatísticos'!$D$60)/2,"")</f>
        <v/>
      </c>
      <c r="BE299" s="7" t="str">
        <f>IF(56&gt;=121,('Testes estatísticos'!$D$126+'Testes estatísticos'!$D$61)/2,"")</f>
        <v/>
      </c>
      <c r="BF299" s="7" t="str">
        <f>IF(57&gt;=121,('Testes estatísticos'!$D$126+'Testes estatísticos'!$D$62)/2,"")</f>
        <v/>
      </c>
      <c r="BG299" s="7" t="str">
        <f>IF(58&gt;=121,('Testes estatísticos'!$D$126+'Testes estatísticos'!$D$63)/2,"")</f>
        <v/>
      </c>
      <c r="BH299" s="7" t="str">
        <f>IF(59&gt;=121,('Testes estatísticos'!$D$126+'Testes estatísticos'!$D$64)/2,"")</f>
        <v/>
      </c>
      <c r="BI299" s="7" t="str">
        <f>IF(60&gt;=121,('Testes estatísticos'!$D$126+'Testes estatísticos'!$D$65)/2,"")</f>
        <v/>
      </c>
      <c r="BJ299" s="7" t="str">
        <f>IF(61&gt;=121,('Testes estatísticos'!$D$126+'Testes estatísticos'!$D$66)/2,"")</f>
        <v/>
      </c>
      <c r="BK299" s="7" t="str">
        <f>IF(62&gt;=121,('Testes estatísticos'!$D$126+'Testes estatísticos'!$D$67)/2,"")</f>
        <v/>
      </c>
      <c r="BL299" s="7" t="str">
        <f>IF(63&gt;=121,('Testes estatísticos'!$D$126+'Testes estatísticos'!$D$68)/2,"")</f>
        <v/>
      </c>
      <c r="BM299" s="7" t="str">
        <f>IF(64&gt;=121,('Testes estatísticos'!$D$126+'Testes estatísticos'!$D$69)/2,"")</f>
        <v/>
      </c>
      <c r="BN299" s="7" t="str">
        <f>IF(65&gt;=121,('Testes estatísticos'!$D$126+'Testes estatísticos'!$D$70)/2,"")</f>
        <v/>
      </c>
      <c r="BO299" s="7" t="str">
        <f>IF(66&gt;=121,('Testes estatísticos'!$D$126+'Testes estatísticos'!$D$71)/2,"")</f>
        <v/>
      </c>
      <c r="BP299" s="7" t="str">
        <f>IF(67&gt;=121,('Testes estatísticos'!$D$126+'Testes estatísticos'!$D$72)/2,"")</f>
        <v/>
      </c>
      <c r="BQ299" s="7" t="str">
        <f>IF(68&gt;=121,('Testes estatísticos'!$D$126+'Testes estatísticos'!$D$73)/2,"")</f>
        <v/>
      </c>
      <c r="BR299" s="7" t="str">
        <f>IF(69&gt;=121,('Testes estatísticos'!$D$126+'Testes estatísticos'!$D$74)/2,"")</f>
        <v/>
      </c>
      <c r="BS299" s="7" t="str">
        <f>IF(70&gt;=121,('Testes estatísticos'!$D$126+'Testes estatísticos'!$D$75)/2,"")</f>
        <v/>
      </c>
      <c r="BT299" s="7" t="str">
        <f>IF(71&gt;=121,('Testes estatísticos'!$D$126+'Testes estatísticos'!$D$76)/2,"")</f>
        <v/>
      </c>
      <c r="BU299" s="7" t="str">
        <f>IF(72&gt;=121,('Testes estatísticos'!$D$126+'Testes estatísticos'!$D$77)/2,"")</f>
        <v/>
      </c>
      <c r="BV299" s="7" t="str">
        <f>IF(73&gt;=121,('Testes estatísticos'!$D$126+'Testes estatísticos'!$D$78)/2,"")</f>
        <v/>
      </c>
      <c r="BW299" s="7" t="str">
        <f>IF(74&gt;=121,('Testes estatísticos'!$D$126+'Testes estatísticos'!$D$79)/2,"")</f>
        <v/>
      </c>
      <c r="BX299" s="7" t="str">
        <f>IF(75&gt;=121,('Testes estatísticos'!$D$126+'Testes estatísticos'!$D$80)/2,"")</f>
        <v/>
      </c>
      <c r="BY299" s="7" t="str">
        <f>IF(76&gt;=121,('Testes estatísticos'!$D$126+'Testes estatísticos'!$D$81)/2,"")</f>
        <v/>
      </c>
      <c r="BZ299" s="7" t="str">
        <f>IF(77&gt;=121,('Testes estatísticos'!$D$126+'Testes estatísticos'!$D$82)/2,"")</f>
        <v/>
      </c>
      <c r="CA299" s="7" t="str">
        <f>IF(78&gt;=121,('Testes estatísticos'!$D$126+'Testes estatísticos'!$D$83)/2,"")</f>
        <v/>
      </c>
      <c r="CB299" s="7" t="str">
        <f>IF(79&gt;=121,('Testes estatísticos'!$D$126+'Testes estatísticos'!$D$84)/2,"")</f>
        <v/>
      </c>
      <c r="CC299" s="7" t="str">
        <f>IF(80&gt;=121,('Testes estatísticos'!$D$126+'Testes estatísticos'!$D$85)/2,"")</f>
        <v/>
      </c>
      <c r="CD299" s="7" t="str">
        <f>IF(81&gt;=121,('Testes estatísticos'!$D$126+'Testes estatísticos'!$D$86)/2,"")</f>
        <v/>
      </c>
      <c r="CE299" s="7" t="str">
        <f>IF(82&gt;=121,('Testes estatísticos'!$D$126+'Testes estatísticos'!$D$87)/2,"")</f>
        <v/>
      </c>
      <c r="CF299" s="7" t="str">
        <f>IF(83&gt;=121,('Testes estatísticos'!$D$126+'Testes estatísticos'!$D$88)/2,"")</f>
        <v/>
      </c>
      <c r="CG299" s="7" t="str">
        <f>IF(84&gt;=121,('Testes estatísticos'!$D$126+'Testes estatísticos'!$D$89)/2,"")</f>
        <v/>
      </c>
      <c r="CH299" s="7" t="str">
        <f>IF(85&gt;=121,('Testes estatísticos'!$D$126+'Testes estatísticos'!$D$90)/2,"")</f>
        <v/>
      </c>
      <c r="CI299" s="7" t="str">
        <f>IF(86&gt;=121,('Testes estatísticos'!$D$126+'Testes estatísticos'!$D$91)/2,"")</f>
        <v/>
      </c>
      <c r="CJ299" s="7" t="str">
        <f>IF(87&gt;=121,('Testes estatísticos'!$D$126+'Testes estatísticos'!$D$92)/2,"")</f>
        <v/>
      </c>
      <c r="CK299" s="7" t="str">
        <f>IF(88&gt;=121,('Testes estatísticos'!$D$126+'Testes estatísticos'!$D$93)/2,"")</f>
        <v/>
      </c>
      <c r="CL299" s="7" t="str">
        <f>IF(89&gt;=121,('Testes estatísticos'!$D$126+'Testes estatísticos'!$D$94)/2,"")</f>
        <v/>
      </c>
      <c r="CM299" s="7" t="str">
        <f>IF(90&gt;=121,('Testes estatísticos'!$D$126+'Testes estatísticos'!$D$95)/2,"")</f>
        <v/>
      </c>
      <c r="CN299" s="7" t="str">
        <f>IF(91&gt;=121,('Testes estatísticos'!$D$126+'Testes estatísticos'!$D$96)/2,"")</f>
        <v/>
      </c>
      <c r="CO299" s="7" t="str">
        <f>IF(92&gt;=121,('Testes estatísticos'!$D$126+'Testes estatísticos'!$D$97)/2,"")</f>
        <v/>
      </c>
      <c r="CP299" s="7" t="str">
        <f>IF(93&gt;=121,('Testes estatísticos'!$D$126+'Testes estatísticos'!$D$98)/2,"")</f>
        <v/>
      </c>
      <c r="CQ299" s="7" t="str">
        <f>IF(94&gt;=121,('Testes estatísticos'!$D$126+'Testes estatísticos'!$D$99)/2,"")</f>
        <v/>
      </c>
      <c r="CR299" s="7" t="str">
        <f>IF(95&gt;=121,('Testes estatísticos'!$D$126+'Testes estatísticos'!$D$100)/2,"")</f>
        <v/>
      </c>
      <c r="CS299" s="7" t="str">
        <f>IF(96&gt;=121,('Testes estatísticos'!$D$126+'Testes estatísticos'!$D$101)/2,"")</f>
        <v/>
      </c>
      <c r="CT299" s="7" t="str">
        <f>IF(97&gt;=121,('Testes estatísticos'!$D$126+'Testes estatísticos'!$D$102)/2,"")</f>
        <v/>
      </c>
      <c r="CU299" s="7" t="str">
        <f>IF(98&gt;=121,('Testes estatísticos'!$D$126+'Testes estatísticos'!$D$103)/2,"")</f>
        <v/>
      </c>
      <c r="CV299" s="7" t="str">
        <f>IF(99&gt;=121,('Testes estatísticos'!$D$126+'Testes estatísticos'!$D$104)/2,"")</f>
        <v/>
      </c>
      <c r="CW299" s="7" t="str">
        <f>IF(100&gt;=121,('Testes estatísticos'!$D$126+'Testes estatísticos'!$D$105)/2,"")</f>
        <v/>
      </c>
      <c r="CX299" s="7" t="str">
        <f>IF(101&gt;=121,('Testes estatísticos'!$D$126+'Testes estatísticos'!$D$106)/2,"")</f>
        <v/>
      </c>
      <c r="CY299" s="7" t="str">
        <f>IF(102&gt;=121,('Testes estatísticos'!$D$126+'Testes estatísticos'!$D$107)/2,"")</f>
        <v/>
      </c>
      <c r="CZ299" s="7" t="str">
        <f>IF(103&gt;=121,('Testes estatísticos'!$D$126+'Testes estatísticos'!$D$108)/2,"")</f>
        <v/>
      </c>
      <c r="DA299" s="7" t="str">
        <f>IF(104&gt;=121,('Testes estatísticos'!$D$126+'Testes estatísticos'!$D$109)/2,"")</f>
        <v/>
      </c>
      <c r="DB299" s="7" t="str">
        <f>IF(105&gt;=121,('Testes estatísticos'!$D$126+'Testes estatísticos'!$D$110)/2,"")</f>
        <v/>
      </c>
      <c r="DC299" s="7" t="str">
        <f>IF(106&gt;=121,('Testes estatísticos'!$D$126+'Testes estatísticos'!$D$111)/2,"")</f>
        <v/>
      </c>
      <c r="DD299" s="7" t="str">
        <f>IF(107&gt;=121,('Testes estatísticos'!$D$126+'Testes estatísticos'!$D$112)/2,"")</f>
        <v/>
      </c>
      <c r="DE299" s="7" t="str">
        <f>IF(108&gt;=121,('Testes estatísticos'!$D$126+'Testes estatísticos'!$D$113)/2,"")</f>
        <v/>
      </c>
      <c r="DF299" s="7" t="str">
        <f>IF(109&gt;=121,('Testes estatísticos'!$D$126+'Testes estatísticos'!$D$114)/2,"")</f>
        <v/>
      </c>
      <c r="DG299" s="7" t="str">
        <f>IF(110&gt;=121,('Testes estatísticos'!$D$126+'Testes estatísticos'!$D$115)/2,"")</f>
        <v/>
      </c>
      <c r="DH299" s="7" t="str">
        <f>IF(111&gt;=121,('Testes estatísticos'!$D$126+'Testes estatísticos'!$D$116)/2,"")</f>
        <v/>
      </c>
      <c r="DI299" s="7" t="str">
        <f>IF(112&gt;=121,('Testes estatísticos'!$D$126+'Testes estatísticos'!$D$117)/2,"")</f>
        <v/>
      </c>
      <c r="DJ299" s="7" t="str">
        <f>IF(113&gt;=121,('Testes estatísticos'!$D$126+'Testes estatísticos'!$D$118)/2,"")</f>
        <v/>
      </c>
      <c r="DK299" s="7" t="str">
        <f>IF(114&gt;=121,('Testes estatísticos'!$D$126+'Testes estatísticos'!$D$119)/2,"")</f>
        <v/>
      </c>
      <c r="DL299" s="7" t="str">
        <f>IF(115&gt;=121,('Testes estatísticos'!$D$126+'Testes estatísticos'!$D$120)/2,"")</f>
        <v/>
      </c>
      <c r="DM299" s="7" t="str">
        <f>IF(116&gt;=121,('Testes estatísticos'!$D$126+'Testes estatísticos'!$D$121)/2,"")</f>
        <v/>
      </c>
      <c r="DN299" s="7" t="str">
        <f>IF(117&gt;=121,('Testes estatísticos'!$D$126+'Testes estatísticos'!$D$122)/2,"")</f>
        <v/>
      </c>
      <c r="DO299" s="7" t="str">
        <f>IF(118&gt;=121,('Testes estatísticos'!$D$126+'Testes estatísticos'!$D$123)/2,"")</f>
        <v/>
      </c>
      <c r="DP299" s="7" t="str">
        <f>IF(119&gt;=121,('Testes estatísticos'!$D$126+'Testes estatísticos'!$D$124)/2,"")</f>
        <v/>
      </c>
      <c r="DQ299" s="7" t="str">
        <f>IF(120&gt;=121,('Testes estatísticos'!$D$126+'Testes estatísticos'!$D$125)/2,"")</f>
        <v/>
      </c>
      <c r="DR299" s="7">
        <f>IF(121&gt;=121,('Testes estatísticos'!$D$126+'Testes estatísticos'!$D$126)/2,"")</f>
        <v>-1.4998560000000012</v>
      </c>
      <c r="DS299" s="7">
        <f>IF(122&gt;=121,('Testes estatísticos'!$D$126+'Testes estatísticos'!$D$127)/2,"")</f>
        <v>-2.5652644999999978</v>
      </c>
      <c r="DT299" s="7">
        <f>IF(123&gt;=121,('Testes estatísticos'!$D$126+'Testes estatísticos'!$D$128)/2,"")</f>
        <v>3.5036049999999967</v>
      </c>
      <c r="DU299" s="7">
        <f>IF(124&gt;=121,('Testes estatísticos'!$D$126+'Testes estatísticos'!$D$129)/2,"")</f>
        <v>-1.3921665000000019</v>
      </c>
      <c r="DV299" s="7">
        <f>IF(125&gt;=121,('Testes estatísticos'!$D$126+'Testes estatísticos'!$D$130)/2,"")</f>
        <v>-0.23385900000000248</v>
      </c>
      <c r="DW299" s="7">
        <f>IF(126&gt;=121,('Testes estatísticos'!$D$126+'Testes estatísticos'!$D$131)/2,"")</f>
        <v>-2.6373350000000002</v>
      </c>
      <c r="DX299" s="7">
        <f>IF(127&gt;=121,('Testes estatísticos'!$D$126+'Testes estatísticos'!$D$132)/2,"")</f>
        <v>-4.6935265000000008</v>
      </c>
      <c r="DY299" s="7">
        <f>IF(128&gt;=121,('Testes estatísticos'!$D$126+'Testes estatísticos'!$D$133)/2,"")</f>
        <v>-5.0346159999999998</v>
      </c>
      <c r="DZ299" s="7">
        <f>IF(129&gt;=121,('Testes estatísticos'!$D$126+'Testes estatísticos'!$D$134)/2,"")</f>
        <v>-8.4584060000000001</v>
      </c>
      <c r="EA299" s="7">
        <f>IF(130&gt;=121,('Testes estatísticos'!$D$126+'Testes estatísticos'!$D$135)/2,"")</f>
        <v>-2.696635999999998</v>
      </c>
      <c r="EB299" s="7">
        <f>IF(131&gt;=121,('Testes estatísticos'!$D$126+'Testes estatísticos'!$D$136)/2,"")</f>
        <v>-2.6087630000000033</v>
      </c>
      <c r="EC299" s="7">
        <f>IF(132&gt;=121,('Testes estatísticos'!$D$126+'Testes estatísticos'!$D$137)/2,"")</f>
        <v>-4.0954995000000025</v>
      </c>
      <c r="ED299" s="7">
        <f>IF(133&gt;=121,('Testes estatísticos'!$D$126+'Testes estatísticos'!$D$138)/2,"")</f>
        <v>-1.906562000000001</v>
      </c>
      <c r="EE299" s="7">
        <f>IF(134&gt;=121,('Testes estatísticos'!$D$126+'Testes estatísticos'!$D$139)/2,"")</f>
        <v>-4.2037525000000038</v>
      </c>
      <c r="EF299" s="7">
        <f>IF(135&gt;=121,('Testes estatísticos'!$D$126+'Testes estatísticos'!$D$140)/2,"")</f>
        <v>-0.98931999999999931</v>
      </c>
      <c r="EG299" s="7">
        <f>IF(136&gt;=121,('Testes estatísticos'!$D$126+'Testes estatísticos'!$D$141)/2,"")</f>
        <v>-2.6828100000000035</v>
      </c>
      <c r="EH299" s="7">
        <f>IF(137&gt;=121,('Testes estatísticos'!$D$126+'Testes estatísticos'!$D$142)/2,"")</f>
        <v>-0.97807000000000244</v>
      </c>
      <c r="EI299" s="7">
        <f>IF(138&gt;=121,('Testes estatísticos'!$D$126+'Testes estatísticos'!$D$143)/2,"")</f>
        <v>-2.643085499999998</v>
      </c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</row>
    <row r="300" spans="2:151" x14ac:dyDescent="0.3">
      <c r="B300" s="7" t="str">
        <f>IF(1&gt;=122,('Testes estatísticos'!$D$127+'Testes estatísticos'!$D$6)/2,"")</f>
        <v/>
      </c>
      <c r="C300" s="7" t="str">
        <f>IF(2&gt;=122,('Testes estatísticos'!$D$127+'Testes estatísticos'!$D$7)/2,"")</f>
        <v/>
      </c>
      <c r="D300" s="7" t="str">
        <f>IF(3&gt;=122,('Testes estatísticos'!$D$127+'Testes estatísticos'!$D$8)/2,"")</f>
        <v/>
      </c>
      <c r="E300" s="7" t="str">
        <f>IF(4&gt;=122,('Testes estatísticos'!$D$127+'Testes estatísticos'!$D$9)/2,"")</f>
        <v/>
      </c>
      <c r="F300" s="7" t="str">
        <f>IF(5&gt;=122,('Testes estatísticos'!$D$127+'Testes estatísticos'!$D$10)/2,"")</f>
        <v/>
      </c>
      <c r="G300" s="7" t="str">
        <f>IF(6&gt;=122,('Testes estatísticos'!$D$127+'Testes estatísticos'!$D$11)/2,"")</f>
        <v/>
      </c>
      <c r="H300" s="7" t="str">
        <f>IF(7&gt;=122,('Testes estatísticos'!$D$127+'Testes estatísticos'!$D$12)/2,"")</f>
        <v/>
      </c>
      <c r="I300" s="7" t="str">
        <f>IF(8&gt;=122,('Testes estatísticos'!$D$127+'Testes estatísticos'!$D$13)/2,"")</f>
        <v/>
      </c>
      <c r="J300" s="7" t="str">
        <f>IF(9&gt;=122,('Testes estatísticos'!$D$127+'Testes estatísticos'!$D$14)/2,"")</f>
        <v/>
      </c>
      <c r="K300" s="7" t="str">
        <f>IF(10&gt;=122,('Testes estatísticos'!$D$127+'Testes estatísticos'!$D$15)/2,"")</f>
        <v/>
      </c>
      <c r="L300" s="7" t="str">
        <f>IF(11&gt;=122,('Testes estatísticos'!$D$127+'Testes estatísticos'!$D$16)/2,"")</f>
        <v/>
      </c>
      <c r="M300" s="7" t="str">
        <f>IF(12&gt;=122,('Testes estatísticos'!$D$127+'Testes estatísticos'!$D$17)/2,"")</f>
        <v/>
      </c>
      <c r="N300" s="7" t="str">
        <f>IF(13&gt;=122,('Testes estatísticos'!$D$127+'Testes estatísticos'!$D$18)/2,"")</f>
        <v/>
      </c>
      <c r="O300" s="7" t="str">
        <f>IF(14&gt;=122,('Testes estatísticos'!$D$127+'Testes estatísticos'!$D$19)/2,"")</f>
        <v/>
      </c>
      <c r="P300" s="7" t="str">
        <f>IF(15&gt;=122,('Testes estatísticos'!$D$127+'Testes estatísticos'!$D$20)/2,"")</f>
        <v/>
      </c>
      <c r="Q300" s="7" t="str">
        <f>IF(16&gt;=122,('Testes estatísticos'!$D$127+'Testes estatísticos'!$D$21)/2,"")</f>
        <v/>
      </c>
      <c r="R300" s="7" t="str">
        <f>IF(17&gt;=122,('Testes estatísticos'!$D$127+'Testes estatísticos'!$D$22)/2,"")</f>
        <v/>
      </c>
      <c r="S300" s="7" t="str">
        <f>IF(18&gt;=122,('Testes estatísticos'!$D$127+'Testes estatísticos'!$D$23)/2,"")</f>
        <v/>
      </c>
      <c r="T300" s="7" t="str">
        <f>IF(19&gt;=122,('Testes estatísticos'!$D$127+'Testes estatísticos'!$D$24)/2,"")</f>
        <v/>
      </c>
      <c r="U300" s="7" t="str">
        <f>IF(20&gt;=122,('Testes estatísticos'!$D$127+'Testes estatísticos'!$D$25)/2,"")</f>
        <v/>
      </c>
      <c r="V300" s="7" t="str">
        <f>IF(21&gt;=122,('Testes estatísticos'!$D$127+'Testes estatísticos'!$D$26)/2,"")</f>
        <v/>
      </c>
      <c r="W300" s="7" t="str">
        <f>IF(22&gt;=122,('Testes estatísticos'!$D$127+'Testes estatísticos'!$D$27)/2,"")</f>
        <v/>
      </c>
      <c r="X300" s="7" t="str">
        <f>IF(23&gt;=122,('Testes estatísticos'!$D$127+'Testes estatísticos'!$D$28)/2,"")</f>
        <v/>
      </c>
      <c r="Y300" s="7" t="str">
        <f>IF(24&gt;=122,('Testes estatísticos'!$D$127+'Testes estatísticos'!$D$29)/2,"")</f>
        <v/>
      </c>
      <c r="Z300" s="7" t="str">
        <f>IF(25&gt;=122,('Testes estatísticos'!$D$127+'Testes estatísticos'!$D$30)/2,"")</f>
        <v/>
      </c>
      <c r="AA300" s="7" t="str">
        <f>IF(26&gt;=122,('Testes estatísticos'!$D$127+'Testes estatísticos'!$D$31)/2,"")</f>
        <v/>
      </c>
      <c r="AB300" s="7" t="str">
        <f>IF(27&gt;=122,('Testes estatísticos'!$D$127+'Testes estatísticos'!$D$32)/2,"")</f>
        <v/>
      </c>
      <c r="AC300" s="7" t="str">
        <f>IF(28&gt;=122,('Testes estatísticos'!$D$127+'Testes estatísticos'!$D$33)/2,"")</f>
        <v/>
      </c>
      <c r="AD300" s="7" t="str">
        <f>IF(29&gt;=122,('Testes estatísticos'!$D$127+'Testes estatísticos'!$D$34)/2,"")</f>
        <v/>
      </c>
      <c r="AE300" s="7" t="str">
        <f>IF(30&gt;=122,('Testes estatísticos'!$D$127+'Testes estatísticos'!$D$35)/2,"")</f>
        <v/>
      </c>
      <c r="AF300" s="7" t="str">
        <f>IF(31&gt;=122,('Testes estatísticos'!$D$127+'Testes estatísticos'!$D$36)/2,"")</f>
        <v/>
      </c>
      <c r="AG300" s="7" t="str">
        <f>IF(32&gt;=122,('Testes estatísticos'!$D$127+'Testes estatísticos'!$D$37)/2,"")</f>
        <v/>
      </c>
      <c r="AH300" s="7" t="str">
        <f>IF(33&gt;=122,('Testes estatísticos'!$D$127+'Testes estatísticos'!$D$38)/2,"")</f>
        <v/>
      </c>
      <c r="AI300" s="7" t="str">
        <f>IF(34&gt;=122,('Testes estatísticos'!$D$127+'Testes estatísticos'!$D$39)/2,"")</f>
        <v/>
      </c>
      <c r="AJ300" s="7" t="str">
        <f>IF(35&gt;=122,('Testes estatísticos'!$D$127+'Testes estatísticos'!$D$40)/2,"")</f>
        <v/>
      </c>
      <c r="AK300" s="7" t="str">
        <f>IF(36&gt;=122,('Testes estatísticos'!$D$127+'Testes estatísticos'!$D$41)/2,"")</f>
        <v/>
      </c>
      <c r="AL300" s="7" t="str">
        <f>IF(37&gt;=122,('Testes estatísticos'!$D$127+'Testes estatísticos'!$D$42)/2,"")</f>
        <v/>
      </c>
      <c r="AM300" s="7" t="str">
        <f>IF(38&gt;=122,('Testes estatísticos'!$D$127+'Testes estatísticos'!$D$43)/2,"")</f>
        <v/>
      </c>
      <c r="AN300" s="7" t="str">
        <f>IF(39&gt;=122,('Testes estatísticos'!$D$127+'Testes estatísticos'!$D$44)/2,"")</f>
        <v/>
      </c>
      <c r="AO300" s="7" t="str">
        <f>IF(40&gt;=122,('Testes estatísticos'!$D$127+'Testes estatísticos'!$D$45)/2,"")</f>
        <v/>
      </c>
      <c r="AP300" s="7" t="str">
        <f>IF(41&gt;=122,('Testes estatísticos'!$D$127+'Testes estatísticos'!$D$46)/2,"")</f>
        <v/>
      </c>
      <c r="AQ300" s="7" t="str">
        <f>IF(42&gt;=122,('Testes estatísticos'!$D$127+'Testes estatísticos'!$D$47)/2,"")</f>
        <v/>
      </c>
      <c r="AR300" s="7" t="str">
        <f>IF(43&gt;=122,('Testes estatísticos'!$D$127+'Testes estatísticos'!$D$48)/2,"")</f>
        <v/>
      </c>
      <c r="AS300" s="7" t="str">
        <f>IF(44&gt;=122,('Testes estatísticos'!$D$127+'Testes estatísticos'!$D$49)/2,"")</f>
        <v/>
      </c>
      <c r="AT300" s="7" t="str">
        <f>IF(45&gt;=122,('Testes estatísticos'!$D$127+'Testes estatísticos'!$D$50)/2,"")</f>
        <v/>
      </c>
      <c r="AU300" s="7" t="str">
        <f>IF(46&gt;=122,('Testes estatísticos'!$D$127+'Testes estatísticos'!$D$51)/2,"")</f>
        <v/>
      </c>
      <c r="AV300" s="7" t="str">
        <f>IF(47&gt;=122,('Testes estatísticos'!$D$127+'Testes estatísticos'!$D$52)/2,"")</f>
        <v/>
      </c>
      <c r="AW300" s="7" t="str">
        <f>IF(48&gt;=122,('Testes estatísticos'!$D$127+'Testes estatísticos'!$D$53)/2,"")</f>
        <v/>
      </c>
      <c r="AX300" s="7" t="str">
        <f>IF(49&gt;=122,('Testes estatísticos'!$D$127+'Testes estatísticos'!$D$54)/2,"")</f>
        <v/>
      </c>
      <c r="AY300" s="7" t="str">
        <f>IF(50&gt;=122,('Testes estatísticos'!$D$127+'Testes estatísticos'!$D$55)/2,"")</f>
        <v/>
      </c>
      <c r="AZ300" s="7" t="str">
        <f>IF(51&gt;=122,('Testes estatísticos'!$D$127+'Testes estatísticos'!$D$56)/2,"")</f>
        <v/>
      </c>
      <c r="BA300" s="7" t="str">
        <f>IF(52&gt;=122,('Testes estatísticos'!$D$127+'Testes estatísticos'!$D$57)/2,"")</f>
        <v/>
      </c>
      <c r="BB300" s="7" t="str">
        <f>IF(53&gt;=122,('Testes estatísticos'!$D$127+'Testes estatísticos'!$D$58)/2,"")</f>
        <v/>
      </c>
      <c r="BC300" s="7" t="str">
        <f>IF(54&gt;=122,('Testes estatísticos'!$D$127+'Testes estatísticos'!$D$59)/2,"")</f>
        <v/>
      </c>
      <c r="BD300" s="7" t="str">
        <f>IF(55&gt;=122,('Testes estatísticos'!$D$127+'Testes estatísticos'!$D$60)/2,"")</f>
        <v/>
      </c>
      <c r="BE300" s="7" t="str">
        <f>IF(56&gt;=122,('Testes estatísticos'!$D$127+'Testes estatísticos'!$D$61)/2,"")</f>
        <v/>
      </c>
      <c r="BF300" s="7" t="str">
        <f>IF(57&gt;=122,('Testes estatísticos'!$D$127+'Testes estatísticos'!$D$62)/2,"")</f>
        <v/>
      </c>
      <c r="BG300" s="7" t="str">
        <f>IF(58&gt;=122,('Testes estatísticos'!$D$127+'Testes estatísticos'!$D$63)/2,"")</f>
        <v/>
      </c>
      <c r="BH300" s="7" t="str">
        <f>IF(59&gt;=122,('Testes estatísticos'!$D$127+'Testes estatísticos'!$D$64)/2,"")</f>
        <v/>
      </c>
      <c r="BI300" s="7" t="str">
        <f>IF(60&gt;=122,('Testes estatísticos'!$D$127+'Testes estatísticos'!$D$65)/2,"")</f>
        <v/>
      </c>
      <c r="BJ300" s="7" t="str">
        <f>IF(61&gt;=122,('Testes estatísticos'!$D$127+'Testes estatísticos'!$D$66)/2,"")</f>
        <v/>
      </c>
      <c r="BK300" s="7" t="str">
        <f>IF(62&gt;=122,('Testes estatísticos'!$D$127+'Testes estatísticos'!$D$67)/2,"")</f>
        <v/>
      </c>
      <c r="BL300" s="7" t="str">
        <f>IF(63&gt;=122,('Testes estatísticos'!$D$127+'Testes estatísticos'!$D$68)/2,"")</f>
        <v/>
      </c>
      <c r="BM300" s="7" t="str">
        <f>IF(64&gt;=122,('Testes estatísticos'!$D$127+'Testes estatísticos'!$D$69)/2,"")</f>
        <v/>
      </c>
      <c r="BN300" s="7" t="str">
        <f>IF(65&gt;=122,('Testes estatísticos'!$D$127+'Testes estatísticos'!$D$70)/2,"")</f>
        <v/>
      </c>
      <c r="BO300" s="7" t="str">
        <f>IF(66&gt;=122,('Testes estatísticos'!$D$127+'Testes estatísticos'!$D$71)/2,"")</f>
        <v/>
      </c>
      <c r="BP300" s="7" t="str">
        <f>IF(67&gt;=122,('Testes estatísticos'!$D$127+'Testes estatísticos'!$D$72)/2,"")</f>
        <v/>
      </c>
      <c r="BQ300" s="7" t="str">
        <f>IF(68&gt;=122,('Testes estatísticos'!$D$127+'Testes estatísticos'!$D$73)/2,"")</f>
        <v/>
      </c>
      <c r="BR300" s="7" t="str">
        <f>IF(69&gt;=122,('Testes estatísticos'!$D$127+'Testes estatísticos'!$D$74)/2,"")</f>
        <v/>
      </c>
      <c r="BS300" s="7" t="str">
        <f>IF(70&gt;=122,('Testes estatísticos'!$D$127+'Testes estatísticos'!$D$75)/2,"")</f>
        <v/>
      </c>
      <c r="BT300" s="7" t="str">
        <f>IF(71&gt;=122,('Testes estatísticos'!$D$127+'Testes estatísticos'!$D$76)/2,"")</f>
        <v/>
      </c>
      <c r="BU300" s="7" t="str">
        <f>IF(72&gt;=122,('Testes estatísticos'!$D$127+'Testes estatísticos'!$D$77)/2,"")</f>
        <v/>
      </c>
      <c r="BV300" s="7" t="str">
        <f>IF(73&gt;=122,('Testes estatísticos'!$D$127+'Testes estatísticos'!$D$78)/2,"")</f>
        <v/>
      </c>
      <c r="BW300" s="7" t="str">
        <f>IF(74&gt;=122,('Testes estatísticos'!$D$127+'Testes estatísticos'!$D$79)/2,"")</f>
        <v/>
      </c>
      <c r="BX300" s="7" t="str">
        <f>IF(75&gt;=122,('Testes estatísticos'!$D$127+'Testes estatísticos'!$D$80)/2,"")</f>
        <v/>
      </c>
      <c r="BY300" s="7" t="str">
        <f>IF(76&gt;=122,('Testes estatísticos'!$D$127+'Testes estatísticos'!$D$81)/2,"")</f>
        <v/>
      </c>
      <c r="BZ300" s="7" t="str">
        <f>IF(77&gt;=122,('Testes estatísticos'!$D$127+'Testes estatísticos'!$D$82)/2,"")</f>
        <v/>
      </c>
      <c r="CA300" s="7" t="str">
        <f>IF(78&gt;=122,('Testes estatísticos'!$D$127+'Testes estatísticos'!$D$83)/2,"")</f>
        <v/>
      </c>
      <c r="CB300" s="7" t="str">
        <f>IF(79&gt;=122,('Testes estatísticos'!$D$127+'Testes estatísticos'!$D$84)/2,"")</f>
        <v/>
      </c>
      <c r="CC300" s="7" t="str">
        <f>IF(80&gt;=122,('Testes estatísticos'!$D$127+'Testes estatísticos'!$D$85)/2,"")</f>
        <v/>
      </c>
      <c r="CD300" s="7" t="str">
        <f>IF(81&gt;=122,('Testes estatísticos'!$D$127+'Testes estatísticos'!$D$86)/2,"")</f>
        <v/>
      </c>
      <c r="CE300" s="7" t="str">
        <f>IF(82&gt;=122,('Testes estatísticos'!$D$127+'Testes estatísticos'!$D$87)/2,"")</f>
        <v/>
      </c>
      <c r="CF300" s="7" t="str">
        <f>IF(83&gt;=122,('Testes estatísticos'!$D$127+'Testes estatísticos'!$D$88)/2,"")</f>
        <v/>
      </c>
      <c r="CG300" s="7" t="str">
        <f>IF(84&gt;=122,('Testes estatísticos'!$D$127+'Testes estatísticos'!$D$89)/2,"")</f>
        <v/>
      </c>
      <c r="CH300" s="7" t="str">
        <f>IF(85&gt;=122,('Testes estatísticos'!$D$127+'Testes estatísticos'!$D$90)/2,"")</f>
        <v/>
      </c>
      <c r="CI300" s="7" t="str">
        <f>IF(86&gt;=122,('Testes estatísticos'!$D$127+'Testes estatísticos'!$D$91)/2,"")</f>
        <v/>
      </c>
      <c r="CJ300" s="7" t="str">
        <f>IF(87&gt;=122,('Testes estatísticos'!$D$127+'Testes estatísticos'!$D$92)/2,"")</f>
        <v/>
      </c>
      <c r="CK300" s="7" t="str">
        <f>IF(88&gt;=122,('Testes estatísticos'!$D$127+'Testes estatísticos'!$D$93)/2,"")</f>
        <v/>
      </c>
      <c r="CL300" s="7" t="str">
        <f>IF(89&gt;=122,('Testes estatísticos'!$D$127+'Testes estatísticos'!$D$94)/2,"")</f>
        <v/>
      </c>
      <c r="CM300" s="7" t="str">
        <f>IF(90&gt;=122,('Testes estatísticos'!$D$127+'Testes estatísticos'!$D$95)/2,"")</f>
        <v/>
      </c>
      <c r="CN300" s="7" t="str">
        <f>IF(91&gt;=122,('Testes estatísticos'!$D$127+'Testes estatísticos'!$D$96)/2,"")</f>
        <v/>
      </c>
      <c r="CO300" s="7" t="str">
        <f>IF(92&gt;=122,('Testes estatísticos'!$D$127+'Testes estatísticos'!$D$97)/2,"")</f>
        <v/>
      </c>
      <c r="CP300" s="7" t="str">
        <f>IF(93&gt;=122,('Testes estatísticos'!$D$127+'Testes estatísticos'!$D$98)/2,"")</f>
        <v/>
      </c>
      <c r="CQ300" s="7" t="str">
        <f>IF(94&gt;=122,('Testes estatísticos'!$D$127+'Testes estatísticos'!$D$99)/2,"")</f>
        <v/>
      </c>
      <c r="CR300" s="7" t="str">
        <f>IF(95&gt;=122,('Testes estatísticos'!$D$127+'Testes estatísticos'!$D$100)/2,"")</f>
        <v/>
      </c>
      <c r="CS300" s="7" t="str">
        <f>IF(96&gt;=122,('Testes estatísticos'!$D$127+'Testes estatísticos'!$D$101)/2,"")</f>
        <v/>
      </c>
      <c r="CT300" s="7" t="str">
        <f>IF(97&gt;=122,('Testes estatísticos'!$D$127+'Testes estatísticos'!$D$102)/2,"")</f>
        <v/>
      </c>
      <c r="CU300" s="7" t="str">
        <f>IF(98&gt;=122,('Testes estatísticos'!$D$127+'Testes estatísticos'!$D$103)/2,"")</f>
        <v/>
      </c>
      <c r="CV300" s="7" t="str">
        <f>IF(99&gt;=122,('Testes estatísticos'!$D$127+'Testes estatísticos'!$D$104)/2,"")</f>
        <v/>
      </c>
      <c r="CW300" s="7" t="str">
        <f>IF(100&gt;=122,('Testes estatísticos'!$D$127+'Testes estatísticos'!$D$105)/2,"")</f>
        <v/>
      </c>
      <c r="CX300" s="7" t="str">
        <f>IF(101&gt;=122,('Testes estatísticos'!$D$127+'Testes estatísticos'!$D$106)/2,"")</f>
        <v/>
      </c>
      <c r="CY300" s="7" t="str">
        <f>IF(102&gt;=122,('Testes estatísticos'!$D$127+'Testes estatísticos'!$D$107)/2,"")</f>
        <v/>
      </c>
      <c r="CZ300" s="7" t="str">
        <f>IF(103&gt;=122,('Testes estatísticos'!$D$127+'Testes estatísticos'!$D$108)/2,"")</f>
        <v/>
      </c>
      <c r="DA300" s="7" t="str">
        <f>IF(104&gt;=122,('Testes estatísticos'!$D$127+'Testes estatísticos'!$D$109)/2,"")</f>
        <v/>
      </c>
      <c r="DB300" s="7" t="str">
        <f>IF(105&gt;=122,('Testes estatísticos'!$D$127+'Testes estatísticos'!$D$110)/2,"")</f>
        <v/>
      </c>
      <c r="DC300" s="7" t="str">
        <f>IF(106&gt;=122,('Testes estatísticos'!$D$127+'Testes estatísticos'!$D$111)/2,"")</f>
        <v/>
      </c>
      <c r="DD300" s="7" t="str">
        <f>IF(107&gt;=122,('Testes estatísticos'!$D$127+'Testes estatísticos'!$D$112)/2,"")</f>
        <v/>
      </c>
      <c r="DE300" s="7" t="str">
        <f>IF(108&gt;=122,('Testes estatísticos'!$D$127+'Testes estatísticos'!$D$113)/2,"")</f>
        <v/>
      </c>
      <c r="DF300" s="7" t="str">
        <f>IF(109&gt;=122,('Testes estatísticos'!$D$127+'Testes estatísticos'!$D$114)/2,"")</f>
        <v/>
      </c>
      <c r="DG300" s="7" t="str">
        <f>IF(110&gt;=122,('Testes estatísticos'!$D$127+'Testes estatísticos'!$D$115)/2,"")</f>
        <v/>
      </c>
      <c r="DH300" s="7" t="str">
        <f>IF(111&gt;=122,('Testes estatísticos'!$D$127+'Testes estatísticos'!$D$116)/2,"")</f>
        <v/>
      </c>
      <c r="DI300" s="7" t="str">
        <f>IF(112&gt;=122,('Testes estatísticos'!$D$127+'Testes estatísticos'!$D$117)/2,"")</f>
        <v/>
      </c>
      <c r="DJ300" s="7" t="str">
        <f>IF(113&gt;=122,('Testes estatísticos'!$D$127+'Testes estatísticos'!$D$118)/2,"")</f>
        <v/>
      </c>
      <c r="DK300" s="7" t="str">
        <f>IF(114&gt;=122,('Testes estatísticos'!$D$127+'Testes estatísticos'!$D$119)/2,"")</f>
        <v/>
      </c>
      <c r="DL300" s="7" t="str">
        <f>IF(115&gt;=122,('Testes estatísticos'!$D$127+'Testes estatísticos'!$D$120)/2,"")</f>
        <v/>
      </c>
      <c r="DM300" s="7" t="str">
        <f>IF(116&gt;=122,('Testes estatísticos'!$D$127+'Testes estatísticos'!$D$121)/2,"")</f>
        <v/>
      </c>
      <c r="DN300" s="7" t="str">
        <f>IF(117&gt;=122,('Testes estatísticos'!$D$127+'Testes estatísticos'!$D$122)/2,"")</f>
        <v/>
      </c>
      <c r="DO300" s="7" t="str">
        <f>IF(118&gt;=122,('Testes estatísticos'!$D$127+'Testes estatísticos'!$D$123)/2,"")</f>
        <v/>
      </c>
      <c r="DP300" s="7" t="str">
        <f>IF(119&gt;=122,('Testes estatísticos'!$D$127+'Testes estatísticos'!$D$124)/2,"")</f>
        <v/>
      </c>
      <c r="DQ300" s="7" t="str">
        <f>IF(120&gt;=122,('Testes estatísticos'!$D$127+'Testes estatísticos'!$D$125)/2,"")</f>
        <v/>
      </c>
      <c r="DR300" s="7" t="str">
        <f>IF(121&gt;=122,('Testes estatísticos'!$D$127+'Testes estatísticos'!$D$126)/2,"")</f>
        <v/>
      </c>
      <c r="DS300" s="7">
        <f>IF(122&gt;=122,('Testes estatísticos'!$D$127+'Testes estatísticos'!$D$127)/2,"")</f>
        <v>-3.6306729999999945</v>
      </c>
      <c r="DT300" s="7">
        <f>IF(123&gt;=122,('Testes estatísticos'!$D$127+'Testes estatísticos'!$D$128)/2,"")</f>
        <v>2.4381965000000001</v>
      </c>
      <c r="DU300" s="7">
        <f>IF(124&gt;=122,('Testes estatísticos'!$D$127+'Testes estatísticos'!$D$129)/2,"")</f>
        <v>-2.4575749999999985</v>
      </c>
      <c r="DV300" s="7">
        <f>IF(125&gt;=122,('Testes estatísticos'!$D$127+'Testes estatísticos'!$D$130)/2,"")</f>
        <v>-1.2992674999999991</v>
      </c>
      <c r="DW300" s="7">
        <f>IF(126&gt;=122,('Testes estatísticos'!$D$127+'Testes estatísticos'!$D$131)/2,"")</f>
        <v>-3.7027434999999969</v>
      </c>
      <c r="DX300" s="7">
        <f>IF(127&gt;=122,('Testes estatísticos'!$D$127+'Testes estatísticos'!$D$132)/2,"")</f>
        <v>-5.7589349999999975</v>
      </c>
      <c r="DY300" s="7">
        <f>IF(128&gt;=122,('Testes estatísticos'!$D$127+'Testes estatísticos'!$D$133)/2,"")</f>
        <v>-6.1000244999999964</v>
      </c>
      <c r="DZ300" s="7">
        <f>IF(129&gt;=122,('Testes estatísticos'!$D$127+'Testes estatísticos'!$D$134)/2,"")</f>
        <v>-9.5238144999999967</v>
      </c>
      <c r="EA300" s="7">
        <f>IF(130&gt;=122,('Testes estatísticos'!$D$127+'Testes estatísticos'!$D$135)/2,"")</f>
        <v>-3.7620444999999947</v>
      </c>
      <c r="EB300" s="7">
        <f>IF(131&gt;=122,('Testes estatísticos'!$D$127+'Testes estatísticos'!$D$136)/2,"")</f>
        <v>-3.6741714999999999</v>
      </c>
      <c r="EC300" s="7">
        <f>IF(132&gt;=122,('Testes estatísticos'!$D$127+'Testes estatísticos'!$D$137)/2,"")</f>
        <v>-5.1609079999999992</v>
      </c>
      <c r="ED300" s="7">
        <f>IF(133&gt;=122,('Testes estatísticos'!$D$127+'Testes estatísticos'!$D$138)/2,"")</f>
        <v>-2.9719704999999976</v>
      </c>
      <c r="EE300" s="7">
        <f>IF(134&gt;=122,('Testes estatísticos'!$D$127+'Testes estatísticos'!$D$139)/2,"")</f>
        <v>-5.2691610000000004</v>
      </c>
      <c r="EF300" s="7">
        <f>IF(135&gt;=122,('Testes estatísticos'!$D$127+'Testes estatísticos'!$D$140)/2,"")</f>
        <v>-2.054728499999996</v>
      </c>
      <c r="EG300" s="7">
        <f>IF(136&gt;=122,('Testes estatísticos'!$D$127+'Testes estatísticos'!$D$141)/2,"")</f>
        <v>-3.7482185000000001</v>
      </c>
      <c r="EH300" s="7">
        <f>IF(137&gt;=122,('Testes estatísticos'!$D$127+'Testes estatísticos'!$D$142)/2,"")</f>
        <v>-2.0434784999999991</v>
      </c>
      <c r="EI300" s="7">
        <f>IF(138&gt;=122,('Testes estatísticos'!$D$127+'Testes estatísticos'!$D$143)/2,"")</f>
        <v>-3.7084939999999946</v>
      </c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</row>
    <row r="301" spans="2:151" x14ac:dyDescent="0.3">
      <c r="B301" s="7" t="str">
        <f>IF(1&gt;=123,('Testes estatísticos'!$D$128+'Testes estatísticos'!$D$6)/2,"")</f>
        <v/>
      </c>
      <c r="C301" s="7" t="str">
        <f>IF(2&gt;=123,('Testes estatísticos'!$D$128+'Testes estatísticos'!$D$7)/2,"")</f>
        <v/>
      </c>
      <c r="D301" s="7" t="str">
        <f>IF(3&gt;=123,('Testes estatísticos'!$D$128+'Testes estatísticos'!$D$8)/2,"")</f>
        <v/>
      </c>
      <c r="E301" s="7" t="str">
        <f>IF(4&gt;=123,('Testes estatísticos'!$D$128+'Testes estatísticos'!$D$9)/2,"")</f>
        <v/>
      </c>
      <c r="F301" s="7" t="str">
        <f>IF(5&gt;=123,('Testes estatísticos'!$D$128+'Testes estatísticos'!$D$10)/2,"")</f>
        <v/>
      </c>
      <c r="G301" s="7" t="str">
        <f>IF(6&gt;=123,('Testes estatísticos'!$D$128+'Testes estatísticos'!$D$11)/2,"")</f>
        <v/>
      </c>
      <c r="H301" s="7" t="str">
        <f>IF(7&gt;=123,('Testes estatísticos'!$D$128+'Testes estatísticos'!$D$12)/2,"")</f>
        <v/>
      </c>
      <c r="I301" s="7" t="str">
        <f>IF(8&gt;=123,('Testes estatísticos'!$D$128+'Testes estatísticos'!$D$13)/2,"")</f>
        <v/>
      </c>
      <c r="J301" s="7" t="str">
        <f>IF(9&gt;=123,('Testes estatísticos'!$D$128+'Testes estatísticos'!$D$14)/2,"")</f>
        <v/>
      </c>
      <c r="K301" s="7" t="str">
        <f>IF(10&gt;=123,('Testes estatísticos'!$D$128+'Testes estatísticos'!$D$15)/2,"")</f>
        <v/>
      </c>
      <c r="L301" s="7" t="str">
        <f>IF(11&gt;=123,('Testes estatísticos'!$D$128+'Testes estatísticos'!$D$16)/2,"")</f>
        <v/>
      </c>
      <c r="M301" s="7" t="str">
        <f>IF(12&gt;=123,('Testes estatísticos'!$D$128+'Testes estatísticos'!$D$17)/2,"")</f>
        <v/>
      </c>
      <c r="N301" s="7" t="str">
        <f>IF(13&gt;=123,('Testes estatísticos'!$D$128+'Testes estatísticos'!$D$18)/2,"")</f>
        <v/>
      </c>
      <c r="O301" s="7" t="str">
        <f>IF(14&gt;=123,('Testes estatísticos'!$D$128+'Testes estatísticos'!$D$19)/2,"")</f>
        <v/>
      </c>
      <c r="P301" s="7" t="str">
        <f>IF(15&gt;=123,('Testes estatísticos'!$D$128+'Testes estatísticos'!$D$20)/2,"")</f>
        <v/>
      </c>
      <c r="Q301" s="7" t="str">
        <f>IF(16&gt;=123,('Testes estatísticos'!$D$128+'Testes estatísticos'!$D$21)/2,"")</f>
        <v/>
      </c>
      <c r="R301" s="7" t="str">
        <f>IF(17&gt;=123,('Testes estatísticos'!$D$128+'Testes estatísticos'!$D$22)/2,"")</f>
        <v/>
      </c>
      <c r="S301" s="7" t="str">
        <f>IF(18&gt;=123,('Testes estatísticos'!$D$128+'Testes estatísticos'!$D$23)/2,"")</f>
        <v/>
      </c>
      <c r="T301" s="7" t="str">
        <f>IF(19&gt;=123,('Testes estatísticos'!$D$128+'Testes estatísticos'!$D$24)/2,"")</f>
        <v/>
      </c>
      <c r="U301" s="7" t="str">
        <f>IF(20&gt;=123,('Testes estatísticos'!$D$128+'Testes estatísticos'!$D$25)/2,"")</f>
        <v/>
      </c>
      <c r="V301" s="7" t="str">
        <f>IF(21&gt;=123,('Testes estatísticos'!$D$128+'Testes estatísticos'!$D$26)/2,"")</f>
        <v/>
      </c>
      <c r="W301" s="7" t="str">
        <f>IF(22&gt;=123,('Testes estatísticos'!$D$128+'Testes estatísticos'!$D$27)/2,"")</f>
        <v/>
      </c>
      <c r="X301" s="7" t="str">
        <f>IF(23&gt;=123,('Testes estatísticos'!$D$128+'Testes estatísticos'!$D$28)/2,"")</f>
        <v/>
      </c>
      <c r="Y301" s="7" t="str">
        <f>IF(24&gt;=123,('Testes estatísticos'!$D$128+'Testes estatísticos'!$D$29)/2,"")</f>
        <v/>
      </c>
      <c r="Z301" s="7" t="str">
        <f>IF(25&gt;=123,('Testes estatísticos'!$D$128+'Testes estatísticos'!$D$30)/2,"")</f>
        <v/>
      </c>
      <c r="AA301" s="7" t="str">
        <f>IF(26&gt;=123,('Testes estatísticos'!$D$128+'Testes estatísticos'!$D$31)/2,"")</f>
        <v/>
      </c>
      <c r="AB301" s="7" t="str">
        <f>IF(27&gt;=123,('Testes estatísticos'!$D$128+'Testes estatísticos'!$D$32)/2,"")</f>
        <v/>
      </c>
      <c r="AC301" s="7" t="str">
        <f>IF(28&gt;=123,('Testes estatísticos'!$D$128+'Testes estatísticos'!$D$33)/2,"")</f>
        <v/>
      </c>
      <c r="AD301" s="7" t="str">
        <f>IF(29&gt;=123,('Testes estatísticos'!$D$128+'Testes estatísticos'!$D$34)/2,"")</f>
        <v/>
      </c>
      <c r="AE301" s="7" t="str">
        <f>IF(30&gt;=123,('Testes estatísticos'!$D$128+'Testes estatísticos'!$D$35)/2,"")</f>
        <v/>
      </c>
      <c r="AF301" s="7" t="str">
        <f>IF(31&gt;=123,('Testes estatísticos'!$D$128+'Testes estatísticos'!$D$36)/2,"")</f>
        <v/>
      </c>
      <c r="AG301" s="7" t="str">
        <f>IF(32&gt;=123,('Testes estatísticos'!$D$128+'Testes estatísticos'!$D$37)/2,"")</f>
        <v/>
      </c>
      <c r="AH301" s="7" t="str">
        <f>IF(33&gt;=123,('Testes estatísticos'!$D$128+'Testes estatísticos'!$D$38)/2,"")</f>
        <v/>
      </c>
      <c r="AI301" s="7" t="str">
        <f>IF(34&gt;=123,('Testes estatísticos'!$D$128+'Testes estatísticos'!$D$39)/2,"")</f>
        <v/>
      </c>
      <c r="AJ301" s="7" t="str">
        <f>IF(35&gt;=123,('Testes estatísticos'!$D$128+'Testes estatísticos'!$D$40)/2,"")</f>
        <v/>
      </c>
      <c r="AK301" s="7" t="str">
        <f>IF(36&gt;=123,('Testes estatísticos'!$D$128+'Testes estatísticos'!$D$41)/2,"")</f>
        <v/>
      </c>
      <c r="AL301" s="7" t="str">
        <f>IF(37&gt;=123,('Testes estatísticos'!$D$128+'Testes estatísticos'!$D$42)/2,"")</f>
        <v/>
      </c>
      <c r="AM301" s="7" t="str">
        <f>IF(38&gt;=123,('Testes estatísticos'!$D$128+'Testes estatísticos'!$D$43)/2,"")</f>
        <v/>
      </c>
      <c r="AN301" s="7" t="str">
        <f>IF(39&gt;=123,('Testes estatísticos'!$D$128+'Testes estatísticos'!$D$44)/2,"")</f>
        <v/>
      </c>
      <c r="AO301" s="7" t="str">
        <f>IF(40&gt;=123,('Testes estatísticos'!$D$128+'Testes estatísticos'!$D$45)/2,"")</f>
        <v/>
      </c>
      <c r="AP301" s="7" t="str">
        <f>IF(41&gt;=123,('Testes estatísticos'!$D$128+'Testes estatísticos'!$D$46)/2,"")</f>
        <v/>
      </c>
      <c r="AQ301" s="7" t="str">
        <f>IF(42&gt;=123,('Testes estatísticos'!$D$128+'Testes estatísticos'!$D$47)/2,"")</f>
        <v/>
      </c>
      <c r="AR301" s="7" t="str">
        <f>IF(43&gt;=123,('Testes estatísticos'!$D$128+'Testes estatísticos'!$D$48)/2,"")</f>
        <v/>
      </c>
      <c r="AS301" s="7" t="str">
        <f>IF(44&gt;=123,('Testes estatísticos'!$D$128+'Testes estatísticos'!$D$49)/2,"")</f>
        <v/>
      </c>
      <c r="AT301" s="7" t="str">
        <f>IF(45&gt;=123,('Testes estatísticos'!$D$128+'Testes estatísticos'!$D$50)/2,"")</f>
        <v/>
      </c>
      <c r="AU301" s="7" t="str">
        <f>IF(46&gt;=123,('Testes estatísticos'!$D$128+'Testes estatísticos'!$D$51)/2,"")</f>
        <v/>
      </c>
      <c r="AV301" s="7" t="str">
        <f>IF(47&gt;=123,('Testes estatísticos'!$D$128+'Testes estatísticos'!$D$52)/2,"")</f>
        <v/>
      </c>
      <c r="AW301" s="7" t="str">
        <f>IF(48&gt;=123,('Testes estatísticos'!$D$128+'Testes estatísticos'!$D$53)/2,"")</f>
        <v/>
      </c>
      <c r="AX301" s="7" t="str">
        <f>IF(49&gt;=123,('Testes estatísticos'!$D$128+'Testes estatísticos'!$D$54)/2,"")</f>
        <v/>
      </c>
      <c r="AY301" s="7" t="str">
        <f>IF(50&gt;=123,('Testes estatísticos'!$D$128+'Testes estatísticos'!$D$55)/2,"")</f>
        <v/>
      </c>
      <c r="AZ301" s="7" t="str">
        <f>IF(51&gt;=123,('Testes estatísticos'!$D$128+'Testes estatísticos'!$D$56)/2,"")</f>
        <v/>
      </c>
      <c r="BA301" s="7" t="str">
        <f>IF(52&gt;=123,('Testes estatísticos'!$D$128+'Testes estatísticos'!$D$57)/2,"")</f>
        <v/>
      </c>
      <c r="BB301" s="7" t="str">
        <f>IF(53&gt;=123,('Testes estatísticos'!$D$128+'Testes estatísticos'!$D$58)/2,"")</f>
        <v/>
      </c>
      <c r="BC301" s="7" t="str">
        <f>IF(54&gt;=123,('Testes estatísticos'!$D$128+'Testes estatísticos'!$D$59)/2,"")</f>
        <v/>
      </c>
      <c r="BD301" s="7" t="str">
        <f>IF(55&gt;=123,('Testes estatísticos'!$D$128+'Testes estatísticos'!$D$60)/2,"")</f>
        <v/>
      </c>
      <c r="BE301" s="7" t="str">
        <f>IF(56&gt;=123,('Testes estatísticos'!$D$128+'Testes estatísticos'!$D$61)/2,"")</f>
        <v/>
      </c>
      <c r="BF301" s="7" t="str">
        <f>IF(57&gt;=123,('Testes estatísticos'!$D$128+'Testes estatísticos'!$D$62)/2,"")</f>
        <v/>
      </c>
      <c r="BG301" s="7" t="str">
        <f>IF(58&gt;=123,('Testes estatísticos'!$D$128+'Testes estatísticos'!$D$63)/2,"")</f>
        <v/>
      </c>
      <c r="BH301" s="7" t="str">
        <f>IF(59&gt;=123,('Testes estatísticos'!$D$128+'Testes estatísticos'!$D$64)/2,"")</f>
        <v/>
      </c>
      <c r="BI301" s="7" t="str">
        <f>IF(60&gt;=123,('Testes estatísticos'!$D$128+'Testes estatísticos'!$D$65)/2,"")</f>
        <v/>
      </c>
      <c r="BJ301" s="7" t="str">
        <f>IF(61&gt;=123,('Testes estatísticos'!$D$128+'Testes estatísticos'!$D$66)/2,"")</f>
        <v/>
      </c>
      <c r="BK301" s="7" t="str">
        <f>IF(62&gt;=123,('Testes estatísticos'!$D$128+'Testes estatísticos'!$D$67)/2,"")</f>
        <v/>
      </c>
      <c r="BL301" s="7" t="str">
        <f>IF(63&gt;=123,('Testes estatísticos'!$D$128+'Testes estatísticos'!$D$68)/2,"")</f>
        <v/>
      </c>
      <c r="BM301" s="7" t="str">
        <f>IF(64&gt;=123,('Testes estatísticos'!$D$128+'Testes estatísticos'!$D$69)/2,"")</f>
        <v/>
      </c>
      <c r="BN301" s="7" t="str">
        <f>IF(65&gt;=123,('Testes estatísticos'!$D$128+'Testes estatísticos'!$D$70)/2,"")</f>
        <v/>
      </c>
      <c r="BO301" s="7" t="str">
        <f>IF(66&gt;=123,('Testes estatísticos'!$D$128+'Testes estatísticos'!$D$71)/2,"")</f>
        <v/>
      </c>
      <c r="BP301" s="7" t="str">
        <f>IF(67&gt;=123,('Testes estatísticos'!$D$128+'Testes estatísticos'!$D$72)/2,"")</f>
        <v/>
      </c>
      <c r="BQ301" s="7" t="str">
        <f>IF(68&gt;=123,('Testes estatísticos'!$D$128+'Testes estatísticos'!$D$73)/2,"")</f>
        <v/>
      </c>
      <c r="BR301" s="7" t="str">
        <f>IF(69&gt;=123,('Testes estatísticos'!$D$128+'Testes estatísticos'!$D$74)/2,"")</f>
        <v/>
      </c>
      <c r="BS301" s="7" t="str">
        <f>IF(70&gt;=123,('Testes estatísticos'!$D$128+'Testes estatísticos'!$D$75)/2,"")</f>
        <v/>
      </c>
      <c r="BT301" s="7" t="str">
        <f>IF(71&gt;=123,('Testes estatísticos'!$D$128+'Testes estatísticos'!$D$76)/2,"")</f>
        <v/>
      </c>
      <c r="BU301" s="7" t="str">
        <f>IF(72&gt;=123,('Testes estatísticos'!$D$128+'Testes estatísticos'!$D$77)/2,"")</f>
        <v/>
      </c>
      <c r="BV301" s="7" t="str">
        <f>IF(73&gt;=123,('Testes estatísticos'!$D$128+'Testes estatísticos'!$D$78)/2,"")</f>
        <v/>
      </c>
      <c r="BW301" s="7" t="str">
        <f>IF(74&gt;=123,('Testes estatísticos'!$D$128+'Testes estatísticos'!$D$79)/2,"")</f>
        <v/>
      </c>
      <c r="BX301" s="7" t="str">
        <f>IF(75&gt;=123,('Testes estatísticos'!$D$128+'Testes estatísticos'!$D$80)/2,"")</f>
        <v/>
      </c>
      <c r="BY301" s="7" t="str">
        <f>IF(76&gt;=123,('Testes estatísticos'!$D$128+'Testes estatísticos'!$D$81)/2,"")</f>
        <v/>
      </c>
      <c r="BZ301" s="7" t="str">
        <f>IF(77&gt;=123,('Testes estatísticos'!$D$128+'Testes estatísticos'!$D$82)/2,"")</f>
        <v/>
      </c>
      <c r="CA301" s="7" t="str">
        <f>IF(78&gt;=123,('Testes estatísticos'!$D$128+'Testes estatísticos'!$D$83)/2,"")</f>
        <v/>
      </c>
      <c r="CB301" s="7" t="str">
        <f>IF(79&gt;=123,('Testes estatísticos'!$D$128+'Testes estatísticos'!$D$84)/2,"")</f>
        <v/>
      </c>
      <c r="CC301" s="7" t="str">
        <f>IF(80&gt;=123,('Testes estatísticos'!$D$128+'Testes estatísticos'!$D$85)/2,"")</f>
        <v/>
      </c>
      <c r="CD301" s="7" t="str">
        <f>IF(81&gt;=123,('Testes estatísticos'!$D$128+'Testes estatísticos'!$D$86)/2,"")</f>
        <v/>
      </c>
      <c r="CE301" s="7" t="str">
        <f>IF(82&gt;=123,('Testes estatísticos'!$D$128+'Testes estatísticos'!$D$87)/2,"")</f>
        <v/>
      </c>
      <c r="CF301" s="7" t="str">
        <f>IF(83&gt;=123,('Testes estatísticos'!$D$128+'Testes estatísticos'!$D$88)/2,"")</f>
        <v/>
      </c>
      <c r="CG301" s="7" t="str">
        <f>IF(84&gt;=123,('Testes estatísticos'!$D$128+'Testes estatísticos'!$D$89)/2,"")</f>
        <v/>
      </c>
      <c r="CH301" s="7" t="str">
        <f>IF(85&gt;=123,('Testes estatísticos'!$D$128+'Testes estatísticos'!$D$90)/2,"")</f>
        <v/>
      </c>
      <c r="CI301" s="7" t="str">
        <f>IF(86&gt;=123,('Testes estatísticos'!$D$128+'Testes estatísticos'!$D$91)/2,"")</f>
        <v/>
      </c>
      <c r="CJ301" s="7" t="str">
        <f>IF(87&gt;=123,('Testes estatísticos'!$D$128+'Testes estatísticos'!$D$92)/2,"")</f>
        <v/>
      </c>
      <c r="CK301" s="7" t="str">
        <f>IF(88&gt;=123,('Testes estatísticos'!$D$128+'Testes estatísticos'!$D$93)/2,"")</f>
        <v/>
      </c>
      <c r="CL301" s="7" t="str">
        <f>IF(89&gt;=123,('Testes estatísticos'!$D$128+'Testes estatísticos'!$D$94)/2,"")</f>
        <v/>
      </c>
      <c r="CM301" s="7" t="str">
        <f>IF(90&gt;=123,('Testes estatísticos'!$D$128+'Testes estatísticos'!$D$95)/2,"")</f>
        <v/>
      </c>
      <c r="CN301" s="7" t="str">
        <f>IF(91&gt;=123,('Testes estatísticos'!$D$128+'Testes estatísticos'!$D$96)/2,"")</f>
        <v/>
      </c>
      <c r="CO301" s="7" t="str">
        <f>IF(92&gt;=123,('Testes estatísticos'!$D$128+'Testes estatísticos'!$D$97)/2,"")</f>
        <v/>
      </c>
      <c r="CP301" s="7" t="str">
        <f>IF(93&gt;=123,('Testes estatísticos'!$D$128+'Testes estatísticos'!$D$98)/2,"")</f>
        <v/>
      </c>
      <c r="CQ301" s="7" t="str">
        <f>IF(94&gt;=123,('Testes estatísticos'!$D$128+'Testes estatísticos'!$D$99)/2,"")</f>
        <v/>
      </c>
      <c r="CR301" s="7" t="str">
        <f>IF(95&gt;=123,('Testes estatísticos'!$D$128+'Testes estatísticos'!$D$100)/2,"")</f>
        <v/>
      </c>
      <c r="CS301" s="7" t="str">
        <f>IF(96&gt;=123,('Testes estatísticos'!$D$128+'Testes estatísticos'!$D$101)/2,"")</f>
        <v/>
      </c>
      <c r="CT301" s="7" t="str">
        <f>IF(97&gt;=123,('Testes estatísticos'!$D$128+'Testes estatísticos'!$D$102)/2,"")</f>
        <v/>
      </c>
      <c r="CU301" s="7" t="str">
        <f>IF(98&gt;=123,('Testes estatísticos'!$D$128+'Testes estatísticos'!$D$103)/2,"")</f>
        <v/>
      </c>
      <c r="CV301" s="7" t="str">
        <f>IF(99&gt;=123,('Testes estatísticos'!$D$128+'Testes estatísticos'!$D$104)/2,"")</f>
        <v/>
      </c>
      <c r="CW301" s="7" t="str">
        <f>IF(100&gt;=123,('Testes estatísticos'!$D$128+'Testes estatísticos'!$D$105)/2,"")</f>
        <v/>
      </c>
      <c r="CX301" s="7" t="str">
        <f>IF(101&gt;=123,('Testes estatísticos'!$D$128+'Testes estatísticos'!$D$106)/2,"")</f>
        <v/>
      </c>
      <c r="CY301" s="7" t="str">
        <f>IF(102&gt;=123,('Testes estatísticos'!$D$128+'Testes estatísticos'!$D$107)/2,"")</f>
        <v/>
      </c>
      <c r="CZ301" s="7" t="str">
        <f>IF(103&gt;=123,('Testes estatísticos'!$D$128+'Testes estatísticos'!$D$108)/2,"")</f>
        <v/>
      </c>
      <c r="DA301" s="7" t="str">
        <f>IF(104&gt;=123,('Testes estatísticos'!$D$128+'Testes estatísticos'!$D$109)/2,"")</f>
        <v/>
      </c>
      <c r="DB301" s="7" t="str">
        <f>IF(105&gt;=123,('Testes estatísticos'!$D$128+'Testes estatísticos'!$D$110)/2,"")</f>
        <v/>
      </c>
      <c r="DC301" s="7" t="str">
        <f>IF(106&gt;=123,('Testes estatísticos'!$D$128+'Testes estatísticos'!$D$111)/2,"")</f>
        <v/>
      </c>
      <c r="DD301" s="7" t="str">
        <f>IF(107&gt;=123,('Testes estatísticos'!$D$128+'Testes estatísticos'!$D$112)/2,"")</f>
        <v/>
      </c>
      <c r="DE301" s="7" t="str">
        <f>IF(108&gt;=123,('Testes estatísticos'!$D$128+'Testes estatísticos'!$D$113)/2,"")</f>
        <v/>
      </c>
      <c r="DF301" s="7" t="str">
        <f>IF(109&gt;=123,('Testes estatísticos'!$D$128+'Testes estatísticos'!$D$114)/2,"")</f>
        <v/>
      </c>
      <c r="DG301" s="7" t="str">
        <f>IF(110&gt;=123,('Testes estatísticos'!$D$128+'Testes estatísticos'!$D$115)/2,"")</f>
        <v/>
      </c>
      <c r="DH301" s="7" t="str">
        <f>IF(111&gt;=123,('Testes estatísticos'!$D$128+'Testes estatísticos'!$D$116)/2,"")</f>
        <v/>
      </c>
      <c r="DI301" s="7" t="str">
        <f>IF(112&gt;=123,('Testes estatísticos'!$D$128+'Testes estatísticos'!$D$117)/2,"")</f>
        <v/>
      </c>
      <c r="DJ301" s="7" t="str">
        <f>IF(113&gt;=123,('Testes estatísticos'!$D$128+'Testes estatísticos'!$D$118)/2,"")</f>
        <v/>
      </c>
      <c r="DK301" s="7" t="str">
        <f>IF(114&gt;=123,('Testes estatísticos'!$D$128+'Testes estatísticos'!$D$119)/2,"")</f>
        <v/>
      </c>
      <c r="DL301" s="7" t="str">
        <f>IF(115&gt;=123,('Testes estatísticos'!$D$128+'Testes estatísticos'!$D$120)/2,"")</f>
        <v/>
      </c>
      <c r="DM301" s="7" t="str">
        <f>IF(116&gt;=123,('Testes estatísticos'!$D$128+'Testes estatísticos'!$D$121)/2,"")</f>
        <v/>
      </c>
      <c r="DN301" s="7" t="str">
        <f>IF(117&gt;=123,('Testes estatísticos'!$D$128+'Testes estatísticos'!$D$122)/2,"")</f>
        <v/>
      </c>
      <c r="DO301" s="7" t="str">
        <f>IF(118&gt;=123,('Testes estatísticos'!$D$128+'Testes estatísticos'!$D$123)/2,"")</f>
        <v/>
      </c>
      <c r="DP301" s="7" t="str">
        <f>IF(119&gt;=123,('Testes estatísticos'!$D$128+'Testes estatísticos'!$D$124)/2,"")</f>
        <v/>
      </c>
      <c r="DQ301" s="7" t="str">
        <f>IF(120&gt;=123,('Testes estatísticos'!$D$128+'Testes estatísticos'!$D$125)/2,"")</f>
        <v/>
      </c>
      <c r="DR301" s="7" t="str">
        <f>IF(121&gt;=123,('Testes estatísticos'!$D$128+'Testes estatísticos'!$D$126)/2,"")</f>
        <v/>
      </c>
      <c r="DS301" s="7" t="str">
        <f>IF(122&gt;=123,('Testes estatísticos'!$D$128+'Testes estatísticos'!$D$127)/2,"")</f>
        <v/>
      </c>
      <c r="DT301" s="7">
        <f>IF(123&gt;=123,('Testes estatísticos'!$D$128+'Testes estatísticos'!$D$128)/2,"")</f>
        <v>8.5070659999999947</v>
      </c>
      <c r="DU301" s="7">
        <f>IF(124&gt;=123,('Testes estatísticos'!$D$128+'Testes estatísticos'!$D$129)/2,"")</f>
        <v>3.6112944999999961</v>
      </c>
      <c r="DV301" s="7">
        <f>IF(125&gt;=123,('Testes estatísticos'!$D$128+'Testes estatísticos'!$D$130)/2,"")</f>
        <v>4.7696019999999955</v>
      </c>
      <c r="DW301" s="7">
        <f>IF(126&gt;=123,('Testes estatísticos'!$D$128+'Testes estatísticos'!$D$131)/2,"")</f>
        <v>2.3661259999999977</v>
      </c>
      <c r="DX301" s="7">
        <f>IF(127&gt;=123,('Testes estatísticos'!$D$128+'Testes estatísticos'!$D$132)/2,"")</f>
        <v>0.30993449999999712</v>
      </c>
      <c r="DY301" s="7">
        <f>IF(128&gt;=123,('Testes estatísticos'!$D$128+'Testes estatísticos'!$D$133)/2,"")</f>
        <v>-3.115500000000182E-2</v>
      </c>
      <c r="DZ301" s="7">
        <f>IF(129&gt;=123,('Testes estatísticos'!$D$128+'Testes estatísticos'!$D$134)/2,"")</f>
        <v>-3.4549450000000022</v>
      </c>
      <c r="EA301" s="7">
        <f>IF(130&gt;=123,('Testes estatísticos'!$D$128+'Testes estatísticos'!$D$135)/2,"")</f>
        <v>2.3068249999999999</v>
      </c>
      <c r="EB301" s="7">
        <f>IF(131&gt;=123,('Testes estatísticos'!$D$128+'Testes estatísticos'!$D$136)/2,"")</f>
        <v>2.3946979999999947</v>
      </c>
      <c r="EC301" s="7">
        <f>IF(132&gt;=123,('Testes estatísticos'!$D$128+'Testes estatísticos'!$D$137)/2,"")</f>
        <v>0.90796149999999543</v>
      </c>
      <c r="ED301" s="7">
        <f>IF(133&gt;=123,('Testes estatísticos'!$D$128+'Testes estatísticos'!$D$138)/2,"")</f>
        <v>3.096898999999997</v>
      </c>
      <c r="EE301" s="7">
        <f>IF(134&gt;=123,('Testes estatísticos'!$D$128+'Testes estatísticos'!$D$139)/2,"")</f>
        <v>0.79970849999999416</v>
      </c>
      <c r="EF301" s="7">
        <f>IF(135&gt;=123,('Testes estatísticos'!$D$128+'Testes estatísticos'!$D$140)/2,"")</f>
        <v>4.0141409999999986</v>
      </c>
      <c r="EG301" s="7">
        <f>IF(136&gt;=123,('Testes estatísticos'!$D$128+'Testes estatísticos'!$D$141)/2,"")</f>
        <v>2.3206509999999945</v>
      </c>
      <c r="EH301" s="7">
        <f>IF(137&gt;=123,('Testes estatísticos'!$D$128+'Testes estatísticos'!$D$142)/2,"")</f>
        <v>4.0253909999999955</v>
      </c>
      <c r="EI301" s="7">
        <f>IF(138&gt;=123,('Testes estatísticos'!$D$128+'Testes estatísticos'!$D$143)/2,"")</f>
        <v>2.3603755</v>
      </c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</row>
    <row r="302" spans="2:151" x14ac:dyDescent="0.3">
      <c r="B302" s="7" t="str">
        <f>IF(1&gt;=124,('Testes estatísticos'!$D$129+'Testes estatísticos'!$D$6)/2,"")</f>
        <v/>
      </c>
      <c r="C302" s="7" t="str">
        <f>IF(2&gt;=124,('Testes estatísticos'!$D$129+'Testes estatísticos'!$D$7)/2,"")</f>
        <v/>
      </c>
      <c r="D302" s="7" t="str">
        <f>IF(3&gt;=124,('Testes estatísticos'!$D$129+'Testes estatísticos'!$D$8)/2,"")</f>
        <v/>
      </c>
      <c r="E302" s="7" t="str">
        <f>IF(4&gt;=124,('Testes estatísticos'!$D$129+'Testes estatísticos'!$D$9)/2,"")</f>
        <v/>
      </c>
      <c r="F302" s="7" t="str">
        <f>IF(5&gt;=124,('Testes estatísticos'!$D$129+'Testes estatísticos'!$D$10)/2,"")</f>
        <v/>
      </c>
      <c r="G302" s="7" t="str">
        <f>IF(6&gt;=124,('Testes estatísticos'!$D$129+'Testes estatísticos'!$D$11)/2,"")</f>
        <v/>
      </c>
      <c r="H302" s="7" t="str">
        <f>IF(7&gt;=124,('Testes estatísticos'!$D$129+'Testes estatísticos'!$D$12)/2,"")</f>
        <v/>
      </c>
      <c r="I302" s="7" t="str">
        <f>IF(8&gt;=124,('Testes estatísticos'!$D$129+'Testes estatísticos'!$D$13)/2,"")</f>
        <v/>
      </c>
      <c r="J302" s="7" t="str">
        <f>IF(9&gt;=124,('Testes estatísticos'!$D$129+'Testes estatísticos'!$D$14)/2,"")</f>
        <v/>
      </c>
      <c r="K302" s="7" t="str">
        <f>IF(10&gt;=124,('Testes estatísticos'!$D$129+'Testes estatísticos'!$D$15)/2,"")</f>
        <v/>
      </c>
      <c r="L302" s="7" t="str">
        <f>IF(11&gt;=124,('Testes estatísticos'!$D$129+'Testes estatísticos'!$D$16)/2,"")</f>
        <v/>
      </c>
      <c r="M302" s="7" t="str">
        <f>IF(12&gt;=124,('Testes estatísticos'!$D$129+'Testes estatísticos'!$D$17)/2,"")</f>
        <v/>
      </c>
      <c r="N302" s="7" t="str">
        <f>IF(13&gt;=124,('Testes estatísticos'!$D$129+'Testes estatísticos'!$D$18)/2,"")</f>
        <v/>
      </c>
      <c r="O302" s="7" t="str">
        <f>IF(14&gt;=124,('Testes estatísticos'!$D$129+'Testes estatísticos'!$D$19)/2,"")</f>
        <v/>
      </c>
      <c r="P302" s="7" t="str">
        <f>IF(15&gt;=124,('Testes estatísticos'!$D$129+'Testes estatísticos'!$D$20)/2,"")</f>
        <v/>
      </c>
      <c r="Q302" s="7" t="str">
        <f>IF(16&gt;=124,('Testes estatísticos'!$D$129+'Testes estatísticos'!$D$21)/2,"")</f>
        <v/>
      </c>
      <c r="R302" s="7" t="str">
        <f>IF(17&gt;=124,('Testes estatísticos'!$D$129+'Testes estatísticos'!$D$22)/2,"")</f>
        <v/>
      </c>
      <c r="S302" s="7" t="str">
        <f>IF(18&gt;=124,('Testes estatísticos'!$D$129+'Testes estatísticos'!$D$23)/2,"")</f>
        <v/>
      </c>
      <c r="T302" s="7" t="str">
        <f>IF(19&gt;=124,('Testes estatísticos'!$D$129+'Testes estatísticos'!$D$24)/2,"")</f>
        <v/>
      </c>
      <c r="U302" s="7" t="str">
        <f>IF(20&gt;=124,('Testes estatísticos'!$D$129+'Testes estatísticos'!$D$25)/2,"")</f>
        <v/>
      </c>
      <c r="V302" s="7" t="str">
        <f>IF(21&gt;=124,('Testes estatísticos'!$D$129+'Testes estatísticos'!$D$26)/2,"")</f>
        <v/>
      </c>
      <c r="W302" s="7" t="str">
        <f>IF(22&gt;=124,('Testes estatísticos'!$D$129+'Testes estatísticos'!$D$27)/2,"")</f>
        <v/>
      </c>
      <c r="X302" s="7" t="str">
        <f>IF(23&gt;=124,('Testes estatísticos'!$D$129+'Testes estatísticos'!$D$28)/2,"")</f>
        <v/>
      </c>
      <c r="Y302" s="7" t="str">
        <f>IF(24&gt;=124,('Testes estatísticos'!$D$129+'Testes estatísticos'!$D$29)/2,"")</f>
        <v/>
      </c>
      <c r="Z302" s="7" t="str">
        <f>IF(25&gt;=124,('Testes estatísticos'!$D$129+'Testes estatísticos'!$D$30)/2,"")</f>
        <v/>
      </c>
      <c r="AA302" s="7" t="str">
        <f>IF(26&gt;=124,('Testes estatísticos'!$D$129+'Testes estatísticos'!$D$31)/2,"")</f>
        <v/>
      </c>
      <c r="AB302" s="7" t="str">
        <f>IF(27&gt;=124,('Testes estatísticos'!$D$129+'Testes estatísticos'!$D$32)/2,"")</f>
        <v/>
      </c>
      <c r="AC302" s="7" t="str">
        <f>IF(28&gt;=124,('Testes estatísticos'!$D$129+'Testes estatísticos'!$D$33)/2,"")</f>
        <v/>
      </c>
      <c r="AD302" s="7" t="str">
        <f>IF(29&gt;=124,('Testes estatísticos'!$D$129+'Testes estatísticos'!$D$34)/2,"")</f>
        <v/>
      </c>
      <c r="AE302" s="7" t="str">
        <f>IF(30&gt;=124,('Testes estatísticos'!$D$129+'Testes estatísticos'!$D$35)/2,"")</f>
        <v/>
      </c>
      <c r="AF302" s="7" t="str">
        <f>IF(31&gt;=124,('Testes estatísticos'!$D$129+'Testes estatísticos'!$D$36)/2,"")</f>
        <v/>
      </c>
      <c r="AG302" s="7" t="str">
        <f>IF(32&gt;=124,('Testes estatísticos'!$D$129+'Testes estatísticos'!$D$37)/2,"")</f>
        <v/>
      </c>
      <c r="AH302" s="7" t="str">
        <f>IF(33&gt;=124,('Testes estatísticos'!$D$129+'Testes estatísticos'!$D$38)/2,"")</f>
        <v/>
      </c>
      <c r="AI302" s="7" t="str">
        <f>IF(34&gt;=124,('Testes estatísticos'!$D$129+'Testes estatísticos'!$D$39)/2,"")</f>
        <v/>
      </c>
      <c r="AJ302" s="7" t="str">
        <f>IF(35&gt;=124,('Testes estatísticos'!$D$129+'Testes estatísticos'!$D$40)/2,"")</f>
        <v/>
      </c>
      <c r="AK302" s="7" t="str">
        <f>IF(36&gt;=124,('Testes estatísticos'!$D$129+'Testes estatísticos'!$D$41)/2,"")</f>
        <v/>
      </c>
      <c r="AL302" s="7" t="str">
        <f>IF(37&gt;=124,('Testes estatísticos'!$D$129+'Testes estatísticos'!$D$42)/2,"")</f>
        <v/>
      </c>
      <c r="AM302" s="7" t="str">
        <f>IF(38&gt;=124,('Testes estatísticos'!$D$129+'Testes estatísticos'!$D$43)/2,"")</f>
        <v/>
      </c>
      <c r="AN302" s="7" t="str">
        <f>IF(39&gt;=124,('Testes estatísticos'!$D$129+'Testes estatísticos'!$D$44)/2,"")</f>
        <v/>
      </c>
      <c r="AO302" s="7" t="str">
        <f>IF(40&gt;=124,('Testes estatísticos'!$D$129+'Testes estatísticos'!$D$45)/2,"")</f>
        <v/>
      </c>
      <c r="AP302" s="7" t="str">
        <f>IF(41&gt;=124,('Testes estatísticos'!$D$129+'Testes estatísticos'!$D$46)/2,"")</f>
        <v/>
      </c>
      <c r="AQ302" s="7" t="str">
        <f>IF(42&gt;=124,('Testes estatísticos'!$D$129+'Testes estatísticos'!$D$47)/2,"")</f>
        <v/>
      </c>
      <c r="AR302" s="7" t="str">
        <f>IF(43&gt;=124,('Testes estatísticos'!$D$129+'Testes estatísticos'!$D$48)/2,"")</f>
        <v/>
      </c>
      <c r="AS302" s="7" t="str">
        <f>IF(44&gt;=124,('Testes estatísticos'!$D$129+'Testes estatísticos'!$D$49)/2,"")</f>
        <v/>
      </c>
      <c r="AT302" s="7" t="str">
        <f>IF(45&gt;=124,('Testes estatísticos'!$D$129+'Testes estatísticos'!$D$50)/2,"")</f>
        <v/>
      </c>
      <c r="AU302" s="7" t="str">
        <f>IF(46&gt;=124,('Testes estatísticos'!$D$129+'Testes estatísticos'!$D$51)/2,"")</f>
        <v/>
      </c>
      <c r="AV302" s="7" t="str">
        <f>IF(47&gt;=124,('Testes estatísticos'!$D$129+'Testes estatísticos'!$D$52)/2,"")</f>
        <v/>
      </c>
      <c r="AW302" s="7" t="str">
        <f>IF(48&gt;=124,('Testes estatísticos'!$D$129+'Testes estatísticos'!$D$53)/2,"")</f>
        <v/>
      </c>
      <c r="AX302" s="7" t="str">
        <f>IF(49&gt;=124,('Testes estatísticos'!$D$129+'Testes estatísticos'!$D$54)/2,"")</f>
        <v/>
      </c>
      <c r="AY302" s="7" t="str">
        <f>IF(50&gt;=124,('Testes estatísticos'!$D$129+'Testes estatísticos'!$D$55)/2,"")</f>
        <v/>
      </c>
      <c r="AZ302" s="7" t="str">
        <f>IF(51&gt;=124,('Testes estatísticos'!$D$129+'Testes estatísticos'!$D$56)/2,"")</f>
        <v/>
      </c>
      <c r="BA302" s="7" t="str">
        <f>IF(52&gt;=124,('Testes estatísticos'!$D$129+'Testes estatísticos'!$D$57)/2,"")</f>
        <v/>
      </c>
      <c r="BB302" s="7" t="str">
        <f>IF(53&gt;=124,('Testes estatísticos'!$D$129+'Testes estatísticos'!$D$58)/2,"")</f>
        <v/>
      </c>
      <c r="BC302" s="7" t="str">
        <f>IF(54&gt;=124,('Testes estatísticos'!$D$129+'Testes estatísticos'!$D$59)/2,"")</f>
        <v/>
      </c>
      <c r="BD302" s="7" t="str">
        <f>IF(55&gt;=124,('Testes estatísticos'!$D$129+'Testes estatísticos'!$D$60)/2,"")</f>
        <v/>
      </c>
      <c r="BE302" s="7" t="str">
        <f>IF(56&gt;=124,('Testes estatísticos'!$D$129+'Testes estatísticos'!$D$61)/2,"")</f>
        <v/>
      </c>
      <c r="BF302" s="7" t="str">
        <f>IF(57&gt;=124,('Testes estatísticos'!$D$129+'Testes estatísticos'!$D$62)/2,"")</f>
        <v/>
      </c>
      <c r="BG302" s="7" t="str">
        <f>IF(58&gt;=124,('Testes estatísticos'!$D$129+'Testes estatísticos'!$D$63)/2,"")</f>
        <v/>
      </c>
      <c r="BH302" s="7" t="str">
        <f>IF(59&gt;=124,('Testes estatísticos'!$D$129+'Testes estatísticos'!$D$64)/2,"")</f>
        <v/>
      </c>
      <c r="BI302" s="7" t="str">
        <f>IF(60&gt;=124,('Testes estatísticos'!$D$129+'Testes estatísticos'!$D$65)/2,"")</f>
        <v/>
      </c>
      <c r="BJ302" s="7" t="str">
        <f>IF(61&gt;=124,('Testes estatísticos'!$D$129+'Testes estatísticos'!$D$66)/2,"")</f>
        <v/>
      </c>
      <c r="BK302" s="7" t="str">
        <f>IF(62&gt;=124,('Testes estatísticos'!$D$129+'Testes estatísticos'!$D$67)/2,"")</f>
        <v/>
      </c>
      <c r="BL302" s="7" t="str">
        <f>IF(63&gt;=124,('Testes estatísticos'!$D$129+'Testes estatísticos'!$D$68)/2,"")</f>
        <v/>
      </c>
      <c r="BM302" s="7" t="str">
        <f>IF(64&gt;=124,('Testes estatísticos'!$D$129+'Testes estatísticos'!$D$69)/2,"")</f>
        <v/>
      </c>
      <c r="BN302" s="7" t="str">
        <f>IF(65&gt;=124,('Testes estatísticos'!$D$129+'Testes estatísticos'!$D$70)/2,"")</f>
        <v/>
      </c>
      <c r="BO302" s="7" t="str">
        <f>IF(66&gt;=124,('Testes estatísticos'!$D$129+'Testes estatísticos'!$D$71)/2,"")</f>
        <v/>
      </c>
      <c r="BP302" s="7" t="str">
        <f>IF(67&gt;=124,('Testes estatísticos'!$D$129+'Testes estatísticos'!$D$72)/2,"")</f>
        <v/>
      </c>
      <c r="BQ302" s="7" t="str">
        <f>IF(68&gt;=124,('Testes estatísticos'!$D$129+'Testes estatísticos'!$D$73)/2,"")</f>
        <v/>
      </c>
      <c r="BR302" s="7" t="str">
        <f>IF(69&gt;=124,('Testes estatísticos'!$D$129+'Testes estatísticos'!$D$74)/2,"")</f>
        <v/>
      </c>
      <c r="BS302" s="7" t="str">
        <f>IF(70&gt;=124,('Testes estatísticos'!$D$129+'Testes estatísticos'!$D$75)/2,"")</f>
        <v/>
      </c>
      <c r="BT302" s="7" t="str">
        <f>IF(71&gt;=124,('Testes estatísticos'!$D$129+'Testes estatísticos'!$D$76)/2,"")</f>
        <v/>
      </c>
      <c r="BU302" s="7" t="str">
        <f>IF(72&gt;=124,('Testes estatísticos'!$D$129+'Testes estatísticos'!$D$77)/2,"")</f>
        <v/>
      </c>
      <c r="BV302" s="7" t="str">
        <f>IF(73&gt;=124,('Testes estatísticos'!$D$129+'Testes estatísticos'!$D$78)/2,"")</f>
        <v/>
      </c>
      <c r="BW302" s="7" t="str">
        <f>IF(74&gt;=124,('Testes estatísticos'!$D$129+'Testes estatísticos'!$D$79)/2,"")</f>
        <v/>
      </c>
      <c r="BX302" s="7" t="str">
        <f>IF(75&gt;=124,('Testes estatísticos'!$D$129+'Testes estatísticos'!$D$80)/2,"")</f>
        <v/>
      </c>
      <c r="BY302" s="7" t="str">
        <f>IF(76&gt;=124,('Testes estatísticos'!$D$129+'Testes estatísticos'!$D$81)/2,"")</f>
        <v/>
      </c>
      <c r="BZ302" s="7" t="str">
        <f>IF(77&gt;=124,('Testes estatísticos'!$D$129+'Testes estatísticos'!$D$82)/2,"")</f>
        <v/>
      </c>
      <c r="CA302" s="7" t="str">
        <f>IF(78&gt;=124,('Testes estatísticos'!$D$129+'Testes estatísticos'!$D$83)/2,"")</f>
        <v/>
      </c>
      <c r="CB302" s="7" t="str">
        <f>IF(79&gt;=124,('Testes estatísticos'!$D$129+'Testes estatísticos'!$D$84)/2,"")</f>
        <v/>
      </c>
      <c r="CC302" s="7" t="str">
        <f>IF(80&gt;=124,('Testes estatísticos'!$D$129+'Testes estatísticos'!$D$85)/2,"")</f>
        <v/>
      </c>
      <c r="CD302" s="7" t="str">
        <f>IF(81&gt;=124,('Testes estatísticos'!$D$129+'Testes estatísticos'!$D$86)/2,"")</f>
        <v/>
      </c>
      <c r="CE302" s="7" t="str">
        <f>IF(82&gt;=124,('Testes estatísticos'!$D$129+'Testes estatísticos'!$D$87)/2,"")</f>
        <v/>
      </c>
      <c r="CF302" s="7" t="str">
        <f>IF(83&gt;=124,('Testes estatísticos'!$D$129+'Testes estatísticos'!$D$88)/2,"")</f>
        <v/>
      </c>
      <c r="CG302" s="7" t="str">
        <f>IF(84&gt;=124,('Testes estatísticos'!$D$129+'Testes estatísticos'!$D$89)/2,"")</f>
        <v/>
      </c>
      <c r="CH302" s="7" t="str">
        <f>IF(85&gt;=124,('Testes estatísticos'!$D$129+'Testes estatísticos'!$D$90)/2,"")</f>
        <v/>
      </c>
      <c r="CI302" s="7" t="str">
        <f>IF(86&gt;=124,('Testes estatísticos'!$D$129+'Testes estatísticos'!$D$91)/2,"")</f>
        <v/>
      </c>
      <c r="CJ302" s="7" t="str">
        <f>IF(87&gt;=124,('Testes estatísticos'!$D$129+'Testes estatísticos'!$D$92)/2,"")</f>
        <v/>
      </c>
      <c r="CK302" s="7" t="str">
        <f>IF(88&gt;=124,('Testes estatísticos'!$D$129+'Testes estatísticos'!$D$93)/2,"")</f>
        <v/>
      </c>
      <c r="CL302" s="7" t="str">
        <f>IF(89&gt;=124,('Testes estatísticos'!$D$129+'Testes estatísticos'!$D$94)/2,"")</f>
        <v/>
      </c>
      <c r="CM302" s="7" t="str">
        <f>IF(90&gt;=124,('Testes estatísticos'!$D$129+'Testes estatísticos'!$D$95)/2,"")</f>
        <v/>
      </c>
      <c r="CN302" s="7" t="str">
        <f>IF(91&gt;=124,('Testes estatísticos'!$D$129+'Testes estatísticos'!$D$96)/2,"")</f>
        <v/>
      </c>
      <c r="CO302" s="7" t="str">
        <f>IF(92&gt;=124,('Testes estatísticos'!$D$129+'Testes estatísticos'!$D$97)/2,"")</f>
        <v/>
      </c>
      <c r="CP302" s="7" t="str">
        <f>IF(93&gt;=124,('Testes estatísticos'!$D$129+'Testes estatísticos'!$D$98)/2,"")</f>
        <v/>
      </c>
      <c r="CQ302" s="7" t="str">
        <f>IF(94&gt;=124,('Testes estatísticos'!$D$129+'Testes estatísticos'!$D$99)/2,"")</f>
        <v/>
      </c>
      <c r="CR302" s="7" t="str">
        <f>IF(95&gt;=124,('Testes estatísticos'!$D$129+'Testes estatísticos'!$D$100)/2,"")</f>
        <v/>
      </c>
      <c r="CS302" s="7" t="str">
        <f>IF(96&gt;=124,('Testes estatísticos'!$D$129+'Testes estatísticos'!$D$101)/2,"")</f>
        <v/>
      </c>
      <c r="CT302" s="7" t="str">
        <f>IF(97&gt;=124,('Testes estatísticos'!$D$129+'Testes estatísticos'!$D$102)/2,"")</f>
        <v/>
      </c>
      <c r="CU302" s="7" t="str">
        <f>IF(98&gt;=124,('Testes estatísticos'!$D$129+'Testes estatísticos'!$D$103)/2,"")</f>
        <v/>
      </c>
      <c r="CV302" s="7" t="str">
        <f>IF(99&gt;=124,('Testes estatísticos'!$D$129+'Testes estatísticos'!$D$104)/2,"")</f>
        <v/>
      </c>
      <c r="CW302" s="7" t="str">
        <f>IF(100&gt;=124,('Testes estatísticos'!$D$129+'Testes estatísticos'!$D$105)/2,"")</f>
        <v/>
      </c>
      <c r="CX302" s="7" t="str">
        <f>IF(101&gt;=124,('Testes estatísticos'!$D$129+'Testes estatísticos'!$D$106)/2,"")</f>
        <v/>
      </c>
      <c r="CY302" s="7" t="str">
        <f>IF(102&gt;=124,('Testes estatísticos'!$D$129+'Testes estatísticos'!$D$107)/2,"")</f>
        <v/>
      </c>
      <c r="CZ302" s="7" t="str">
        <f>IF(103&gt;=124,('Testes estatísticos'!$D$129+'Testes estatísticos'!$D$108)/2,"")</f>
        <v/>
      </c>
      <c r="DA302" s="7" t="str">
        <f>IF(104&gt;=124,('Testes estatísticos'!$D$129+'Testes estatísticos'!$D$109)/2,"")</f>
        <v/>
      </c>
      <c r="DB302" s="7" t="str">
        <f>IF(105&gt;=124,('Testes estatísticos'!$D$129+'Testes estatísticos'!$D$110)/2,"")</f>
        <v/>
      </c>
      <c r="DC302" s="7" t="str">
        <f>IF(106&gt;=124,('Testes estatísticos'!$D$129+'Testes estatísticos'!$D$111)/2,"")</f>
        <v/>
      </c>
      <c r="DD302" s="7" t="str">
        <f>IF(107&gt;=124,('Testes estatísticos'!$D$129+'Testes estatísticos'!$D$112)/2,"")</f>
        <v/>
      </c>
      <c r="DE302" s="7" t="str">
        <f>IF(108&gt;=124,('Testes estatísticos'!$D$129+'Testes estatísticos'!$D$113)/2,"")</f>
        <v/>
      </c>
      <c r="DF302" s="7" t="str">
        <f>IF(109&gt;=124,('Testes estatísticos'!$D$129+'Testes estatísticos'!$D$114)/2,"")</f>
        <v/>
      </c>
      <c r="DG302" s="7" t="str">
        <f>IF(110&gt;=124,('Testes estatísticos'!$D$129+'Testes estatísticos'!$D$115)/2,"")</f>
        <v/>
      </c>
      <c r="DH302" s="7" t="str">
        <f>IF(111&gt;=124,('Testes estatísticos'!$D$129+'Testes estatísticos'!$D$116)/2,"")</f>
        <v/>
      </c>
      <c r="DI302" s="7" t="str">
        <f>IF(112&gt;=124,('Testes estatísticos'!$D$129+'Testes estatísticos'!$D$117)/2,"")</f>
        <v/>
      </c>
      <c r="DJ302" s="7" t="str">
        <f>IF(113&gt;=124,('Testes estatísticos'!$D$129+'Testes estatísticos'!$D$118)/2,"")</f>
        <v/>
      </c>
      <c r="DK302" s="7" t="str">
        <f>IF(114&gt;=124,('Testes estatísticos'!$D$129+'Testes estatísticos'!$D$119)/2,"")</f>
        <v/>
      </c>
      <c r="DL302" s="7" t="str">
        <f>IF(115&gt;=124,('Testes estatísticos'!$D$129+'Testes estatísticos'!$D$120)/2,"")</f>
        <v/>
      </c>
      <c r="DM302" s="7" t="str">
        <f>IF(116&gt;=124,('Testes estatísticos'!$D$129+'Testes estatísticos'!$D$121)/2,"")</f>
        <v/>
      </c>
      <c r="DN302" s="7" t="str">
        <f>IF(117&gt;=124,('Testes estatísticos'!$D$129+'Testes estatísticos'!$D$122)/2,"")</f>
        <v/>
      </c>
      <c r="DO302" s="7" t="str">
        <f>IF(118&gt;=124,('Testes estatísticos'!$D$129+'Testes estatísticos'!$D$123)/2,"")</f>
        <v/>
      </c>
      <c r="DP302" s="7" t="str">
        <f>IF(119&gt;=124,('Testes estatísticos'!$D$129+'Testes estatísticos'!$D$124)/2,"")</f>
        <v/>
      </c>
      <c r="DQ302" s="7" t="str">
        <f>IF(120&gt;=124,('Testes estatísticos'!$D$129+'Testes estatísticos'!$D$125)/2,"")</f>
        <v/>
      </c>
      <c r="DR302" s="7" t="str">
        <f>IF(121&gt;=124,('Testes estatísticos'!$D$129+'Testes estatísticos'!$D$126)/2,"")</f>
        <v/>
      </c>
      <c r="DS302" s="7" t="str">
        <f>IF(122&gt;=124,('Testes estatísticos'!$D$129+'Testes estatísticos'!$D$127)/2,"")</f>
        <v/>
      </c>
      <c r="DT302" s="7" t="str">
        <f>IF(123&gt;=124,('Testes estatísticos'!$D$129+'Testes estatísticos'!$D$128)/2,"")</f>
        <v/>
      </c>
      <c r="DU302" s="7">
        <f>IF(124&gt;=124,('Testes estatísticos'!$D$129+'Testes estatísticos'!$D$129)/2,"")</f>
        <v>-1.2844770000000025</v>
      </c>
      <c r="DV302" s="7">
        <f>IF(125&gt;=124,('Testes estatísticos'!$D$129+'Testes estatísticos'!$D$130)/2,"")</f>
        <v>-0.12616950000000315</v>
      </c>
      <c r="DW302" s="7">
        <f>IF(126&gt;=124,('Testes estatísticos'!$D$129+'Testes estatísticos'!$D$131)/2,"")</f>
        <v>-2.5296455000000009</v>
      </c>
      <c r="DX302" s="7">
        <f>IF(127&gt;=124,('Testes estatísticos'!$D$129+'Testes estatísticos'!$D$132)/2,"")</f>
        <v>-4.5858370000000015</v>
      </c>
      <c r="DY302" s="7">
        <f>IF(128&gt;=124,('Testes estatísticos'!$D$129+'Testes estatísticos'!$D$133)/2,"")</f>
        <v>-4.9269265000000004</v>
      </c>
      <c r="DZ302" s="7">
        <f>IF(129&gt;=124,('Testes estatísticos'!$D$129+'Testes estatísticos'!$D$134)/2,"")</f>
        <v>-8.3507165000000008</v>
      </c>
      <c r="EA302" s="7">
        <f>IF(130&gt;=124,('Testes estatísticos'!$D$129+'Testes estatísticos'!$D$135)/2,"")</f>
        <v>-2.5889464999999987</v>
      </c>
      <c r="EB302" s="7">
        <f>IF(131&gt;=124,('Testes estatísticos'!$D$129+'Testes estatísticos'!$D$136)/2,"")</f>
        <v>-2.5010735000000039</v>
      </c>
      <c r="EC302" s="7">
        <f>IF(132&gt;=124,('Testes estatísticos'!$D$129+'Testes estatísticos'!$D$137)/2,"")</f>
        <v>-3.9878100000000032</v>
      </c>
      <c r="ED302" s="7">
        <f>IF(133&gt;=124,('Testes estatísticos'!$D$129+'Testes estatísticos'!$D$138)/2,"")</f>
        <v>-1.7988725000000017</v>
      </c>
      <c r="EE302" s="7">
        <f>IF(134&gt;=124,('Testes estatísticos'!$D$129+'Testes estatísticos'!$D$139)/2,"")</f>
        <v>-4.0960630000000045</v>
      </c>
      <c r="EF302" s="7">
        <f>IF(135&gt;=124,('Testes estatísticos'!$D$129+'Testes estatísticos'!$D$140)/2,"")</f>
        <v>-0.88163049999999998</v>
      </c>
      <c r="EG302" s="7">
        <f>IF(136&gt;=124,('Testes estatísticos'!$D$129+'Testes estatísticos'!$D$141)/2,"")</f>
        <v>-2.5751205000000041</v>
      </c>
      <c r="EH302" s="7">
        <f>IF(137&gt;=124,('Testes estatísticos'!$D$129+'Testes estatísticos'!$D$142)/2,"")</f>
        <v>-0.87038050000000311</v>
      </c>
      <c r="EI302" s="7">
        <f>IF(138&gt;=124,('Testes estatísticos'!$D$129+'Testes estatísticos'!$D$143)/2,"")</f>
        <v>-2.5353959999999987</v>
      </c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</row>
    <row r="303" spans="2:151" x14ac:dyDescent="0.3">
      <c r="B303" s="7" t="str">
        <f>IF(1&gt;=125,('Testes estatísticos'!$D$130+'Testes estatísticos'!$D$6)/2,"")</f>
        <v/>
      </c>
      <c r="C303" s="7" t="str">
        <f>IF(2&gt;=125,('Testes estatísticos'!$D$130+'Testes estatísticos'!$D$7)/2,"")</f>
        <v/>
      </c>
      <c r="D303" s="7" t="str">
        <f>IF(3&gt;=125,('Testes estatísticos'!$D$130+'Testes estatísticos'!$D$8)/2,"")</f>
        <v/>
      </c>
      <c r="E303" s="7" t="str">
        <f>IF(4&gt;=125,('Testes estatísticos'!$D$130+'Testes estatísticos'!$D$9)/2,"")</f>
        <v/>
      </c>
      <c r="F303" s="7" t="str">
        <f>IF(5&gt;=125,('Testes estatísticos'!$D$130+'Testes estatísticos'!$D$10)/2,"")</f>
        <v/>
      </c>
      <c r="G303" s="7" t="str">
        <f>IF(6&gt;=125,('Testes estatísticos'!$D$130+'Testes estatísticos'!$D$11)/2,"")</f>
        <v/>
      </c>
      <c r="H303" s="7" t="str">
        <f>IF(7&gt;=125,('Testes estatísticos'!$D$130+'Testes estatísticos'!$D$12)/2,"")</f>
        <v/>
      </c>
      <c r="I303" s="7" t="str">
        <f>IF(8&gt;=125,('Testes estatísticos'!$D$130+'Testes estatísticos'!$D$13)/2,"")</f>
        <v/>
      </c>
      <c r="J303" s="7" t="str">
        <f>IF(9&gt;=125,('Testes estatísticos'!$D$130+'Testes estatísticos'!$D$14)/2,"")</f>
        <v/>
      </c>
      <c r="K303" s="7" t="str">
        <f>IF(10&gt;=125,('Testes estatísticos'!$D$130+'Testes estatísticos'!$D$15)/2,"")</f>
        <v/>
      </c>
      <c r="L303" s="7" t="str">
        <f>IF(11&gt;=125,('Testes estatísticos'!$D$130+'Testes estatísticos'!$D$16)/2,"")</f>
        <v/>
      </c>
      <c r="M303" s="7" t="str">
        <f>IF(12&gt;=125,('Testes estatísticos'!$D$130+'Testes estatísticos'!$D$17)/2,"")</f>
        <v/>
      </c>
      <c r="N303" s="7" t="str">
        <f>IF(13&gt;=125,('Testes estatísticos'!$D$130+'Testes estatísticos'!$D$18)/2,"")</f>
        <v/>
      </c>
      <c r="O303" s="7" t="str">
        <f>IF(14&gt;=125,('Testes estatísticos'!$D$130+'Testes estatísticos'!$D$19)/2,"")</f>
        <v/>
      </c>
      <c r="P303" s="7" t="str">
        <f>IF(15&gt;=125,('Testes estatísticos'!$D$130+'Testes estatísticos'!$D$20)/2,"")</f>
        <v/>
      </c>
      <c r="Q303" s="7" t="str">
        <f>IF(16&gt;=125,('Testes estatísticos'!$D$130+'Testes estatísticos'!$D$21)/2,"")</f>
        <v/>
      </c>
      <c r="R303" s="7" t="str">
        <f>IF(17&gt;=125,('Testes estatísticos'!$D$130+'Testes estatísticos'!$D$22)/2,"")</f>
        <v/>
      </c>
      <c r="S303" s="7" t="str">
        <f>IF(18&gt;=125,('Testes estatísticos'!$D$130+'Testes estatísticos'!$D$23)/2,"")</f>
        <v/>
      </c>
      <c r="T303" s="7" t="str">
        <f>IF(19&gt;=125,('Testes estatísticos'!$D$130+'Testes estatísticos'!$D$24)/2,"")</f>
        <v/>
      </c>
      <c r="U303" s="7" t="str">
        <f>IF(20&gt;=125,('Testes estatísticos'!$D$130+'Testes estatísticos'!$D$25)/2,"")</f>
        <v/>
      </c>
      <c r="V303" s="7" t="str">
        <f>IF(21&gt;=125,('Testes estatísticos'!$D$130+'Testes estatísticos'!$D$26)/2,"")</f>
        <v/>
      </c>
      <c r="W303" s="7" t="str">
        <f>IF(22&gt;=125,('Testes estatísticos'!$D$130+'Testes estatísticos'!$D$27)/2,"")</f>
        <v/>
      </c>
      <c r="X303" s="7" t="str">
        <f>IF(23&gt;=125,('Testes estatísticos'!$D$130+'Testes estatísticos'!$D$28)/2,"")</f>
        <v/>
      </c>
      <c r="Y303" s="7" t="str">
        <f>IF(24&gt;=125,('Testes estatísticos'!$D$130+'Testes estatísticos'!$D$29)/2,"")</f>
        <v/>
      </c>
      <c r="Z303" s="7" t="str">
        <f>IF(25&gt;=125,('Testes estatísticos'!$D$130+'Testes estatísticos'!$D$30)/2,"")</f>
        <v/>
      </c>
      <c r="AA303" s="7" t="str">
        <f>IF(26&gt;=125,('Testes estatísticos'!$D$130+'Testes estatísticos'!$D$31)/2,"")</f>
        <v/>
      </c>
      <c r="AB303" s="7" t="str">
        <f>IF(27&gt;=125,('Testes estatísticos'!$D$130+'Testes estatísticos'!$D$32)/2,"")</f>
        <v/>
      </c>
      <c r="AC303" s="7" t="str">
        <f>IF(28&gt;=125,('Testes estatísticos'!$D$130+'Testes estatísticos'!$D$33)/2,"")</f>
        <v/>
      </c>
      <c r="AD303" s="7" t="str">
        <f>IF(29&gt;=125,('Testes estatísticos'!$D$130+'Testes estatísticos'!$D$34)/2,"")</f>
        <v/>
      </c>
      <c r="AE303" s="7" t="str">
        <f>IF(30&gt;=125,('Testes estatísticos'!$D$130+'Testes estatísticos'!$D$35)/2,"")</f>
        <v/>
      </c>
      <c r="AF303" s="7" t="str">
        <f>IF(31&gt;=125,('Testes estatísticos'!$D$130+'Testes estatísticos'!$D$36)/2,"")</f>
        <v/>
      </c>
      <c r="AG303" s="7" t="str">
        <f>IF(32&gt;=125,('Testes estatísticos'!$D$130+'Testes estatísticos'!$D$37)/2,"")</f>
        <v/>
      </c>
      <c r="AH303" s="7" t="str">
        <f>IF(33&gt;=125,('Testes estatísticos'!$D$130+'Testes estatísticos'!$D$38)/2,"")</f>
        <v/>
      </c>
      <c r="AI303" s="7" t="str">
        <f>IF(34&gt;=125,('Testes estatísticos'!$D$130+'Testes estatísticos'!$D$39)/2,"")</f>
        <v/>
      </c>
      <c r="AJ303" s="7" t="str">
        <f>IF(35&gt;=125,('Testes estatísticos'!$D$130+'Testes estatísticos'!$D$40)/2,"")</f>
        <v/>
      </c>
      <c r="AK303" s="7" t="str">
        <f>IF(36&gt;=125,('Testes estatísticos'!$D$130+'Testes estatísticos'!$D$41)/2,"")</f>
        <v/>
      </c>
      <c r="AL303" s="7" t="str">
        <f>IF(37&gt;=125,('Testes estatísticos'!$D$130+'Testes estatísticos'!$D$42)/2,"")</f>
        <v/>
      </c>
      <c r="AM303" s="7" t="str">
        <f>IF(38&gt;=125,('Testes estatísticos'!$D$130+'Testes estatísticos'!$D$43)/2,"")</f>
        <v/>
      </c>
      <c r="AN303" s="7" t="str">
        <f>IF(39&gt;=125,('Testes estatísticos'!$D$130+'Testes estatísticos'!$D$44)/2,"")</f>
        <v/>
      </c>
      <c r="AO303" s="7" t="str">
        <f>IF(40&gt;=125,('Testes estatísticos'!$D$130+'Testes estatísticos'!$D$45)/2,"")</f>
        <v/>
      </c>
      <c r="AP303" s="7" t="str">
        <f>IF(41&gt;=125,('Testes estatísticos'!$D$130+'Testes estatísticos'!$D$46)/2,"")</f>
        <v/>
      </c>
      <c r="AQ303" s="7" t="str">
        <f>IF(42&gt;=125,('Testes estatísticos'!$D$130+'Testes estatísticos'!$D$47)/2,"")</f>
        <v/>
      </c>
      <c r="AR303" s="7" t="str">
        <f>IF(43&gt;=125,('Testes estatísticos'!$D$130+'Testes estatísticos'!$D$48)/2,"")</f>
        <v/>
      </c>
      <c r="AS303" s="7" t="str">
        <f>IF(44&gt;=125,('Testes estatísticos'!$D$130+'Testes estatísticos'!$D$49)/2,"")</f>
        <v/>
      </c>
      <c r="AT303" s="7" t="str">
        <f>IF(45&gt;=125,('Testes estatísticos'!$D$130+'Testes estatísticos'!$D$50)/2,"")</f>
        <v/>
      </c>
      <c r="AU303" s="7" t="str">
        <f>IF(46&gt;=125,('Testes estatísticos'!$D$130+'Testes estatísticos'!$D$51)/2,"")</f>
        <v/>
      </c>
      <c r="AV303" s="7" t="str">
        <f>IF(47&gt;=125,('Testes estatísticos'!$D$130+'Testes estatísticos'!$D$52)/2,"")</f>
        <v/>
      </c>
      <c r="AW303" s="7" t="str">
        <f>IF(48&gt;=125,('Testes estatísticos'!$D$130+'Testes estatísticos'!$D$53)/2,"")</f>
        <v/>
      </c>
      <c r="AX303" s="7" t="str">
        <f>IF(49&gt;=125,('Testes estatísticos'!$D$130+'Testes estatísticos'!$D$54)/2,"")</f>
        <v/>
      </c>
      <c r="AY303" s="7" t="str">
        <f>IF(50&gt;=125,('Testes estatísticos'!$D$130+'Testes estatísticos'!$D$55)/2,"")</f>
        <v/>
      </c>
      <c r="AZ303" s="7" t="str">
        <f>IF(51&gt;=125,('Testes estatísticos'!$D$130+'Testes estatísticos'!$D$56)/2,"")</f>
        <v/>
      </c>
      <c r="BA303" s="7" t="str">
        <f>IF(52&gt;=125,('Testes estatísticos'!$D$130+'Testes estatísticos'!$D$57)/2,"")</f>
        <v/>
      </c>
      <c r="BB303" s="7" t="str">
        <f>IF(53&gt;=125,('Testes estatísticos'!$D$130+'Testes estatísticos'!$D$58)/2,"")</f>
        <v/>
      </c>
      <c r="BC303" s="7" t="str">
        <f>IF(54&gt;=125,('Testes estatísticos'!$D$130+'Testes estatísticos'!$D$59)/2,"")</f>
        <v/>
      </c>
      <c r="BD303" s="7" t="str">
        <f>IF(55&gt;=125,('Testes estatísticos'!$D$130+'Testes estatísticos'!$D$60)/2,"")</f>
        <v/>
      </c>
      <c r="BE303" s="7" t="str">
        <f>IF(56&gt;=125,('Testes estatísticos'!$D$130+'Testes estatísticos'!$D$61)/2,"")</f>
        <v/>
      </c>
      <c r="BF303" s="7" t="str">
        <f>IF(57&gt;=125,('Testes estatísticos'!$D$130+'Testes estatísticos'!$D$62)/2,"")</f>
        <v/>
      </c>
      <c r="BG303" s="7" t="str">
        <f>IF(58&gt;=125,('Testes estatísticos'!$D$130+'Testes estatísticos'!$D$63)/2,"")</f>
        <v/>
      </c>
      <c r="BH303" s="7" t="str">
        <f>IF(59&gt;=125,('Testes estatísticos'!$D$130+'Testes estatísticos'!$D$64)/2,"")</f>
        <v/>
      </c>
      <c r="BI303" s="7" t="str">
        <f>IF(60&gt;=125,('Testes estatísticos'!$D$130+'Testes estatísticos'!$D$65)/2,"")</f>
        <v/>
      </c>
      <c r="BJ303" s="7" t="str">
        <f>IF(61&gt;=125,('Testes estatísticos'!$D$130+'Testes estatísticos'!$D$66)/2,"")</f>
        <v/>
      </c>
      <c r="BK303" s="7" t="str">
        <f>IF(62&gt;=125,('Testes estatísticos'!$D$130+'Testes estatísticos'!$D$67)/2,"")</f>
        <v/>
      </c>
      <c r="BL303" s="7" t="str">
        <f>IF(63&gt;=125,('Testes estatísticos'!$D$130+'Testes estatísticos'!$D$68)/2,"")</f>
        <v/>
      </c>
      <c r="BM303" s="7" t="str">
        <f>IF(64&gt;=125,('Testes estatísticos'!$D$130+'Testes estatísticos'!$D$69)/2,"")</f>
        <v/>
      </c>
      <c r="BN303" s="7" t="str">
        <f>IF(65&gt;=125,('Testes estatísticos'!$D$130+'Testes estatísticos'!$D$70)/2,"")</f>
        <v/>
      </c>
      <c r="BO303" s="7" t="str">
        <f>IF(66&gt;=125,('Testes estatísticos'!$D$130+'Testes estatísticos'!$D$71)/2,"")</f>
        <v/>
      </c>
      <c r="BP303" s="7" t="str">
        <f>IF(67&gt;=125,('Testes estatísticos'!$D$130+'Testes estatísticos'!$D$72)/2,"")</f>
        <v/>
      </c>
      <c r="BQ303" s="7" t="str">
        <f>IF(68&gt;=125,('Testes estatísticos'!$D$130+'Testes estatísticos'!$D$73)/2,"")</f>
        <v/>
      </c>
      <c r="BR303" s="7" t="str">
        <f>IF(69&gt;=125,('Testes estatísticos'!$D$130+'Testes estatísticos'!$D$74)/2,"")</f>
        <v/>
      </c>
      <c r="BS303" s="7" t="str">
        <f>IF(70&gt;=125,('Testes estatísticos'!$D$130+'Testes estatísticos'!$D$75)/2,"")</f>
        <v/>
      </c>
      <c r="BT303" s="7" t="str">
        <f>IF(71&gt;=125,('Testes estatísticos'!$D$130+'Testes estatísticos'!$D$76)/2,"")</f>
        <v/>
      </c>
      <c r="BU303" s="7" t="str">
        <f>IF(72&gt;=125,('Testes estatísticos'!$D$130+'Testes estatísticos'!$D$77)/2,"")</f>
        <v/>
      </c>
      <c r="BV303" s="7" t="str">
        <f>IF(73&gt;=125,('Testes estatísticos'!$D$130+'Testes estatísticos'!$D$78)/2,"")</f>
        <v/>
      </c>
      <c r="BW303" s="7" t="str">
        <f>IF(74&gt;=125,('Testes estatísticos'!$D$130+'Testes estatísticos'!$D$79)/2,"")</f>
        <v/>
      </c>
      <c r="BX303" s="7" t="str">
        <f>IF(75&gt;=125,('Testes estatísticos'!$D$130+'Testes estatísticos'!$D$80)/2,"")</f>
        <v/>
      </c>
      <c r="BY303" s="7" t="str">
        <f>IF(76&gt;=125,('Testes estatísticos'!$D$130+'Testes estatísticos'!$D$81)/2,"")</f>
        <v/>
      </c>
      <c r="BZ303" s="7" t="str">
        <f>IF(77&gt;=125,('Testes estatísticos'!$D$130+'Testes estatísticos'!$D$82)/2,"")</f>
        <v/>
      </c>
      <c r="CA303" s="7" t="str">
        <f>IF(78&gt;=125,('Testes estatísticos'!$D$130+'Testes estatísticos'!$D$83)/2,"")</f>
        <v/>
      </c>
      <c r="CB303" s="7" t="str">
        <f>IF(79&gt;=125,('Testes estatísticos'!$D$130+'Testes estatísticos'!$D$84)/2,"")</f>
        <v/>
      </c>
      <c r="CC303" s="7" t="str">
        <f>IF(80&gt;=125,('Testes estatísticos'!$D$130+'Testes estatísticos'!$D$85)/2,"")</f>
        <v/>
      </c>
      <c r="CD303" s="7" t="str">
        <f>IF(81&gt;=125,('Testes estatísticos'!$D$130+'Testes estatísticos'!$D$86)/2,"")</f>
        <v/>
      </c>
      <c r="CE303" s="7" t="str">
        <f>IF(82&gt;=125,('Testes estatísticos'!$D$130+'Testes estatísticos'!$D$87)/2,"")</f>
        <v/>
      </c>
      <c r="CF303" s="7" t="str">
        <f>IF(83&gt;=125,('Testes estatísticos'!$D$130+'Testes estatísticos'!$D$88)/2,"")</f>
        <v/>
      </c>
      <c r="CG303" s="7" t="str">
        <f>IF(84&gt;=125,('Testes estatísticos'!$D$130+'Testes estatísticos'!$D$89)/2,"")</f>
        <v/>
      </c>
      <c r="CH303" s="7" t="str">
        <f>IF(85&gt;=125,('Testes estatísticos'!$D$130+'Testes estatísticos'!$D$90)/2,"")</f>
        <v/>
      </c>
      <c r="CI303" s="7" t="str">
        <f>IF(86&gt;=125,('Testes estatísticos'!$D$130+'Testes estatísticos'!$D$91)/2,"")</f>
        <v/>
      </c>
      <c r="CJ303" s="7" t="str">
        <f>IF(87&gt;=125,('Testes estatísticos'!$D$130+'Testes estatísticos'!$D$92)/2,"")</f>
        <v/>
      </c>
      <c r="CK303" s="7" t="str">
        <f>IF(88&gt;=125,('Testes estatísticos'!$D$130+'Testes estatísticos'!$D$93)/2,"")</f>
        <v/>
      </c>
      <c r="CL303" s="7" t="str">
        <f>IF(89&gt;=125,('Testes estatísticos'!$D$130+'Testes estatísticos'!$D$94)/2,"")</f>
        <v/>
      </c>
      <c r="CM303" s="7" t="str">
        <f>IF(90&gt;=125,('Testes estatísticos'!$D$130+'Testes estatísticos'!$D$95)/2,"")</f>
        <v/>
      </c>
      <c r="CN303" s="7" t="str">
        <f>IF(91&gt;=125,('Testes estatísticos'!$D$130+'Testes estatísticos'!$D$96)/2,"")</f>
        <v/>
      </c>
      <c r="CO303" s="7" t="str">
        <f>IF(92&gt;=125,('Testes estatísticos'!$D$130+'Testes estatísticos'!$D$97)/2,"")</f>
        <v/>
      </c>
      <c r="CP303" s="7" t="str">
        <f>IF(93&gt;=125,('Testes estatísticos'!$D$130+'Testes estatísticos'!$D$98)/2,"")</f>
        <v/>
      </c>
      <c r="CQ303" s="7" t="str">
        <f>IF(94&gt;=125,('Testes estatísticos'!$D$130+'Testes estatísticos'!$D$99)/2,"")</f>
        <v/>
      </c>
      <c r="CR303" s="7" t="str">
        <f>IF(95&gt;=125,('Testes estatísticos'!$D$130+'Testes estatísticos'!$D$100)/2,"")</f>
        <v/>
      </c>
      <c r="CS303" s="7" t="str">
        <f>IF(96&gt;=125,('Testes estatísticos'!$D$130+'Testes estatísticos'!$D$101)/2,"")</f>
        <v/>
      </c>
      <c r="CT303" s="7" t="str">
        <f>IF(97&gt;=125,('Testes estatísticos'!$D$130+'Testes estatísticos'!$D$102)/2,"")</f>
        <v/>
      </c>
      <c r="CU303" s="7" t="str">
        <f>IF(98&gt;=125,('Testes estatísticos'!$D$130+'Testes estatísticos'!$D$103)/2,"")</f>
        <v/>
      </c>
      <c r="CV303" s="7" t="str">
        <f>IF(99&gt;=125,('Testes estatísticos'!$D$130+'Testes estatísticos'!$D$104)/2,"")</f>
        <v/>
      </c>
      <c r="CW303" s="7" t="str">
        <f>IF(100&gt;=125,('Testes estatísticos'!$D$130+'Testes estatísticos'!$D$105)/2,"")</f>
        <v/>
      </c>
      <c r="CX303" s="7" t="str">
        <f>IF(101&gt;=125,('Testes estatísticos'!$D$130+'Testes estatísticos'!$D$106)/2,"")</f>
        <v/>
      </c>
      <c r="CY303" s="7" t="str">
        <f>IF(102&gt;=125,('Testes estatísticos'!$D$130+'Testes estatísticos'!$D$107)/2,"")</f>
        <v/>
      </c>
      <c r="CZ303" s="7" t="str">
        <f>IF(103&gt;=125,('Testes estatísticos'!$D$130+'Testes estatísticos'!$D$108)/2,"")</f>
        <v/>
      </c>
      <c r="DA303" s="7" t="str">
        <f>IF(104&gt;=125,('Testes estatísticos'!$D$130+'Testes estatísticos'!$D$109)/2,"")</f>
        <v/>
      </c>
      <c r="DB303" s="7" t="str">
        <f>IF(105&gt;=125,('Testes estatísticos'!$D$130+'Testes estatísticos'!$D$110)/2,"")</f>
        <v/>
      </c>
      <c r="DC303" s="7" t="str">
        <f>IF(106&gt;=125,('Testes estatísticos'!$D$130+'Testes estatísticos'!$D$111)/2,"")</f>
        <v/>
      </c>
      <c r="DD303" s="7" t="str">
        <f>IF(107&gt;=125,('Testes estatísticos'!$D$130+'Testes estatísticos'!$D$112)/2,"")</f>
        <v/>
      </c>
      <c r="DE303" s="7" t="str">
        <f>IF(108&gt;=125,('Testes estatísticos'!$D$130+'Testes estatísticos'!$D$113)/2,"")</f>
        <v/>
      </c>
      <c r="DF303" s="7" t="str">
        <f>IF(109&gt;=125,('Testes estatísticos'!$D$130+'Testes estatísticos'!$D$114)/2,"")</f>
        <v/>
      </c>
      <c r="DG303" s="7" t="str">
        <f>IF(110&gt;=125,('Testes estatísticos'!$D$130+'Testes estatísticos'!$D$115)/2,"")</f>
        <v/>
      </c>
      <c r="DH303" s="7" t="str">
        <f>IF(111&gt;=125,('Testes estatísticos'!$D$130+'Testes estatísticos'!$D$116)/2,"")</f>
        <v/>
      </c>
      <c r="DI303" s="7" t="str">
        <f>IF(112&gt;=125,('Testes estatísticos'!$D$130+'Testes estatísticos'!$D$117)/2,"")</f>
        <v/>
      </c>
      <c r="DJ303" s="7" t="str">
        <f>IF(113&gt;=125,('Testes estatísticos'!$D$130+'Testes estatísticos'!$D$118)/2,"")</f>
        <v/>
      </c>
      <c r="DK303" s="7" t="str">
        <f>IF(114&gt;=125,('Testes estatísticos'!$D$130+'Testes estatísticos'!$D$119)/2,"")</f>
        <v/>
      </c>
      <c r="DL303" s="7" t="str">
        <f>IF(115&gt;=125,('Testes estatísticos'!$D$130+'Testes estatísticos'!$D$120)/2,"")</f>
        <v/>
      </c>
      <c r="DM303" s="7" t="str">
        <f>IF(116&gt;=125,('Testes estatísticos'!$D$130+'Testes estatísticos'!$D$121)/2,"")</f>
        <v/>
      </c>
      <c r="DN303" s="7" t="str">
        <f>IF(117&gt;=125,('Testes estatísticos'!$D$130+'Testes estatísticos'!$D$122)/2,"")</f>
        <v/>
      </c>
      <c r="DO303" s="7" t="str">
        <f>IF(118&gt;=125,('Testes estatísticos'!$D$130+'Testes estatísticos'!$D$123)/2,"")</f>
        <v/>
      </c>
      <c r="DP303" s="7" t="str">
        <f>IF(119&gt;=125,('Testes estatísticos'!$D$130+'Testes estatísticos'!$D$124)/2,"")</f>
        <v/>
      </c>
      <c r="DQ303" s="7" t="str">
        <f>IF(120&gt;=125,('Testes estatísticos'!$D$130+'Testes estatísticos'!$D$125)/2,"")</f>
        <v/>
      </c>
      <c r="DR303" s="7" t="str">
        <f>IF(121&gt;=125,('Testes estatísticos'!$D$130+'Testes estatísticos'!$D$126)/2,"")</f>
        <v/>
      </c>
      <c r="DS303" s="7" t="str">
        <f>IF(122&gt;=125,('Testes estatísticos'!$D$130+'Testes estatísticos'!$D$127)/2,"")</f>
        <v/>
      </c>
      <c r="DT303" s="7" t="str">
        <f>IF(123&gt;=125,('Testes estatísticos'!$D$130+'Testes estatísticos'!$D$128)/2,"")</f>
        <v/>
      </c>
      <c r="DU303" s="7" t="str">
        <f>IF(124&gt;=125,('Testes estatísticos'!$D$130+'Testes estatísticos'!$D$129)/2,"")</f>
        <v/>
      </c>
      <c r="DV303" s="7">
        <f>IF(125&gt;=125,('Testes estatísticos'!$D$130+'Testes estatísticos'!$D$130)/2,"")</f>
        <v>1.0321379999999962</v>
      </c>
      <c r="DW303" s="7">
        <f>IF(126&gt;=125,('Testes estatísticos'!$D$130+'Testes estatísticos'!$D$131)/2,"")</f>
        <v>-1.3713380000000015</v>
      </c>
      <c r="DX303" s="7">
        <f>IF(127&gt;=125,('Testes estatísticos'!$D$130+'Testes estatísticos'!$D$132)/2,"")</f>
        <v>-3.4275295000000021</v>
      </c>
      <c r="DY303" s="7">
        <f>IF(128&gt;=125,('Testes estatísticos'!$D$130+'Testes estatísticos'!$D$133)/2,"")</f>
        <v>-3.7686190000000011</v>
      </c>
      <c r="DZ303" s="7">
        <f>IF(129&gt;=125,('Testes estatísticos'!$D$130+'Testes estatísticos'!$D$134)/2,"")</f>
        <v>-7.1924090000000014</v>
      </c>
      <c r="EA303" s="7">
        <f>IF(130&gt;=125,('Testes estatísticos'!$D$130+'Testes estatísticos'!$D$135)/2,"")</f>
        <v>-1.4306389999999993</v>
      </c>
      <c r="EB303" s="7">
        <f>IF(131&gt;=125,('Testes estatísticos'!$D$130+'Testes estatísticos'!$D$136)/2,"")</f>
        <v>-1.3427660000000046</v>
      </c>
      <c r="EC303" s="7">
        <f>IF(132&gt;=125,('Testes estatísticos'!$D$130+'Testes estatísticos'!$D$137)/2,"")</f>
        <v>-2.8295025000000038</v>
      </c>
      <c r="ED303" s="7">
        <f>IF(133&gt;=125,('Testes estatísticos'!$D$130+'Testes estatísticos'!$D$138)/2,"")</f>
        <v>-0.64056500000000227</v>
      </c>
      <c r="EE303" s="7">
        <f>IF(134&gt;=125,('Testes estatísticos'!$D$130+'Testes estatísticos'!$D$139)/2,"")</f>
        <v>-2.9377555000000051</v>
      </c>
      <c r="EF303" s="7">
        <f>IF(135&gt;=125,('Testes estatísticos'!$D$130+'Testes estatísticos'!$D$140)/2,"")</f>
        <v>0.2766769999999994</v>
      </c>
      <c r="EG303" s="7">
        <f>IF(136&gt;=125,('Testes estatísticos'!$D$130+'Testes estatísticos'!$D$141)/2,"")</f>
        <v>-1.4168130000000048</v>
      </c>
      <c r="EH303" s="7">
        <f>IF(137&gt;=125,('Testes estatísticos'!$D$130+'Testes estatísticos'!$D$142)/2,"")</f>
        <v>0.28792699999999627</v>
      </c>
      <c r="EI303" s="7">
        <f>IF(138&gt;=125,('Testes estatísticos'!$D$130+'Testes estatísticos'!$D$143)/2,"")</f>
        <v>-1.3770884999999993</v>
      </c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</row>
    <row r="304" spans="2:151" x14ac:dyDescent="0.3">
      <c r="B304" s="7" t="str">
        <f>IF(1&gt;=126,('Testes estatísticos'!$D$131+'Testes estatísticos'!$D$6)/2,"")</f>
        <v/>
      </c>
      <c r="C304" s="7" t="str">
        <f>IF(2&gt;=126,('Testes estatísticos'!$D$131+'Testes estatísticos'!$D$7)/2,"")</f>
        <v/>
      </c>
      <c r="D304" s="7" t="str">
        <f>IF(3&gt;=126,('Testes estatísticos'!$D$131+'Testes estatísticos'!$D$8)/2,"")</f>
        <v/>
      </c>
      <c r="E304" s="7" t="str">
        <f>IF(4&gt;=126,('Testes estatísticos'!$D$131+'Testes estatísticos'!$D$9)/2,"")</f>
        <v/>
      </c>
      <c r="F304" s="7" t="str">
        <f>IF(5&gt;=126,('Testes estatísticos'!$D$131+'Testes estatísticos'!$D$10)/2,"")</f>
        <v/>
      </c>
      <c r="G304" s="7" t="str">
        <f>IF(6&gt;=126,('Testes estatísticos'!$D$131+'Testes estatísticos'!$D$11)/2,"")</f>
        <v/>
      </c>
      <c r="H304" s="7" t="str">
        <f>IF(7&gt;=126,('Testes estatísticos'!$D$131+'Testes estatísticos'!$D$12)/2,"")</f>
        <v/>
      </c>
      <c r="I304" s="7" t="str">
        <f>IF(8&gt;=126,('Testes estatísticos'!$D$131+'Testes estatísticos'!$D$13)/2,"")</f>
        <v/>
      </c>
      <c r="J304" s="7" t="str">
        <f>IF(9&gt;=126,('Testes estatísticos'!$D$131+'Testes estatísticos'!$D$14)/2,"")</f>
        <v/>
      </c>
      <c r="K304" s="7" t="str">
        <f>IF(10&gt;=126,('Testes estatísticos'!$D$131+'Testes estatísticos'!$D$15)/2,"")</f>
        <v/>
      </c>
      <c r="L304" s="7" t="str">
        <f>IF(11&gt;=126,('Testes estatísticos'!$D$131+'Testes estatísticos'!$D$16)/2,"")</f>
        <v/>
      </c>
      <c r="M304" s="7" t="str">
        <f>IF(12&gt;=126,('Testes estatísticos'!$D$131+'Testes estatísticos'!$D$17)/2,"")</f>
        <v/>
      </c>
      <c r="N304" s="7" t="str">
        <f>IF(13&gt;=126,('Testes estatísticos'!$D$131+'Testes estatísticos'!$D$18)/2,"")</f>
        <v/>
      </c>
      <c r="O304" s="7" t="str">
        <f>IF(14&gt;=126,('Testes estatísticos'!$D$131+'Testes estatísticos'!$D$19)/2,"")</f>
        <v/>
      </c>
      <c r="P304" s="7" t="str">
        <f>IF(15&gt;=126,('Testes estatísticos'!$D$131+'Testes estatísticos'!$D$20)/2,"")</f>
        <v/>
      </c>
      <c r="Q304" s="7" t="str">
        <f>IF(16&gt;=126,('Testes estatísticos'!$D$131+'Testes estatísticos'!$D$21)/2,"")</f>
        <v/>
      </c>
      <c r="R304" s="7" t="str">
        <f>IF(17&gt;=126,('Testes estatísticos'!$D$131+'Testes estatísticos'!$D$22)/2,"")</f>
        <v/>
      </c>
      <c r="S304" s="7" t="str">
        <f>IF(18&gt;=126,('Testes estatísticos'!$D$131+'Testes estatísticos'!$D$23)/2,"")</f>
        <v/>
      </c>
      <c r="T304" s="7" t="str">
        <f>IF(19&gt;=126,('Testes estatísticos'!$D$131+'Testes estatísticos'!$D$24)/2,"")</f>
        <v/>
      </c>
      <c r="U304" s="7" t="str">
        <f>IF(20&gt;=126,('Testes estatísticos'!$D$131+'Testes estatísticos'!$D$25)/2,"")</f>
        <v/>
      </c>
      <c r="V304" s="7" t="str">
        <f>IF(21&gt;=126,('Testes estatísticos'!$D$131+'Testes estatísticos'!$D$26)/2,"")</f>
        <v/>
      </c>
      <c r="W304" s="7" t="str">
        <f>IF(22&gt;=126,('Testes estatísticos'!$D$131+'Testes estatísticos'!$D$27)/2,"")</f>
        <v/>
      </c>
      <c r="X304" s="7" t="str">
        <f>IF(23&gt;=126,('Testes estatísticos'!$D$131+'Testes estatísticos'!$D$28)/2,"")</f>
        <v/>
      </c>
      <c r="Y304" s="7" t="str">
        <f>IF(24&gt;=126,('Testes estatísticos'!$D$131+'Testes estatísticos'!$D$29)/2,"")</f>
        <v/>
      </c>
      <c r="Z304" s="7" t="str">
        <f>IF(25&gt;=126,('Testes estatísticos'!$D$131+'Testes estatísticos'!$D$30)/2,"")</f>
        <v/>
      </c>
      <c r="AA304" s="7" t="str">
        <f>IF(26&gt;=126,('Testes estatísticos'!$D$131+'Testes estatísticos'!$D$31)/2,"")</f>
        <v/>
      </c>
      <c r="AB304" s="7" t="str">
        <f>IF(27&gt;=126,('Testes estatísticos'!$D$131+'Testes estatísticos'!$D$32)/2,"")</f>
        <v/>
      </c>
      <c r="AC304" s="7" t="str">
        <f>IF(28&gt;=126,('Testes estatísticos'!$D$131+'Testes estatísticos'!$D$33)/2,"")</f>
        <v/>
      </c>
      <c r="AD304" s="7" t="str">
        <f>IF(29&gt;=126,('Testes estatísticos'!$D$131+'Testes estatísticos'!$D$34)/2,"")</f>
        <v/>
      </c>
      <c r="AE304" s="7" t="str">
        <f>IF(30&gt;=126,('Testes estatísticos'!$D$131+'Testes estatísticos'!$D$35)/2,"")</f>
        <v/>
      </c>
      <c r="AF304" s="7" t="str">
        <f>IF(31&gt;=126,('Testes estatísticos'!$D$131+'Testes estatísticos'!$D$36)/2,"")</f>
        <v/>
      </c>
      <c r="AG304" s="7" t="str">
        <f>IF(32&gt;=126,('Testes estatísticos'!$D$131+'Testes estatísticos'!$D$37)/2,"")</f>
        <v/>
      </c>
      <c r="AH304" s="7" t="str">
        <f>IF(33&gt;=126,('Testes estatísticos'!$D$131+'Testes estatísticos'!$D$38)/2,"")</f>
        <v/>
      </c>
      <c r="AI304" s="7" t="str">
        <f>IF(34&gt;=126,('Testes estatísticos'!$D$131+'Testes estatísticos'!$D$39)/2,"")</f>
        <v/>
      </c>
      <c r="AJ304" s="7" t="str">
        <f>IF(35&gt;=126,('Testes estatísticos'!$D$131+'Testes estatísticos'!$D$40)/2,"")</f>
        <v/>
      </c>
      <c r="AK304" s="7" t="str">
        <f>IF(36&gt;=126,('Testes estatísticos'!$D$131+'Testes estatísticos'!$D$41)/2,"")</f>
        <v/>
      </c>
      <c r="AL304" s="7" t="str">
        <f>IF(37&gt;=126,('Testes estatísticos'!$D$131+'Testes estatísticos'!$D$42)/2,"")</f>
        <v/>
      </c>
      <c r="AM304" s="7" t="str">
        <f>IF(38&gt;=126,('Testes estatísticos'!$D$131+'Testes estatísticos'!$D$43)/2,"")</f>
        <v/>
      </c>
      <c r="AN304" s="7" t="str">
        <f>IF(39&gt;=126,('Testes estatísticos'!$D$131+'Testes estatísticos'!$D$44)/2,"")</f>
        <v/>
      </c>
      <c r="AO304" s="7" t="str">
        <f>IF(40&gt;=126,('Testes estatísticos'!$D$131+'Testes estatísticos'!$D$45)/2,"")</f>
        <v/>
      </c>
      <c r="AP304" s="7" t="str">
        <f>IF(41&gt;=126,('Testes estatísticos'!$D$131+'Testes estatísticos'!$D$46)/2,"")</f>
        <v/>
      </c>
      <c r="AQ304" s="7" t="str">
        <f>IF(42&gt;=126,('Testes estatísticos'!$D$131+'Testes estatísticos'!$D$47)/2,"")</f>
        <v/>
      </c>
      <c r="AR304" s="7" t="str">
        <f>IF(43&gt;=126,('Testes estatísticos'!$D$131+'Testes estatísticos'!$D$48)/2,"")</f>
        <v/>
      </c>
      <c r="AS304" s="7" t="str">
        <f>IF(44&gt;=126,('Testes estatísticos'!$D$131+'Testes estatísticos'!$D$49)/2,"")</f>
        <v/>
      </c>
      <c r="AT304" s="7" t="str">
        <f>IF(45&gt;=126,('Testes estatísticos'!$D$131+'Testes estatísticos'!$D$50)/2,"")</f>
        <v/>
      </c>
      <c r="AU304" s="7" t="str">
        <f>IF(46&gt;=126,('Testes estatísticos'!$D$131+'Testes estatísticos'!$D$51)/2,"")</f>
        <v/>
      </c>
      <c r="AV304" s="7" t="str">
        <f>IF(47&gt;=126,('Testes estatísticos'!$D$131+'Testes estatísticos'!$D$52)/2,"")</f>
        <v/>
      </c>
      <c r="AW304" s="7" t="str">
        <f>IF(48&gt;=126,('Testes estatísticos'!$D$131+'Testes estatísticos'!$D$53)/2,"")</f>
        <v/>
      </c>
      <c r="AX304" s="7" t="str">
        <f>IF(49&gt;=126,('Testes estatísticos'!$D$131+'Testes estatísticos'!$D$54)/2,"")</f>
        <v/>
      </c>
      <c r="AY304" s="7" t="str">
        <f>IF(50&gt;=126,('Testes estatísticos'!$D$131+'Testes estatísticos'!$D$55)/2,"")</f>
        <v/>
      </c>
      <c r="AZ304" s="7" t="str">
        <f>IF(51&gt;=126,('Testes estatísticos'!$D$131+'Testes estatísticos'!$D$56)/2,"")</f>
        <v/>
      </c>
      <c r="BA304" s="7" t="str">
        <f>IF(52&gt;=126,('Testes estatísticos'!$D$131+'Testes estatísticos'!$D$57)/2,"")</f>
        <v/>
      </c>
      <c r="BB304" s="7" t="str">
        <f>IF(53&gt;=126,('Testes estatísticos'!$D$131+'Testes estatísticos'!$D$58)/2,"")</f>
        <v/>
      </c>
      <c r="BC304" s="7" t="str">
        <f>IF(54&gt;=126,('Testes estatísticos'!$D$131+'Testes estatísticos'!$D$59)/2,"")</f>
        <v/>
      </c>
      <c r="BD304" s="7" t="str">
        <f>IF(55&gt;=126,('Testes estatísticos'!$D$131+'Testes estatísticos'!$D$60)/2,"")</f>
        <v/>
      </c>
      <c r="BE304" s="7" t="str">
        <f>IF(56&gt;=126,('Testes estatísticos'!$D$131+'Testes estatísticos'!$D$61)/2,"")</f>
        <v/>
      </c>
      <c r="BF304" s="7" t="str">
        <f>IF(57&gt;=126,('Testes estatísticos'!$D$131+'Testes estatísticos'!$D$62)/2,"")</f>
        <v/>
      </c>
      <c r="BG304" s="7" t="str">
        <f>IF(58&gt;=126,('Testes estatísticos'!$D$131+'Testes estatísticos'!$D$63)/2,"")</f>
        <v/>
      </c>
      <c r="BH304" s="7" t="str">
        <f>IF(59&gt;=126,('Testes estatísticos'!$D$131+'Testes estatísticos'!$D$64)/2,"")</f>
        <v/>
      </c>
      <c r="BI304" s="7" t="str">
        <f>IF(60&gt;=126,('Testes estatísticos'!$D$131+'Testes estatísticos'!$D$65)/2,"")</f>
        <v/>
      </c>
      <c r="BJ304" s="7" t="str">
        <f>IF(61&gt;=126,('Testes estatísticos'!$D$131+'Testes estatísticos'!$D$66)/2,"")</f>
        <v/>
      </c>
      <c r="BK304" s="7" t="str">
        <f>IF(62&gt;=126,('Testes estatísticos'!$D$131+'Testes estatísticos'!$D$67)/2,"")</f>
        <v/>
      </c>
      <c r="BL304" s="7" t="str">
        <f>IF(63&gt;=126,('Testes estatísticos'!$D$131+'Testes estatísticos'!$D$68)/2,"")</f>
        <v/>
      </c>
      <c r="BM304" s="7" t="str">
        <f>IF(64&gt;=126,('Testes estatísticos'!$D$131+'Testes estatísticos'!$D$69)/2,"")</f>
        <v/>
      </c>
      <c r="BN304" s="7" t="str">
        <f>IF(65&gt;=126,('Testes estatísticos'!$D$131+'Testes estatísticos'!$D$70)/2,"")</f>
        <v/>
      </c>
      <c r="BO304" s="7" t="str">
        <f>IF(66&gt;=126,('Testes estatísticos'!$D$131+'Testes estatísticos'!$D$71)/2,"")</f>
        <v/>
      </c>
      <c r="BP304" s="7" t="str">
        <f>IF(67&gt;=126,('Testes estatísticos'!$D$131+'Testes estatísticos'!$D$72)/2,"")</f>
        <v/>
      </c>
      <c r="BQ304" s="7" t="str">
        <f>IF(68&gt;=126,('Testes estatísticos'!$D$131+'Testes estatísticos'!$D$73)/2,"")</f>
        <v/>
      </c>
      <c r="BR304" s="7" t="str">
        <f>IF(69&gt;=126,('Testes estatísticos'!$D$131+'Testes estatísticos'!$D$74)/2,"")</f>
        <v/>
      </c>
      <c r="BS304" s="7" t="str">
        <f>IF(70&gt;=126,('Testes estatísticos'!$D$131+'Testes estatísticos'!$D$75)/2,"")</f>
        <v/>
      </c>
      <c r="BT304" s="7" t="str">
        <f>IF(71&gt;=126,('Testes estatísticos'!$D$131+'Testes estatísticos'!$D$76)/2,"")</f>
        <v/>
      </c>
      <c r="BU304" s="7" t="str">
        <f>IF(72&gt;=126,('Testes estatísticos'!$D$131+'Testes estatísticos'!$D$77)/2,"")</f>
        <v/>
      </c>
      <c r="BV304" s="7" t="str">
        <f>IF(73&gt;=126,('Testes estatísticos'!$D$131+'Testes estatísticos'!$D$78)/2,"")</f>
        <v/>
      </c>
      <c r="BW304" s="7" t="str">
        <f>IF(74&gt;=126,('Testes estatísticos'!$D$131+'Testes estatísticos'!$D$79)/2,"")</f>
        <v/>
      </c>
      <c r="BX304" s="7" t="str">
        <f>IF(75&gt;=126,('Testes estatísticos'!$D$131+'Testes estatísticos'!$D$80)/2,"")</f>
        <v/>
      </c>
      <c r="BY304" s="7" t="str">
        <f>IF(76&gt;=126,('Testes estatísticos'!$D$131+'Testes estatísticos'!$D$81)/2,"")</f>
        <v/>
      </c>
      <c r="BZ304" s="7" t="str">
        <f>IF(77&gt;=126,('Testes estatísticos'!$D$131+'Testes estatísticos'!$D$82)/2,"")</f>
        <v/>
      </c>
      <c r="CA304" s="7" t="str">
        <f>IF(78&gt;=126,('Testes estatísticos'!$D$131+'Testes estatísticos'!$D$83)/2,"")</f>
        <v/>
      </c>
      <c r="CB304" s="7" t="str">
        <f>IF(79&gt;=126,('Testes estatísticos'!$D$131+'Testes estatísticos'!$D$84)/2,"")</f>
        <v/>
      </c>
      <c r="CC304" s="7" t="str">
        <f>IF(80&gt;=126,('Testes estatísticos'!$D$131+'Testes estatísticos'!$D$85)/2,"")</f>
        <v/>
      </c>
      <c r="CD304" s="7" t="str">
        <f>IF(81&gt;=126,('Testes estatísticos'!$D$131+'Testes estatísticos'!$D$86)/2,"")</f>
        <v/>
      </c>
      <c r="CE304" s="7" t="str">
        <f>IF(82&gt;=126,('Testes estatísticos'!$D$131+'Testes estatísticos'!$D$87)/2,"")</f>
        <v/>
      </c>
      <c r="CF304" s="7" t="str">
        <f>IF(83&gt;=126,('Testes estatísticos'!$D$131+'Testes estatísticos'!$D$88)/2,"")</f>
        <v/>
      </c>
      <c r="CG304" s="7" t="str">
        <f>IF(84&gt;=126,('Testes estatísticos'!$D$131+'Testes estatísticos'!$D$89)/2,"")</f>
        <v/>
      </c>
      <c r="CH304" s="7" t="str">
        <f>IF(85&gt;=126,('Testes estatísticos'!$D$131+'Testes estatísticos'!$D$90)/2,"")</f>
        <v/>
      </c>
      <c r="CI304" s="7" t="str">
        <f>IF(86&gt;=126,('Testes estatísticos'!$D$131+'Testes estatísticos'!$D$91)/2,"")</f>
        <v/>
      </c>
      <c r="CJ304" s="7" t="str">
        <f>IF(87&gt;=126,('Testes estatísticos'!$D$131+'Testes estatísticos'!$D$92)/2,"")</f>
        <v/>
      </c>
      <c r="CK304" s="7" t="str">
        <f>IF(88&gt;=126,('Testes estatísticos'!$D$131+'Testes estatísticos'!$D$93)/2,"")</f>
        <v/>
      </c>
      <c r="CL304" s="7" t="str">
        <f>IF(89&gt;=126,('Testes estatísticos'!$D$131+'Testes estatísticos'!$D$94)/2,"")</f>
        <v/>
      </c>
      <c r="CM304" s="7" t="str">
        <f>IF(90&gt;=126,('Testes estatísticos'!$D$131+'Testes estatísticos'!$D$95)/2,"")</f>
        <v/>
      </c>
      <c r="CN304" s="7" t="str">
        <f>IF(91&gt;=126,('Testes estatísticos'!$D$131+'Testes estatísticos'!$D$96)/2,"")</f>
        <v/>
      </c>
      <c r="CO304" s="7" t="str">
        <f>IF(92&gt;=126,('Testes estatísticos'!$D$131+'Testes estatísticos'!$D$97)/2,"")</f>
        <v/>
      </c>
      <c r="CP304" s="7" t="str">
        <f>IF(93&gt;=126,('Testes estatísticos'!$D$131+'Testes estatísticos'!$D$98)/2,"")</f>
        <v/>
      </c>
      <c r="CQ304" s="7" t="str">
        <f>IF(94&gt;=126,('Testes estatísticos'!$D$131+'Testes estatísticos'!$D$99)/2,"")</f>
        <v/>
      </c>
      <c r="CR304" s="7" t="str">
        <f>IF(95&gt;=126,('Testes estatísticos'!$D$131+'Testes estatísticos'!$D$100)/2,"")</f>
        <v/>
      </c>
      <c r="CS304" s="7" t="str">
        <f>IF(96&gt;=126,('Testes estatísticos'!$D$131+'Testes estatísticos'!$D$101)/2,"")</f>
        <v/>
      </c>
      <c r="CT304" s="7" t="str">
        <f>IF(97&gt;=126,('Testes estatísticos'!$D$131+'Testes estatísticos'!$D$102)/2,"")</f>
        <v/>
      </c>
      <c r="CU304" s="7" t="str">
        <f>IF(98&gt;=126,('Testes estatísticos'!$D$131+'Testes estatísticos'!$D$103)/2,"")</f>
        <v/>
      </c>
      <c r="CV304" s="7" t="str">
        <f>IF(99&gt;=126,('Testes estatísticos'!$D$131+'Testes estatísticos'!$D$104)/2,"")</f>
        <v/>
      </c>
      <c r="CW304" s="7" t="str">
        <f>IF(100&gt;=126,('Testes estatísticos'!$D$131+'Testes estatísticos'!$D$105)/2,"")</f>
        <v/>
      </c>
      <c r="CX304" s="7" t="str">
        <f>IF(101&gt;=126,('Testes estatísticos'!$D$131+'Testes estatísticos'!$D$106)/2,"")</f>
        <v/>
      </c>
      <c r="CY304" s="7" t="str">
        <f>IF(102&gt;=126,('Testes estatísticos'!$D$131+'Testes estatísticos'!$D$107)/2,"")</f>
        <v/>
      </c>
      <c r="CZ304" s="7" t="str">
        <f>IF(103&gt;=126,('Testes estatísticos'!$D$131+'Testes estatísticos'!$D$108)/2,"")</f>
        <v/>
      </c>
      <c r="DA304" s="7" t="str">
        <f>IF(104&gt;=126,('Testes estatísticos'!$D$131+'Testes estatísticos'!$D$109)/2,"")</f>
        <v/>
      </c>
      <c r="DB304" s="7" t="str">
        <f>IF(105&gt;=126,('Testes estatísticos'!$D$131+'Testes estatísticos'!$D$110)/2,"")</f>
        <v/>
      </c>
      <c r="DC304" s="7" t="str">
        <f>IF(106&gt;=126,('Testes estatísticos'!$D$131+'Testes estatísticos'!$D$111)/2,"")</f>
        <v/>
      </c>
      <c r="DD304" s="7" t="str">
        <f>IF(107&gt;=126,('Testes estatísticos'!$D$131+'Testes estatísticos'!$D$112)/2,"")</f>
        <v/>
      </c>
      <c r="DE304" s="7" t="str">
        <f>IF(108&gt;=126,('Testes estatísticos'!$D$131+'Testes estatísticos'!$D$113)/2,"")</f>
        <v/>
      </c>
      <c r="DF304" s="7" t="str">
        <f>IF(109&gt;=126,('Testes estatísticos'!$D$131+'Testes estatísticos'!$D$114)/2,"")</f>
        <v/>
      </c>
      <c r="DG304" s="7" t="str">
        <f>IF(110&gt;=126,('Testes estatísticos'!$D$131+'Testes estatísticos'!$D$115)/2,"")</f>
        <v/>
      </c>
      <c r="DH304" s="7" t="str">
        <f>IF(111&gt;=126,('Testes estatísticos'!$D$131+'Testes estatísticos'!$D$116)/2,"")</f>
        <v/>
      </c>
      <c r="DI304" s="7" t="str">
        <f>IF(112&gt;=126,('Testes estatísticos'!$D$131+'Testes estatísticos'!$D$117)/2,"")</f>
        <v/>
      </c>
      <c r="DJ304" s="7" t="str">
        <f>IF(113&gt;=126,('Testes estatísticos'!$D$131+'Testes estatísticos'!$D$118)/2,"")</f>
        <v/>
      </c>
      <c r="DK304" s="7" t="str">
        <f>IF(114&gt;=126,('Testes estatísticos'!$D$131+'Testes estatísticos'!$D$119)/2,"")</f>
        <v/>
      </c>
      <c r="DL304" s="7" t="str">
        <f>IF(115&gt;=126,('Testes estatísticos'!$D$131+'Testes estatísticos'!$D$120)/2,"")</f>
        <v/>
      </c>
      <c r="DM304" s="7" t="str">
        <f>IF(116&gt;=126,('Testes estatísticos'!$D$131+'Testes estatísticos'!$D$121)/2,"")</f>
        <v/>
      </c>
      <c r="DN304" s="7" t="str">
        <f>IF(117&gt;=126,('Testes estatísticos'!$D$131+'Testes estatísticos'!$D$122)/2,"")</f>
        <v/>
      </c>
      <c r="DO304" s="7" t="str">
        <f>IF(118&gt;=126,('Testes estatísticos'!$D$131+'Testes estatísticos'!$D$123)/2,"")</f>
        <v/>
      </c>
      <c r="DP304" s="7" t="str">
        <f>IF(119&gt;=126,('Testes estatísticos'!$D$131+'Testes estatísticos'!$D$124)/2,"")</f>
        <v/>
      </c>
      <c r="DQ304" s="7" t="str">
        <f>IF(120&gt;=126,('Testes estatísticos'!$D$131+'Testes estatísticos'!$D$125)/2,"")</f>
        <v/>
      </c>
      <c r="DR304" s="7" t="str">
        <f>IF(121&gt;=126,('Testes estatísticos'!$D$131+'Testes estatísticos'!$D$126)/2,"")</f>
        <v/>
      </c>
      <c r="DS304" s="7" t="str">
        <f>IF(122&gt;=126,('Testes estatísticos'!$D$131+'Testes estatísticos'!$D$127)/2,"")</f>
        <v/>
      </c>
      <c r="DT304" s="7" t="str">
        <f>IF(123&gt;=126,('Testes estatísticos'!$D$131+'Testes estatísticos'!$D$128)/2,"")</f>
        <v/>
      </c>
      <c r="DU304" s="7" t="str">
        <f>IF(124&gt;=126,('Testes estatísticos'!$D$131+'Testes estatísticos'!$D$129)/2,"")</f>
        <v/>
      </c>
      <c r="DV304" s="7" t="str">
        <f>IF(125&gt;=126,('Testes estatísticos'!$D$131+'Testes estatísticos'!$D$130)/2,"")</f>
        <v/>
      </c>
      <c r="DW304" s="7">
        <f>IF(126&gt;=126,('Testes estatísticos'!$D$131+'Testes estatísticos'!$D$131)/2,"")</f>
        <v>-3.7748139999999992</v>
      </c>
      <c r="DX304" s="7">
        <f>IF(127&gt;=126,('Testes estatísticos'!$D$131+'Testes estatísticos'!$D$132)/2,"")</f>
        <v>-5.8310054999999998</v>
      </c>
      <c r="DY304" s="7">
        <f>IF(128&gt;=126,('Testes estatísticos'!$D$131+'Testes estatísticos'!$D$133)/2,"")</f>
        <v>-6.1720949999999988</v>
      </c>
      <c r="DZ304" s="7">
        <f>IF(129&gt;=126,('Testes estatísticos'!$D$131+'Testes estatísticos'!$D$134)/2,"")</f>
        <v>-9.5958849999999991</v>
      </c>
      <c r="EA304" s="7">
        <f>IF(130&gt;=126,('Testes estatísticos'!$D$131+'Testes estatísticos'!$D$135)/2,"")</f>
        <v>-3.8341149999999971</v>
      </c>
      <c r="EB304" s="7">
        <f>IF(131&gt;=126,('Testes estatísticos'!$D$131+'Testes estatísticos'!$D$136)/2,"")</f>
        <v>-3.7462420000000023</v>
      </c>
      <c r="EC304" s="7">
        <f>IF(132&gt;=126,('Testes estatísticos'!$D$131+'Testes estatísticos'!$D$137)/2,"")</f>
        <v>-5.2329785000000015</v>
      </c>
      <c r="ED304" s="7">
        <f>IF(133&gt;=126,('Testes estatísticos'!$D$131+'Testes estatísticos'!$D$138)/2,"")</f>
        <v>-3.044041</v>
      </c>
      <c r="EE304" s="7">
        <f>IF(134&gt;=126,('Testes estatísticos'!$D$131+'Testes estatísticos'!$D$139)/2,"")</f>
        <v>-5.3412315000000028</v>
      </c>
      <c r="EF304" s="7">
        <f>IF(135&gt;=126,('Testes estatísticos'!$D$131+'Testes estatísticos'!$D$140)/2,"")</f>
        <v>-2.1267989999999983</v>
      </c>
      <c r="EG304" s="7">
        <f>IF(136&gt;=126,('Testes estatísticos'!$D$131+'Testes estatísticos'!$D$141)/2,"")</f>
        <v>-3.8202890000000025</v>
      </c>
      <c r="EH304" s="7">
        <f>IF(137&gt;=126,('Testes estatísticos'!$D$131+'Testes estatísticos'!$D$142)/2,"")</f>
        <v>-2.1155490000000015</v>
      </c>
      <c r="EI304" s="7">
        <f>IF(138&gt;=126,('Testes estatísticos'!$D$131+'Testes estatísticos'!$D$143)/2,"")</f>
        <v>-3.780564499999997</v>
      </c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</row>
    <row r="305" spans="2:151" x14ac:dyDescent="0.3">
      <c r="B305" s="7" t="str">
        <f>IF(1&gt;=127,('Testes estatísticos'!$D$132+'Testes estatísticos'!$D$6)/2,"")</f>
        <v/>
      </c>
      <c r="C305" s="7" t="str">
        <f>IF(2&gt;=127,('Testes estatísticos'!$D$132+'Testes estatísticos'!$D$7)/2,"")</f>
        <v/>
      </c>
      <c r="D305" s="7" t="str">
        <f>IF(3&gt;=127,('Testes estatísticos'!$D$132+'Testes estatísticos'!$D$8)/2,"")</f>
        <v/>
      </c>
      <c r="E305" s="7" t="str">
        <f>IF(4&gt;=127,('Testes estatísticos'!$D$132+'Testes estatísticos'!$D$9)/2,"")</f>
        <v/>
      </c>
      <c r="F305" s="7" t="str">
        <f>IF(5&gt;=127,('Testes estatísticos'!$D$132+'Testes estatísticos'!$D$10)/2,"")</f>
        <v/>
      </c>
      <c r="G305" s="7" t="str">
        <f>IF(6&gt;=127,('Testes estatísticos'!$D$132+'Testes estatísticos'!$D$11)/2,"")</f>
        <v/>
      </c>
      <c r="H305" s="7" t="str">
        <f>IF(7&gt;=127,('Testes estatísticos'!$D$132+'Testes estatísticos'!$D$12)/2,"")</f>
        <v/>
      </c>
      <c r="I305" s="7" t="str">
        <f>IF(8&gt;=127,('Testes estatísticos'!$D$132+'Testes estatísticos'!$D$13)/2,"")</f>
        <v/>
      </c>
      <c r="J305" s="7" t="str">
        <f>IF(9&gt;=127,('Testes estatísticos'!$D$132+'Testes estatísticos'!$D$14)/2,"")</f>
        <v/>
      </c>
      <c r="K305" s="7" t="str">
        <f>IF(10&gt;=127,('Testes estatísticos'!$D$132+'Testes estatísticos'!$D$15)/2,"")</f>
        <v/>
      </c>
      <c r="L305" s="7" t="str">
        <f>IF(11&gt;=127,('Testes estatísticos'!$D$132+'Testes estatísticos'!$D$16)/2,"")</f>
        <v/>
      </c>
      <c r="M305" s="7" t="str">
        <f>IF(12&gt;=127,('Testes estatísticos'!$D$132+'Testes estatísticos'!$D$17)/2,"")</f>
        <v/>
      </c>
      <c r="N305" s="7" t="str">
        <f>IF(13&gt;=127,('Testes estatísticos'!$D$132+'Testes estatísticos'!$D$18)/2,"")</f>
        <v/>
      </c>
      <c r="O305" s="7" t="str">
        <f>IF(14&gt;=127,('Testes estatísticos'!$D$132+'Testes estatísticos'!$D$19)/2,"")</f>
        <v/>
      </c>
      <c r="P305" s="7" t="str">
        <f>IF(15&gt;=127,('Testes estatísticos'!$D$132+'Testes estatísticos'!$D$20)/2,"")</f>
        <v/>
      </c>
      <c r="Q305" s="7" t="str">
        <f>IF(16&gt;=127,('Testes estatísticos'!$D$132+'Testes estatísticos'!$D$21)/2,"")</f>
        <v/>
      </c>
      <c r="R305" s="7" t="str">
        <f>IF(17&gt;=127,('Testes estatísticos'!$D$132+'Testes estatísticos'!$D$22)/2,"")</f>
        <v/>
      </c>
      <c r="S305" s="7" t="str">
        <f>IF(18&gt;=127,('Testes estatísticos'!$D$132+'Testes estatísticos'!$D$23)/2,"")</f>
        <v/>
      </c>
      <c r="T305" s="7" t="str">
        <f>IF(19&gt;=127,('Testes estatísticos'!$D$132+'Testes estatísticos'!$D$24)/2,"")</f>
        <v/>
      </c>
      <c r="U305" s="7" t="str">
        <f>IF(20&gt;=127,('Testes estatísticos'!$D$132+'Testes estatísticos'!$D$25)/2,"")</f>
        <v/>
      </c>
      <c r="V305" s="7" t="str">
        <f>IF(21&gt;=127,('Testes estatísticos'!$D$132+'Testes estatísticos'!$D$26)/2,"")</f>
        <v/>
      </c>
      <c r="W305" s="7" t="str">
        <f>IF(22&gt;=127,('Testes estatísticos'!$D$132+'Testes estatísticos'!$D$27)/2,"")</f>
        <v/>
      </c>
      <c r="X305" s="7" t="str">
        <f>IF(23&gt;=127,('Testes estatísticos'!$D$132+'Testes estatísticos'!$D$28)/2,"")</f>
        <v/>
      </c>
      <c r="Y305" s="7" t="str">
        <f>IF(24&gt;=127,('Testes estatísticos'!$D$132+'Testes estatísticos'!$D$29)/2,"")</f>
        <v/>
      </c>
      <c r="Z305" s="7" t="str">
        <f>IF(25&gt;=127,('Testes estatísticos'!$D$132+'Testes estatísticos'!$D$30)/2,"")</f>
        <v/>
      </c>
      <c r="AA305" s="7" t="str">
        <f>IF(26&gt;=127,('Testes estatísticos'!$D$132+'Testes estatísticos'!$D$31)/2,"")</f>
        <v/>
      </c>
      <c r="AB305" s="7" t="str">
        <f>IF(27&gt;=127,('Testes estatísticos'!$D$132+'Testes estatísticos'!$D$32)/2,"")</f>
        <v/>
      </c>
      <c r="AC305" s="7" t="str">
        <f>IF(28&gt;=127,('Testes estatísticos'!$D$132+'Testes estatísticos'!$D$33)/2,"")</f>
        <v/>
      </c>
      <c r="AD305" s="7" t="str">
        <f>IF(29&gt;=127,('Testes estatísticos'!$D$132+'Testes estatísticos'!$D$34)/2,"")</f>
        <v/>
      </c>
      <c r="AE305" s="7" t="str">
        <f>IF(30&gt;=127,('Testes estatísticos'!$D$132+'Testes estatísticos'!$D$35)/2,"")</f>
        <v/>
      </c>
      <c r="AF305" s="7" t="str">
        <f>IF(31&gt;=127,('Testes estatísticos'!$D$132+'Testes estatísticos'!$D$36)/2,"")</f>
        <v/>
      </c>
      <c r="AG305" s="7" t="str">
        <f>IF(32&gt;=127,('Testes estatísticos'!$D$132+'Testes estatísticos'!$D$37)/2,"")</f>
        <v/>
      </c>
      <c r="AH305" s="7" t="str">
        <f>IF(33&gt;=127,('Testes estatísticos'!$D$132+'Testes estatísticos'!$D$38)/2,"")</f>
        <v/>
      </c>
      <c r="AI305" s="7" t="str">
        <f>IF(34&gt;=127,('Testes estatísticos'!$D$132+'Testes estatísticos'!$D$39)/2,"")</f>
        <v/>
      </c>
      <c r="AJ305" s="7" t="str">
        <f>IF(35&gt;=127,('Testes estatísticos'!$D$132+'Testes estatísticos'!$D$40)/2,"")</f>
        <v/>
      </c>
      <c r="AK305" s="7" t="str">
        <f>IF(36&gt;=127,('Testes estatísticos'!$D$132+'Testes estatísticos'!$D$41)/2,"")</f>
        <v/>
      </c>
      <c r="AL305" s="7" t="str">
        <f>IF(37&gt;=127,('Testes estatísticos'!$D$132+'Testes estatísticos'!$D$42)/2,"")</f>
        <v/>
      </c>
      <c r="AM305" s="7" t="str">
        <f>IF(38&gt;=127,('Testes estatísticos'!$D$132+'Testes estatísticos'!$D$43)/2,"")</f>
        <v/>
      </c>
      <c r="AN305" s="7" t="str">
        <f>IF(39&gt;=127,('Testes estatísticos'!$D$132+'Testes estatísticos'!$D$44)/2,"")</f>
        <v/>
      </c>
      <c r="AO305" s="7" t="str">
        <f>IF(40&gt;=127,('Testes estatísticos'!$D$132+'Testes estatísticos'!$D$45)/2,"")</f>
        <v/>
      </c>
      <c r="AP305" s="7" t="str">
        <f>IF(41&gt;=127,('Testes estatísticos'!$D$132+'Testes estatísticos'!$D$46)/2,"")</f>
        <v/>
      </c>
      <c r="AQ305" s="7" t="str">
        <f>IF(42&gt;=127,('Testes estatísticos'!$D$132+'Testes estatísticos'!$D$47)/2,"")</f>
        <v/>
      </c>
      <c r="AR305" s="7" t="str">
        <f>IF(43&gt;=127,('Testes estatísticos'!$D$132+'Testes estatísticos'!$D$48)/2,"")</f>
        <v/>
      </c>
      <c r="AS305" s="7" t="str">
        <f>IF(44&gt;=127,('Testes estatísticos'!$D$132+'Testes estatísticos'!$D$49)/2,"")</f>
        <v/>
      </c>
      <c r="AT305" s="7" t="str">
        <f>IF(45&gt;=127,('Testes estatísticos'!$D$132+'Testes estatísticos'!$D$50)/2,"")</f>
        <v/>
      </c>
      <c r="AU305" s="7" t="str">
        <f>IF(46&gt;=127,('Testes estatísticos'!$D$132+'Testes estatísticos'!$D$51)/2,"")</f>
        <v/>
      </c>
      <c r="AV305" s="7" t="str">
        <f>IF(47&gt;=127,('Testes estatísticos'!$D$132+'Testes estatísticos'!$D$52)/2,"")</f>
        <v/>
      </c>
      <c r="AW305" s="7" t="str">
        <f>IF(48&gt;=127,('Testes estatísticos'!$D$132+'Testes estatísticos'!$D$53)/2,"")</f>
        <v/>
      </c>
      <c r="AX305" s="7" t="str">
        <f>IF(49&gt;=127,('Testes estatísticos'!$D$132+'Testes estatísticos'!$D$54)/2,"")</f>
        <v/>
      </c>
      <c r="AY305" s="7" t="str">
        <f>IF(50&gt;=127,('Testes estatísticos'!$D$132+'Testes estatísticos'!$D$55)/2,"")</f>
        <v/>
      </c>
      <c r="AZ305" s="7" t="str">
        <f>IF(51&gt;=127,('Testes estatísticos'!$D$132+'Testes estatísticos'!$D$56)/2,"")</f>
        <v/>
      </c>
      <c r="BA305" s="7" t="str">
        <f>IF(52&gt;=127,('Testes estatísticos'!$D$132+'Testes estatísticos'!$D$57)/2,"")</f>
        <v/>
      </c>
      <c r="BB305" s="7" t="str">
        <f>IF(53&gt;=127,('Testes estatísticos'!$D$132+'Testes estatísticos'!$D$58)/2,"")</f>
        <v/>
      </c>
      <c r="BC305" s="7" t="str">
        <f>IF(54&gt;=127,('Testes estatísticos'!$D$132+'Testes estatísticos'!$D$59)/2,"")</f>
        <v/>
      </c>
      <c r="BD305" s="7" t="str">
        <f>IF(55&gt;=127,('Testes estatísticos'!$D$132+'Testes estatísticos'!$D$60)/2,"")</f>
        <v/>
      </c>
      <c r="BE305" s="7" t="str">
        <f>IF(56&gt;=127,('Testes estatísticos'!$D$132+'Testes estatísticos'!$D$61)/2,"")</f>
        <v/>
      </c>
      <c r="BF305" s="7" t="str">
        <f>IF(57&gt;=127,('Testes estatísticos'!$D$132+'Testes estatísticos'!$D$62)/2,"")</f>
        <v/>
      </c>
      <c r="BG305" s="7" t="str">
        <f>IF(58&gt;=127,('Testes estatísticos'!$D$132+'Testes estatísticos'!$D$63)/2,"")</f>
        <v/>
      </c>
      <c r="BH305" s="7" t="str">
        <f>IF(59&gt;=127,('Testes estatísticos'!$D$132+'Testes estatísticos'!$D$64)/2,"")</f>
        <v/>
      </c>
      <c r="BI305" s="7" t="str">
        <f>IF(60&gt;=127,('Testes estatísticos'!$D$132+'Testes estatísticos'!$D$65)/2,"")</f>
        <v/>
      </c>
      <c r="BJ305" s="7" t="str">
        <f>IF(61&gt;=127,('Testes estatísticos'!$D$132+'Testes estatísticos'!$D$66)/2,"")</f>
        <v/>
      </c>
      <c r="BK305" s="7" t="str">
        <f>IF(62&gt;=127,('Testes estatísticos'!$D$132+'Testes estatísticos'!$D$67)/2,"")</f>
        <v/>
      </c>
      <c r="BL305" s="7" t="str">
        <f>IF(63&gt;=127,('Testes estatísticos'!$D$132+'Testes estatísticos'!$D$68)/2,"")</f>
        <v/>
      </c>
      <c r="BM305" s="7" t="str">
        <f>IF(64&gt;=127,('Testes estatísticos'!$D$132+'Testes estatísticos'!$D$69)/2,"")</f>
        <v/>
      </c>
      <c r="BN305" s="7" t="str">
        <f>IF(65&gt;=127,('Testes estatísticos'!$D$132+'Testes estatísticos'!$D$70)/2,"")</f>
        <v/>
      </c>
      <c r="BO305" s="7" t="str">
        <f>IF(66&gt;=127,('Testes estatísticos'!$D$132+'Testes estatísticos'!$D$71)/2,"")</f>
        <v/>
      </c>
      <c r="BP305" s="7" t="str">
        <f>IF(67&gt;=127,('Testes estatísticos'!$D$132+'Testes estatísticos'!$D$72)/2,"")</f>
        <v/>
      </c>
      <c r="BQ305" s="7" t="str">
        <f>IF(68&gt;=127,('Testes estatísticos'!$D$132+'Testes estatísticos'!$D$73)/2,"")</f>
        <v/>
      </c>
      <c r="BR305" s="7" t="str">
        <f>IF(69&gt;=127,('Testes estatísticos'!$D$132+'Testes estatísticos'!$D$74)/2,"")</f>
        <v/>
      </c>
      <c r="BS305" s="7" t="str">
        <f>IF(70&gt;=127,('Testes estatísticos'!$D$132+'Testes estatísticos'!$D$75)/2,"")</f>
        <v/>
      </c>
      <c r="BT305" s="7" t="str">
        <f>IF(71&gt;=127,('Testes estatísticos'!$D$132+'Testes estatísticos'!$D$76)/2,"")</f>
        <v/>
      </c>
      <c r="BU305" s="7" t="str">
        <f>IF(72&gt;=127,('Testes estatísticos'!$D$132+'Testes estatísticos'!$D$77)/2,"")</f>
        <v/>
      </c>
      <c r="BV305" s="7" t="str">
        <f>IF(73&gt;=127,('Testes estatísticos'!$D$132+'Testes estatísticos'!$D$78)/2,"")</f>
        <v/>
      </c>
      <c r="BW305" s="7" t="str">
        <f>IF(74&gt;=127,('Testes estatísticos'!$D$132+'Testes estatísticos'!$D$79)/2,"")</f>
        <v/>
      </c>
      <c r="BX305" s="7" t="str">
        <f>IF(75&gt;=127,('Testes estatísticos'!$D$132+'Testes estatísticos'!$D$80)/2,"")</f>
        <v/>
      </c>
      <c r="BY305" s="7" t="str">
        <f>IF(76&gt;=127,('Testes estatísticos'!$D$132+'Testes estatísticos'!$D$81)/2,"")</f>
        <v/>
      </c>
      <c r="BZ305" s="7" t="str">
        <f>IF(77&gt;=127,('Testes estatísticos'!$D$132+'Testes estatísticos'!$D$82)/2,"")</f>
        <v/>
      </c>
      <c r="CA305" s="7" t="str">
        <f>IF(78&gt;=127,('Testes estatísticos'!$D$132+'Testes estatísticos'!$D$83)/2,"")</f>
        <v/>
      </c>
      <c r="CB305" s="7" t="str">
        <f>IF(79&gt;=127,('Testes estatísticos'!$D$132+'Testes estatísticos'!$D$84)/2,"")</f>
        <v/>
      </c>
      <c r="CC305" s="7" t="str">
        <f>IF(80&gt;=127,('Testes estatísticos'!$D$132+'Testes estatísticos'!$D$85)/2,"")</f>
        <v/>
      </c>
      <c r="CD305" s="7" t="str">
        <f>IF(81&gt;=127,('Testes estatísticos'!$D$132+'Testes estatísticos'!$D$86)/2,"")</f>
        <v/>
      </c>
      <c r="CE305" s="7" t="str">
        <f>IF(82&gt;=127,('Testes estatísticos'!$D$132+'Testes estatísticos'!$D$87)/2,"")</f>
        <v/>
      </c>
      <c r="CF305" s="7" t="str">
        <f>IF(83&gt;=127,('Testes estatísticos'!$D$132+'Testes estatísticos'!$D$88)/2,"")</f>
        <v/>
      </c>
      <c r="CG305" s="7" t="str">
        <f>IF(84&gt;=127,('Testes estatísticos'!$D$132+'Testes estatísticos'!$D$89)/2,"")</f>
        <v/>
      </c>
      <c r="CH305" s="7" t="str">
        <f>IF(85&gt;=127,('Testes estatísticos'!$D$132+'Testes estatísticos'!$D$90)/2,"")</f>
        <v/>
      </c>
      <c r="CI305" s="7" t="str">
        <f>IF(86&gt;=127,('Testes estatísticos'!$D$132+'Testes estatísticos'!$D$91)/2,"")</f>
        <v/>
      </c>
      <c r="CJ305" s="7" t="str">
        <f>IF(87&gt;=127,('Testes estatísticos'!$D$132+'Testes estatísticos'!$D$92)/2,"")</f>
        <v/>
      </c>
      <c r="CK305" s="7" t="str">
        <f>IF(88&gt;=127,('Testes estatísticos'!$D$132+'Testes estatísticos'!$D$93)/2,"")</f>
        <v/>
      </c>
      <c r="CL305" s="7" t="str">
        <f>IF(89&gt;=127,('Testes estatísticos'!$D$132+'Testes estatísticos'!$D$94)/2,"")</f>
        <v/>
      </c>
      <c r="CM305" s="7" t="str">
        <f>IF(90&gt;=127,('Testes estatísticos'!$D$132+'Testes estatísticos'!$D$95)/2,"")</f>
        <v/>
      </c>
      <c r="CN305" s="7" t="str">
        <f>IF(91&gt;=127,('Testes estatísticos'!$D$132+'Testes estatísticos'!$D$96)/2,"")</f>
        <v/>
      </c>
      <c r="CO305" s="7" t="str">
        <f>IF(92&gt;=127,('Testes estatísticos'!$D$132+'Testes estatísticos'!$D$97)/2,"")</f>
        <v/>
      </c>
      <c r="CP305" s="7" t="str">
        <f>IF(93&gt;=127,('Testes estatísticos'!$D$132+'Testes estatísticos'!$D$98)/2,"")</f>
        <v/>
      </c>
      <c r="CQ305" s="7" t="str">
        <f>IF(94&gt;=127,('Testes estatísticos'!$D$132+'Testes estatísticos'!$D$99)/2,"")</f>
        <v/>
      </c>
      <c r="CR305" s="7" t="str">
        <f>IF(95&gt;=127,('Testes estatísticos'!$D$132+'Testes estatísticos'!$D$100)/2,"")</f>
        <v/>
      </c>
      <c r="CS305" s="7" t="str">
        <f>IF(96&gt;=127,('Testes estatísticos'!$D$132+'Testes estatísticos'!$D$101)/2,"")</f>
        <v/>
      </c>
      <c r="CT305" s="7" t="str">
        <f>IF(97&gt;=127,('Testes estatísticos'!$D$132+'Testes estatísticos'!$D$102)/2,"")</f>
        <v/>
      </c>
      <c r="CU305" s="7" t="str">
        <f>IF(98&gt;=127,('Testes estatísticos'!$D$132+'Testes estatísticos'!$D$103)/2,"")</f>
        <v/>
      </c>
      <c r="CV305" s="7" t="str">
        <f>IF(99&gt;=127,('Testes estatísticos'!$D$132+'Testes estatísticos'!$D$104)/2,"")</f>
        <v/>
      </c>
      <c r="CW305" s="7" t="str">
        <f>IF(100&gt;=127,('Testes estatísticos'!$D$132+'Testes estatísticos'!$D$105)/2,"")</f>
        <v/>
      </c>
      <c r="CX305" s="7" t="str">
        <f>IF(101&gt;=127,('Testes estatísticos'!$D$132+'Testes estatísticos'!$D$106)/2,"")</f>
        <v/>
      </c>
      <c r="CY305" s="7" t="str">
        <f>IF(102&gt;=127,('Testes estatísticos'!$D$132+'Testes estatísticos'!$D$107)/2,"")</f>
        <v/>
      </c>
      <c r="CZ305" s="7" t="str">
        <f>IF(103&gt;=127,('Testes estatísticos'!$D$132+'Testes estatísticos'!$D$108)/2,"")</f>
        <v/>
      </c>
      <c r="DA305" s="7" t="str">
        <f>IF(104&gt;=127,('Testes estatísticos'!$D$132+'Testes estatísticos'!$D$109)/2,"")</f>
        <v/>
      </c>
      <c r="DB305" s="7" t="str">
        <f>IF(105&gt;=127,('Testes estatísticos'!$D$132+'Testes estatísticos'!$D$110)/2,"")</f>
        <v/>
      </c>
      <c r="DC305" s="7" t="str">
        <f>IF(106&gt;=127,('Testes estatísticos'!$D$132+'Testes estatísticos'!$D$111)/2,"")</f>
        <v/>
      </c>
      <c r="DD305" s="7" t="str">
        <f>IF(107&gt;=127,('Testes estatísticos'!$D$132+'Testes estatísticos'!$D$112)/2,"")</f>
        <v/>
      </c>
      <c r="DE305" s="7" t="str">
        <f>IF(108&gt;=127,('Testes estatísticos'!$D$132+'Testes estatísticos'!$D$113)/2,"")</f>
        <v/>
      </c>
      <c r="DF305" s="7" t="str">
        <f>IF(109&gt;=127,('Testes estatísticos'!$D$132+'Testes estatísticos'!$D$114)/2,"")</f>
        <v/>
      </c>
      <c r="DG305" s="7" t="str">
        <f>IF(110&gt;=127,('Testes estatísticos'!$D$132+'Testes estatísticos'!$D$115)/2,"")</f>
        <v/>
      </c>
      <c r="DH305" s="7" t="str">
        <f>IF(111&gt;=127,('Testes estatísticos'!$D$132+'Testes estatísticos'!$D$116)/2,"")</f>
        <v/>
      </c>
      <c r="DI305" s="7" t="str">
        <f>IF(112&gt;=127,('Testes estatísticos'!$D$132+'Testes estatísticos'!$D$117)/2,"")</f>
        <v/>
      </c>
      <c r="DJ305" s="7" t="str">
        <f>IF(113&gt;=127,('Testes estatísticos'!$D$132+'Testes estatísticos'!$D$118)/2,"")</f>
        <v/>
      </c>
      <c r="DK305" s="7" t="str">
        <f>IF(114&gt;=127,('Testes estatísticos'!$D$132+'Testes estatísticos'!$D$119)/2,"")</f>
        <v/>
      </c>
      <c r="DL305" s="7" t="str">
        <f>IF(115&gt;=127,('Testes estatísticos'!$D$132+'Testes estatísticos'!$D$120)/2,"")</f>
        <v/>
      </c>
      <c r="DM305" s="7" t="str">
        <f>IF(116&gt;=127,('Testes estatísticos'!$D$132+'Testes estatísticos'!$D$121)/2,"")</f>
        <v/>
      </c>
      <c r="DN305" s="7" t="str">
        <f>IF(117&gt;=127,('Testes estatísticos'!$D$132+'Testes estatísticos'!$D$122)/2,"")</f>
        <v/>
      </c>
      <c r="DO305" s="7" t="str">
        <f>IF(118&gt;=127,('Testes estatísticos'!$D$132+'Testes estatísticos'!$D$123)/2,"")</f>
        <v/>
      </c>
      <c r="DP305" s="7" t="str">
        <f>IF(119&gt;=127,('Testes estatísticos'!$D$132+'Testes estatísticos'!$D$124)/2,"")</f>
        <v/>
      </c>
      <c r="DQ305" s="7" t="str">
        <f>IF(120&gt;=127,('Testes estatísticos'!$D$132+'Testes estatísticos'!$D$125)/2,"")</f>
        <v/>
      </c>
      <c r="DR305" s="7" t="str">
        <f>IF(121&gt;=127,('Testes estatísticos'!$D$132+'Testes estatísticos'!$D$126)/2,"")</f>
        <v/>
      </c>
      <c r="DS305" s="7" t="str">
        <f>IF(122&gt;=127,('Testes estatísticos'!$D$132+'Testes estatísticos'!$D$127)/2,"")</f>
        <v/>
      </c>
      <c r="DT305" s="7" t="str">
        <f>IF(123&gt;=127,('Testes estatísticos'!$D$132+'Testes estatísticos'!$D$128)/2,"")</f>
        <v/>
      </c>
      <c r="DU305" s="7" t="str">
        <f>IF(124&gt;=127,('Testes estatísticos'!$D$132+'Testes estatísticos'!$D$129)/2,"")</f>
        <v/>
      </c>
      <c r="DV305" s="7" t="str">
        <f>IF(125&gt;=127,('Testes estatísticos'!$D$132+'Testes estatísticos'!$D$130)/2,"")</f>
        <v/>
      </c>
      <c r="DW305" s="7" t="str">
        <f>IF(126&gt;=127,('Testes estatísticos'!$D$132+'Testes estatísticos'!$D$131)/2,"")</f>
        <v/>
      </c>
      <c r="DX305" s="7">
        <f>IF(127&gt;=127,('Testes estatísticos'!$D$132+'Testes estatísticos'!$D$132)/2,"")</f>
        <v>-7.8871970000000005</v>
      </c>
      <c r="DY305" s="7">
        <f>IF(128&gt;=127,('Testes estatísticos'!$D$132+'Testes estatísticos'!$D$133)/2,"")</f>
        <v>-8.2282864999999994</v>
      </c>
      <c r="DZ305" s="7">
        <f>IF(129&gt;=127,('Testes estatísticos'!$D$132+'Testes estatísticos'!$D$134)/2,"")</f>
        <v>-11.6520765</v>
      </c>
      <c r="EA305" s="7">
        <f>IF(130&gt;=127,('Testes estatísticos'!$D$132+'Testes estatísticos'!$D$135)/2,"")</f>
        <v>-5.8903064999999977</v>
      </c>
      <c r="EB305" s="7">
        <f>IF(131&gt;=127,('Testes estatísticos'!$D$132+'Testes estatísticos'!$D$136)/2,"")</f>
        <v>-5.8024335000000029</v>
      </c>
      <c r="EC305" s="7">
        <f>IF(132&gt;=127,('Testes estatísticos'!$D$132+'Testes estatísticos'!$D$137)/2,"")</f>
        <v>-7.2891700000000021</v>
      </c>
      <c r="ED305" s="7">
        <f>IF(133&gt;=127,('Testes estatísticos'!$D$132+'Testes estatísticos'!$D$138)/2,"")</f>
        <v>-5.1002325000000006</v>
      </c>
      <c r="EE305" s="7">
        <f>IF(134&gt;=127,('Testes estatísticos'!$D$132+'Testes estatísticos'!$D$139)/2,"")</f>
        <v>-7.3974230000000034</v>
      </c>
      <c r="EF305" s="7">
        <f>IF(135&gt;=127,('Testes estatísticos'!$D$132+'Testes estatísticos'!$D$140)/2,"")</f>
        <v>-4.1829904999999989</v>
      </c>
      <c r="EG305" s="7">
        <f>IF(136&gt;=127,('Testes estatísticos'!$D$132+'Testes estatísticos'!$D$141)/2,"")</f>
        <v>-5.8764805000000031</v>
      </c>
      <c r="EH305" s="7">
        <f>IF(137&gt;=127,('Testes estatísticos'!$D$132+'Testes estatísticos'!$D$142)/2,"")</f>
        <v>-4.1717405000000021</v>
      </c>
      <c r="EI305" s="7">
        <f>IF(138&gt;=127,('Testes estatísticos'!$D$132+'Testes estatísticos'!$D$143)/2,"")</f>
        <v>-5.8367559999999976</v>
      </c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</row>
    <row r="306" spans="2:151" x14ac:dyDescent="0.3">
      <c r="B306" s="7" t="str">
        <f>IF(1&gt;=128,('Testes estatísticos'!$D$133+'Testes estatísticos'!$D$6)/2,"")</f>
        <v/>
      </c>
      <c r="C306" s="7" t="str">
        <f>IF(2&gt;=128,('Testes estatísticos'!$D$133+'Testes estatísticos'!$D$7)/2,"")</f>
        <v/>
      </c>
      <c r="D306" s="7" t="str">
        <f>IF(3&gt;=128,('Testes estatísticos'!$D$133+'Testes estatísticos'!$D$8)/2,"")</f>
        <v/>
      </c>
      <c r="E306" s="7" t="str">
        <f>IF(4&gt;=128,('Testes estatísticos'!$D$133+'Testes estatísticos'!$D$9)/2,"")</f>
        <v/>
      </c>
      <c r="F306" s="7" t="str">
        <f>IF(5&gt;=128,('Testes estatísticos'!$D$133+'Testes estatísticos'!$D$10)/2,"")</f>
        <v/>
      </c>
      <c r="G306" s="7" t="str">
        <f>IF(6&gt;=128,('Testes estatísticos'!$D$133+'Testes estatísticos'!$D$11)/2,"")</f>
        <v/>
      </c>
      <c r="H306" s="7" t="str">
        <f>IF(7&gt;=128,('Testes estatísticos'!$D$133+'Testes estatísticos'!$D$12)/2,"")</f>
        <v/>
      </c>
      <c r="I306" s="7" t="str">
        <f>IF(8&gt;=128,('Testes estatísticos'!$D$133+'Testes estatísticos'!$D$13)/2,"")</f>
        <v/>
      </c>
      <c r="J306" s="7" t="str">
        <f>IF(9&gt;=128,('Testes estatísticos'!$D$133+'Testes estatísticos'!$D$14)/2,"")</f>
        <v/>
      </c>
      <c r="K306" s="7" t="str">
        <f>IF(10&gt;=128,('Testes estatísticos'!$D$133+'Testes estatísticos'!$D$15)/2,"")</f>
        <v/>
      </c>
      <c r="L306" s="7" t="str">
        <f>IF(11&gt;=128,('Testes estatísticos'!$D$133+'Testes estatísticos'!$D$16)/2,"")</f>
        <v/>
      </c>
      <c r="M306" s="7" t="str">
        <f>IF(12&gt;=128,('Testes estatísticos'!$D$133+'Testes estatísticos'!$D$17)/2,"")</f>
        <v/>
      </c>
      <c r="N306" s="7" t="str">
        <f>IF(13&gt;=128,('Testes estatísticos'!$D$133+'Testes estatísticos'!$D$18)/2,"")</f>
        <v/>
      </c>
      <c r="O306" s="7" t="str">
        <f>IF(14&gt;=128,('Testes estatísticos'!$D$133+'Testes estatísticos'!$D$19)/2,"")</f>
        <v/>
      </c>
      <c r="P306" s="7" t="str">
        <f>IF(15&gt;=128,('Testes estatísticos'!$D$133+'Testes estatísticos'!$D$20)/2,"")</f>
        <v/>
      </c>
      <c r="Q306" s="7" t="str">
        <f>IF(16&gt;=128,('Testes estatísticos'!$D$133+'Testes estatísticos'!$D$21)/2,"")</f>
        <v/>
      </c>
      <c r="R306" s="7" t="str">
        <f>IF(17&gt;=128,('Testes estatísticos'!$D$133+'Testes estatísticos'!$D$22)/2,"")</f>
        <v/>
      </c>
      <c r="S306" s="7" t="str">
        <f>IF(18&gt;=128,('Testes estatísticos'!$D$133+'Testes estatísticos'!$D$23)/2,"")</f>
        <v/>
      </c>
      <c r="T306" s="7" t="str">
        <f>IF(19&gt;=128,('Testes estatísticos'!$D$133+'Testes estatísticos'!$D$24)/2,"")</f>
        <v/>
      </c>
      <c r="U306" s="7" t="str">
        <f>IF(20&gt;=128,('Testes estatísticos'!$D$133+'Testes estatísticos'!$D$25)/2,"")</f>
        <v/>
      </c>
      <c r="V306" s="7" t="str">
        <f>IF(21&gt;=128,('Testes estatísticos'!$D$133+'Testes estatísticos'!$D$26)/2,"")</f>
        <v/>
      </c>
      <c r="W306" s="7" t="str">
        <f>IF(22&gt;=128,('Testes estatísticos'!$D$133+'Testes estatísticos'!$D$27)/2,"")</f>
        <v/>
      </c>
      <c r="X306" s="7" t="str">
        <f>IF(23&gt;=128,('Testes estatísticos'!$D$133+'Testes estatísticos'!$D$28)/2,"")</f>
        <v/>
      </c>
      <c r="Y306" s="7" t="str">
        <f>IF(24&gt;=128,('Testes estatísticos'!$D$133+'Testes estatísticos'!$D$29)/2,"")</f>
        <v/>
      </c>
      <c r="Z306" s="7" t="str">
        <f>IF(25&gt;=128,('Testes estatísticos'!$D$133+'Testes estatísticos'!$D$30)/2,"")</f>
        <v/>
      </c>
      <c r="AA306" s="7" t="str">
        <f>IF(26&gt;=128,('Testes estatísticos'!$D$133+'Testes estatísticos'!$D$31)/2,"")</f>
        <v/>
      </c>
      <c r="AB306" s="7" t="str">
        <f>IF(27&gt;=128,('Testes estatísticos'!$D$133+'Testes estatísticos'!$D$32)/2,"")</f>
        <v/>
      </c>
      <c r="AC306" s="7" t="str">
        <f>IF(28&gt;=128,('Testes estatísticos'!$D$133+'Testes estatísticos'!$D$33)/2,"")</f>
        <v/>
      </c>
      <c r="AD306" s="7" t="str">
        <f>IF(29&gt;=128,('Testes estatísticos'!$D$133+'Testes estatísticos'!$D$34)/2,"")</f>
        <v/>
      </c>
      <c r="AE306" s="7" t="str">
        <f>IF(30&gt;=128,('Testes estatísticos'!$D$133+'Testes estatísticos'!$D$35)/2,"")</f>
        <v/>
      </c>
      <c r="AF306" s="7" t="str">
        <f>IF(31&gt;=128,('Testes estatísticos'!$D$133+'Testes estatísticos'!$D$36)/2,"")</f>
        <v/>
      </c>
      <c r="AG306" s="7" t="str">
        <f>IF(32&gt;=128,('Testes estatísticos'!$D$133+'Testes estatísticos'!$D$37)/2,"")</f>
        <v/>
      </c>
      <c r="AH306" s="7" t="str">
        <f>IF(33&gt;=128,('Testes estatísticos'!$D$133+'Testes estatísticos'!$D$38)/2,"")</f>
        <v/>
      </c>
      <c r="AI306" s="7" t="str">
        <f>IF(34&gt;=128,('Testes estatísticos'!$D$133+'Testes estatísticos'!$D$39)/2,"")</f>
        <v/>
      </c>
      <c r="AJ306" s="7" t="str">
        <f>IF(35&gt;=128,('Testes estatísticos'!$D$133+'Testes estatísticos'!$D$40)/2,"")</f>
        <v/>
      </c>
      <c r="AK306" s="7" t="str">
        <f>IF(36&gt;=128,('Testes estatísticos'!$D$133+'Testes estatísticos'!$D$41)/2,"")</f>
        <v/>
      </c>
      <c r="AL306" s="7" t="str">
        <f>IF(37&gt;=128,('Testes estatísticos'!$D$133+'Testes estatísticos'!$D$42)/2,"")</f>
        <v/>
      </c>
      <c r="AM306" s="7" t="str">
        <f>IF(38&gt;=128,('Testes estatísticos'!$D$133+'Testes estatísticos'!$D$43)/2,"")</f>
        <v/>
      </c>
      <c r="AN306" s="7" t="str">
        <f>IF(39&gt;=128,('Testes estatísticos'!$D$133+'Testes estatísticos'!$D$44)/2,"")</f>
        <v/>
      </c>
      <c r="AO306" s="7" t="str">
        <f>IF(40&gt;=128,('Testes estatísticos'!$D$133+'Testes estatísticos'!$D$45)/2,"")</f>
        <v/>
      </c>
      <c r="AP306" s="7" t="str">
        <f>IF(41&gt;=128,('Testes estatísticos'!$D$133+'Testes estatísticos'!$D$46)/2,"")</f>
        <v/>
      </c>
      <c r="AQ306" s="7" t="str">
        <f>IF(42&gt;=128,('Testes estatísticos'!$D$133+'Testes estatísticos'!$D$47)/2,"")</f>
        <v/>
      </c>
      <c r="AR306" s="7" t="str">
        <f>IF(43&gt;=128,('Testes estatísticos'!$D$133+'Testes estatísticos'!$D$48)/2,"")</f>
        <v/>
      </c>
      <c r="AS306" s="7" t="str">
        <f>IF(44&gt;=128,('Testes estatísticos'!$D$133+'Testes estatísticos'!$D$49)/2,"")</f>
        <v/>
      </c>
      <c r="AT306" s="7" t="str">
        <f>IF(45&gt;=128,('Testes estatísticos'!$D$133+'Testes estatísticos'!$D$50)/2,"")</f>
        <v/>
      </c>
      <c r="AU306" s="7" t="str">
        <f>IF(46&gt;=128,('Testes estatísticos'!$D$133+'Testes estatísticos'!$D$51)/2,"")</f>
        <v/>
      </c>
      <c r="AV306" s="7" t="str">
        <f>IF(47&gt;=128,('Testes estatísticos'!$D$133+'Testes estatísticos'!$D$52)/2,"")</f>
        <v/>
      </c>
      <c r="AW306" s="7" t="str">
        <f>IF(48&gt;=128,('Testes estatísticos'!$D$133+'Testes estatísticos'!$D$53)/2,"")</f>
        <v/>
      </c>
      <c r="AX306" s="7" t="str">
        <f>IF(49&gt;=128,('Testes estatísticos'!$D$133+'Testes estatísticos'!$D$54)/2,"")</f>
        <v/>
      </c>
      <c r="AY306" s="7" t="str">
        <f>IF(50&gt;=128,('Testes estatísticos'!$D$133+'Testes estatísticos'!$D$55)/2,"")</f>
        <v/>
      </c>
      <c r="AZ306" s="7" t="str">
        <f>IF(51&gt;=128,('Testes estatísticos'!$D$133+'Testes estatísticos'!$D$56)/2,"")</f>
        <v/>
      </c>
      <c r="BA306" s="7" t="str">
        <f>IF(52&gt;=128,('Testes estatísticos'!$D$133+'Testes estatísticos'!$D$57)/2,"")</f>
        <v/>
      </c>
      <c r="BB306" s="7" t="str">
        <f>IF(53&gt;=128,('Testes estatísticos'!$D$133+'Testes estatísticos'!$D$58)/2,"")</f>
        <v/>
      </c>
      <c r="BC306" s="7" t="str">
        <f>IF(54&gt;=128,('Testes estatísticos'!$D$133+'Testes estatísticos'!$D$59)/2,"")</f>
        <v/>
      </c>
      <c r="BD306" s="7" t="str">
        <f>IF(55&gt;=128,('Testes estatísticos'!$D$133+'Testes estatísticos'!$D$60)/2,"")</f>
        <v/>
      </c>
      <c r="BE306" s="7" t="str">
        <f>IF(56&gt;=128,('Testes estatísticos'!$D$133+'Testes estatísticos'!$D$61)/2,"")</f>
        <v/>
      </c>
      <c r="BF306" s="7" t="str">
        <f>IF(57&gt;=128,('Testes estatísticos'!$D$133+'Testes estatísticos'!$D$62)/2,"")</f>
        <v/>
      </c>
      <c r="BG306" s="7" t="str">
        <f>IF(58&gt;=128,('Testes estatísticos'!$D$133+'Testes estatísticos'!$D$63)/2,"")</f>
        <v/>
      </c>
      <c r="BH306" s="7" t="str">
        <f>IF(59&gt;=128,('Testes estatísticos'!$D$133+'Testes estatísticos'!$D$64)/2,"")</f>
        <v/>
      </c>
      <c r="BI306" s="7" t="str">
        <f>IF(60&gt;=128,('Testes estatísticos'!$D$133+'Testes estatísticos'!$D$65)/2,"")</f>
        <v/>
      </c>
      <c r="BJ306" s="7" t="str">
        <f>IF(61&gt;=128,('Testes estatísticos'!$D$133+'Testes estatísticos'!$D$66)/2,"")</f>
        <v/>
      </c>
      <c r="BK306" s="7" t="str">
        <f>IF(62&gt;=128,('Testes estatísticos'!$D$133+'Testes estatísticos'!$D$67)/2,"")</f>
        <v/>
      </c>
      <c r="BL306" s="7" t="str">
        <f>IF(63&gt;=128,('Testes estatísticos'!$D$133+'Testes estatísticos'!$D$68)/2,"")</f>
        <v/>
      </c>
      <c r="BM306" s="7" t="str">
        <f>IF(64&gt;=128,('Testes estatísticos'!$D$133+'Testes estatísticos'!$D$69)/2,"")</f>
        <v/>
      </c>
      <c r="BN306" s="7" t="str">
        <f>IF(65&gt;=128,('Testes estatísticos'!$D$133+'Testes estatísticos'!$D$70)/2,"")</f>
        <v/>
      </c>
      <c r="BO306" s="7" t="str">
        <f>IF(66&gt;=128,('Testes estatísticos'!$D$133+'Testes estatísticos'!$D$71)/2,"")</f>
        <v/>
      </c>
      <c r="BP306" s="7" t="str">
        <f>IF(67&gt;=128,('Testes estatísticos'!$D$133+'Testes estatísticos'!$D$72)/2,"")</f>
        <v/>
      </c>
      <c r="BQ306" s="7" t="str">
        <f>IF(68&gt;=128,('Testes estatísticos'!$D$133+'Testes estatísticos'!$D$73)/2,"")</f>
        <v/>
      </c>
      <c r="BR306" s="7" t="str">
        <f>IF(69&gt;=128,('Testes estatísticos'!$D$133+'Testes estatísticos'!$D$74)/2,"")</f>
        <v/>
      </c>
      <c r="BS306" s="7" t="str">
        <f>IF(70&gt;=128,('Testes estatísticos'!$D$133+'Testes estatísticos'!$D$75)/2,"")</f>
        <v/>
      </c>
      <c r="BT306" s="7" t="str">
        <f>IF(71&gt;=128,('Testes estatísticos'!$D$133+'Testes estatísticos'!$D$76)/2,"")</f>
        <v/>
      </c>
      <c r="BU306" s="7" t="str">
        <f>IF(72&gt;=128,('Testes estatísticos'!$D$133+'Testes estatísticos'!$D$77)/2,"")</f>
        <v/>
      </c>
      <c r="BV306" s="7" t="str">
        <f>IF(73&gt;=128,('Testes estatísticos'!$D$133+'Testes estatísticos'!$D$78)/2,"")</f>
        <v/>
      </c>
      <c r="BW306" s="7" t="str">
        <f>IF(74&gt;=128,('Testes estatísticos'!$D$133+'Testes estatísticos'!$D$79)/2,"")</f>
        <v/>
      </c>
      <c r="BX306" s="7" t="str">
        <f>IF(75&gt;=128,('Testes estatísticos'!$D$133+'Testes estatísticos'!$D$80)/2,"")</f>
        <v/>
      </c>
      <c r="BY306" s="7" t="str">
        <f>IF(76&gt;=128,('Testes estatísticos'!$D$133+'Testes estatísticos'!$D$81)/2,"")</f>
        <v/>
      </c>
      <c r="BZ306" s="7" t="str">
        <f>IF(77&gt;=128,('Testes estatísticos'!$D$133+'Testes estatísticos'!$D$82)/2,"")</f>
        <v/>
      </c>
      <c r="CA306" s="7" t="str">
        <f>IF(78&gt;=128,('Testes estatísticos'!$D$133+'Testes estatísticos'!$D$83)/2,"")</f>
        <v/>
      </c>
      <c r="CB306" s="7" t="str">
        <f>IF(79&gt;=128,('Testes estatísticos'!$D$133+'Testes estatísticos'!$D$84)/2,"")</f>
        <v/>
      </c>
      <c r="CC306" s="7" t="str">
        <f>IF(80&gt;=128,('Testes estatísticos'!$D$133+'Testes estatísticos'!$D$85)/2,"")</f>
        <v/>
      </c>
      <c r="CD306" s="7" t="str">
        <f>IF(81&gt;=128,('Testes estatísticos'!$D$133+'Testes estatísticos'!$D$86)/2,"")</f>
        <v/>
      </c>
      <c r="CE306" s="7" t="str">
        <f>IF(82&gt;=128,('Testes estatísticos'!$D$133+'Testes estatísticos'!$D$87)/2,"")</f>
        <v/>
      </c>
      <c r="CF306" s="7" t="str">
        <f>IF(83&gt;=128,('Testes estatísticos'!$D$133+'Testes estatísticos'!$D$88)/2,"")</f>
        <v/>
      </c>
      <c r="CG306" s="7" t="str">
        <f>IF(84&gt;=128,('Testes estatísticos'!$D$133+'Testes estatísticos'!$D$89)/2,"")</f>
        <v/>
      </c>
      <c r="CH306" s="7" t="str">
        <f>IF(85&gt;=128,('Testes estatísticos'!$D$133+'Testes estatísticos'!$D$90)/2,"")</f>
        <v/>
      </c>
      <c r="CI306" s="7" t="str">
        <f>IF(86&gt;=128,('Testes estatísticos'!$D$133+'Testes estatísticos'!$D$91)/2,"")</f>
        <v/>
      </c>
      <c r="CJ306" s="7" t="str">
        <f>IF(87&gt;=128,('Testes estatísticos'!$D$133+'Testes estatísticos'!$D$92)/2,"")</f>
        <v/>
      </c>
      <c r="CK306" s="7" t="str">
        <f>IF(88&gt;=128,('Testes estatísticos'!$D$133+'Testes estatísticos'!$D$93)/2,"")</f>
        <v/>
      </c>
      <c r="CL306" s="7" t="str">
        <f>IF(89&gt;=128,('Testes estatísticos'!$D$133+'Testes estatísticos'!$D$94)/2,"")</f>
        <v/>
      </c>
      <c r="CM306" s="7" t="str">
        <f>IF(90&gt;=128,('Testes estatísticos'!$D$133+'Testes estatísticos'!$D$95)/2,"")</f>
        <v/>
      </c>
      <c r="CN306" s="7" t="str">
        <f>IF(91&gt;=128,('Testes estatísticos'!$D$133+'Testes estatísticos'!$D$96)/2,"")</f>
        <v/>
      </c>
      <c r="CO306" s="7" t="str">
        <f>IF(92&gt;=128,('Testes estatísticos'!$D$133+'Testes estatísticos'!$D$97)/2,"")</f>
        <v/>
      </c>
      <c r="CP306" s="7" t="str">
        <f>IF(93&gt;=128,('Testes estatísticos'!$D$133+'Testes estatísticos'!$D$98)/2,"")</f>
        <v/>
      </c>
      <c r="CQ306" s="7" t="str">
        <f>IF(94&gt;=128,('Testes estatísticos'!$D$133+'Testes estatísticos'!$D$99)/2,"")</f>
        <v/>
      </c>
      <c r="CR306" s="7" t="str">
        <f>IF(95&gt;=128,('Testes estatísticos'!$D$133+'Testes estatísticos'!$D$100)/2,"")</f>
        <v/>
      </c>
      <c r="CS306" s="7" t="str">
        <f>IF(96&gt;=128,('Testes estatísticos'!$D$133+'Testes estatísticos'!$D$101)/2,"")</f>
        <v/>
      </c>
      <c r="CT306" s="7" t="str">
        <f>IF(97&gt;=128,('Testes estatísticos'!$D$133+'Testes estatísticos'!$D$102)/2,"")</f>
        <v/>
      </c>
      <c r="CU306" s="7" t="str">
        <f>IF(98&gt;=128,('Testes estatísticos'!$D$133+'Testes estatísticos'!$D$103)/2,"")</f>
        <v/>
      </c>
      <c r="CV306" s="7" t="str">
        <f>IF(99&gt;=128,('Testes estatísticos'!$D$133+'Testes estatísticos'!$D$104)/2,"")</f>
        <v/>
      </c>
      <c r="CW306" s="7" t="str">
        <f>IF(100&gt;=128,('Testes estatísticos'!$D$133+'Testes estatísticos'!$D$105)/2,"")</f>
        <v/>
      </c>
      <c r="CX306" s="7" t="str">
        <f>IF(101&gt;=128,('Testes estatísticos'!$D$133+'Testes estatísticos'!$D$106)/2,"")</f>
        <v/>
      </c>
      <c r="CY306" s="7" t="str">
        <f>IF(102&gt;=128,('Testes estatísticos'!$D$133+'Testes estatísticos'!$D$107)/2,"")</f>
        <v/>
      </c>
      <c r="CZ306" s="7" t="str">
        <f>IF(103&gt;=128,('Testes estatísticos'!$D$133+'Testes estatísticos'!$D$108)/2,"")</f>
        <v/>
      </c>
      <c r="DA306" s="7" t="str">
        <f>IF(104&gt;=128,('Testes estatísticos'!$D$133+'Testes estatísticos'!$D$109)/2,"")</f>
        <v/>
      </c>
      <c r="DB306" s="7" t="str">
        <f>IF(105&gt;=128,('Testes estatísticos'!$D$133+'Testes estatísticos'!$D$110)/2,"")</f>
        <v/>
      </c>
      <c r="DC306" s="7" t="str">
        <f>IF(106&gt;=128,('Testes estatísticos'!$D$133+'Testes estatísticos'!$D$111)/2,"")</f>
        <v/>
      </c>
      <c r="DD306" s="7" t="str">
        <f>IF(107&gt;=128,('Testes estatísticos'!$D$133+'Testes estatísticos'!$D$112)/2,"")</f>
        <v/>
      </c>
      <c r="DE306" s="7" t="str">
        <f>IF(108&gt;=128,('Testes estatísticos'!$D$133+'Testes estatísticos'!$D$113)/2,"")</f>
        <v/>
      </c>
      <c r="DF306" s="7" t="str">
        <f>IF(109&gt;=128,('Testes estatísticos'!$D$133+'Testes estatísticos'!$D$114)/2,"")</f>
        <v/>
      </c>
      <c r="DG306" s="7" t="str">
        <f>IF(110&gt;=128,('Testes estatísticos'!$D$133+'Testes estatísticos'!$D$115)/2,"")</f>
        <v/>
      </c>
      <c r="DH306" s="7" t="str">
        <f>IF(111&gt;=128,('Testes estatísticos'!$D$133+'Testes estatísticos'!$D$116)/2,"")</f>
        <v/>
      </c>
      <c r="DI306" s="7" t="str">
        <f>IF(112&gt;=128,('Testes estatísticos'!$D$133+'Testes estatísticos'!$D$117)/2,"")</f>
        <v/>
      </c>
      <c r="DJ306" s="7" t="str">
        <f>IF(113&gt;=128,('Testes estatísticos'!$D$133+'Testes estatísticos'!$D$118)/2,"")</f>
        <v/>
      </c>
      <c r="DK306" s="7" t="str">
        <f>IF(114&gt;=128,('Testes estatísticos'!$D$133+'Testes estatísticos'!$D$119)/2,"")</f>
        <v/>
      </c>
      <c r="DL306" s="7" t="str">
        <f>IF(115&gt;=128,('Testes estatísticos'!$D$133+'Testes estatísticos'!$D$120)/2,"")</f>
        <v/>
      </c>
      <c r="DM306" s="7" t="str">
        <f>IF(116&gt;=128,('Testes estatísticos'!$D$133+'Testes estatísticos'!$D$121)/2,"")</f>
        <v/>
      </c>
      <c r="DN306" s="7" t="str">
        <f>IF(117&gt;=128,('Testes estatísticos'!$D$133+'Testes estatísticos'!$D$122)/2,"")</f>
        <v/>
      </c>
      <c r="DO306" s="7" t="str">
        <f>IF(118&gt;=128,('Testes estatísticos'!$D$133+'Testes estatísticos'!$D$123)/2,"")</f>
        <v/>
      </c>
      <c r="DP306" s="7" t="str">
        <f>IF(119&gt;=128,('Testes estatísticos'!$D$133+'Testes estatísticos'!$D$124)/2,"")</f>
        <v/>
      </c>
      <c r="DQ306" s="7" t="str">
        <f>IF(120&gt;=128,('Testes estatísticos'!$D$133+'Testes estatísticos'!$D$125)/2,"")</f>
        <v/>
      </c>
      <c r="DR306" s="7" t="str">
        <f>IF(121&gt;=128,('Testes estatísticos'!$D$133+'Testes estatísticos'!$D$126)/2,"")</f>
        <v/>
      </c>
      <c r="DS306" s="7" t="str">
        <f>IF(122&gt;=128,('Testes estatísticos'!$D$133+'Testes estatísticos'!$D$127)/2,"")</f>
        <v/>
      </c>
      <c r="DT306" s="7" t="str">
        <f>IF(123&gt;=128,('Testes estatísticos'!$D$133+'Testes estatísticos'!$D$128)/2,"")</f>
        <v/>
      </c>
      <c r="DU306" s="7" t="str">
        <f>IF(124&gt;=128,('Testes estatísticos'!$D$133+'Testes estatísticos'!$D$129)/2,"")</f>
        <v/>
      </c>
      <c r="DV306" s="7" t="str">
        <f>IF(125&gt;=128,('Testes estatísticos'!$D$133+'Testes estatísticos'!$D$130)/2,"")</f>
        <v/>
      </c>
      <c r="DW306" s="7" t="str">
        <f>IF(126&gt;=128,('Testes estatísticos'!$D$133+'Testes estatísticos'!$D$131)/2,"")</f>
        <v/>
      </c>
      <c r="DX306" s="7" t="str">
        <f>IF(127&gt;=128,('Testes estatísticos'!$D$133+'Testes estatísticos'!$D$132)/2,"")</f>
        <v/>
      </c>
      <c r="DY306" s="7">
        <f>IF(128&gt;=128,('Testes estatísticos'!$D$133+'Testes estatísticos'!$D$133)/2,"")</f>
        <v>-8.5693759999999983</v>
      </c>
      <c r="DZ306" s="7">
        <f>IF(129&gt;=128,('Testes estatísticos'!$D$133+'Testes estatísticos'!$D$134)/2,"")</f>
        <v>-11.993165999999999</v>
      </c>
      <c r="EA306" s="7">
        <f>IF(130&gt;=128,('Testes estatísticos'!$D$133+'Testes estatísticos'!$D$135)/2,"")</f>
        <v>-6.2313959999999966</v>
      </c>
      <c r="EB306" s="7">
        <f>IF(131&gt;=128,('Testes estatísticos'!$D$133+'Testes estatísticos'!$D$136)/2,"")</f>
        <v>-6.1435230000000018</v>
      </c>
      <c r="EC306" s="7">
        <f>IF(132&gt;=128,('Testes estatísticos'!$D$133+'Testes estatísticos'!$D$137)/2,"")</f>
        <v>-7.6302595000000011</v>
      </c>
      <c r="ED306" s="7">
        <f>IF(133&gt;=128,('Testes estatísticos'!$D$133+'Testes estatísticos'!$D$138)/2,"")</f>
        <v>-5.4413219999999995</v>
      </c>
      <c r="EE306" s="7">
        <f>IF(134&gt;=128,('Testes estatísticos'!$D$133+'Testes estatísticos'!$D$139)/2,"")</f>
        <v>-7.7385125000000023</v>
      </c>
      <c r="EF306" s="7">
        <f>IF(135&gt;=128,('Testes estatísticos'!$D$133+'Testes estatísticos'!$D$140)/2,"")</f>
        <v>-4.5240799999999979</v>
      </c>
      <c r="EG306" s="7">
        <f>IF(136&gt;=128,('Testes estatísticos'!$D$133+'Testes estatísticos'!$D$141)/2,"")</f>
        <v>-6.217570000000002</v>
      </c>
      <c r="EH306" s="7">
        <f>IF(137&gt;=128,('Testes estatísticos'!$D$133+'Testes estatísticos'!$D$142)/2,"")</f>
        <v>-4.512830000000001</v>
      </c>
      <c r="EI306" s="7">
        <f>IF(138&gt;=128,('Testes estatísticos'!$D$133+'Testes estatísticos'!$D$143)/2,"")</f>
        <v>-6.1778454999999965</v>
      </c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</row>
    <row r="307" spans="2:151" x14ac:dyDescent="0.3">
      <c r="B307" s="7" t="str">
        <f>IF(1&gt;=129,('Testes estatísticos'!$D$134+'Testes estatísticos'!$D$6)/2,"")</f>
        <v/>
      </c>
      <c r="C307" s="7" t="str">
        <f>IF(2&gt;=129,('Testes estatísticos'!$D$134+'Testes estatísticos'!$D$7)/2,"")</f>
        <v/>
      </c>
      <c r="D307" s="7" t="str">
        <f>IF(3&gt;=129,('Testes estatísticos'!$D$134+'Testes estatísticos'!$D$8)/2,"")</f>
        <v/>
      </c>
      <c r="E307" s="7" t="str">
        <f>IF(4&gt;=129,('Testes estatísticos'!$D$134+'Testes estatísticos'!$D$9)/2,"")</f>
        <v/>
      </c>
      <c r="F307" s="7" t="str">
        <f>IF(5&gt;=129,('Testes estatísticos'!$D$134+'Testes estatísticos'!$D$10)/2,"")</f>
        <v/>
      </c>
      <c r="G307" s="7" t="str">
        <f>IF(6&gt;=129,('Testes estatísticos'!$D$134+'Testes estatísticos'!$D$11)/2,"")</f>
        <v/>
      </c>
      <c r="H307" s="7" t="str">
        <f>IF(7&gt;=129,('Testes estatísticos'!$D$134+'Testes estatísticos'!$D$12)/2,"")</f>
        <v/>
      </c>
      <c r="I307" s="7" t="str">
        <f>IF(8&gt;=129,('Testes estatísticos'!$D$134+'Testes estatísticos'!$D$13)/2,"")</f>
        <v/>
      </c>
      <c r="J307" s="7" t="str">
        <f>IF(9&gt;=129,('Testes estatísticos'!$D$134+'Testes estatísticos'!$D$14)/2,"")</f>
        <v/>
      </c>
      <c r="K307" s="7" t="str">
        <f>IF(10&gt;=129,('Testes estatísticos'!$D$134+'Testes estatísticos'!$D$15)/2,"")</f>
        <v/>
      </c>
      <c r="L307" s="7" t="str">
        <f>IF(11&gt;=129,('Testes estatísticos'!$D$134+'Testes estatísticos'!$D$16)/2,"")</f>
        <v/>
      </c>
      <c r="M307" s="7" t="str">
        <f>IF(12&gt;=129,('Testes estatísticos'!$D$134+'Testes estatísticos'!$D$17)/2,"")</f>
        <v/>
      </c>
      <c r="N307" s="7" t="str">
        <f>IF(13&gt;=129,('Testes estatísticos'!$D$134+'Testes estatísticos'!$D$18)/2,"")</f>
        <v/>
      </c>
      <c r="O307" s="7" t="str">
        <f>IF(14&gt;=129,('Testes estatísticos'!$D$134+'Testes estatísticos'!$D$19)/2,"")</f>
        <v/>
      </c>
      <c r="P307" s="7" t="str">
        <f>IF(15&gt;=129,('Testes estatísticos'!$D$134+'Testes estatísticos'!$D$20)/2,"")</f>
        <v/>
      </c>
      <c r="Q307" s="7" t="str">
        <f>IF(16&gt;=129,('Testes estatísticos'!$D$134+'Testes estatísticos'!$D$21)/2,"")</f>
        <v/>
      </c>
      <c r="R307" s="7" t="str">
        <f>IF(17&gt;=129,('Testes estatísticos'!$D$134+'Testes estatísticos'!$D$22)/2,"")</f>
        <v/>
      </c>
      <c r="S307" s="7" t="str">
        <f>IF(18&gt;=129,('Testes estatísticos'!$D$134+'Testes estatísticos'!$D$23)/2,"")</f>
        <v/>
      </c>
      <c r="T307" s="7" t="str">
        <f>IF(19&gt;=129,('Testes estatísticos'!$D$134+'Testes estatísticos'!$D$24)/2,"")</f>
        <v/>
      </c>
      <c r="U307" s="7" t="str">
        <f>IF(20&gt;=129,('Testes estatísticos'!$D$134+'Testes estatísticos'!$D$25)/2,"")</f>
        <v/>
      </c>
      <c r="V307" s="7" t="str">
        <f>IF(21&gt;=129,('Testes estatísticos'!$D$134+'Testes estatísticos'!$D$26)/2,"")</f>
        <v/>
      </c>
      <c r="W307" s="7" t="str">
        <f>IF(22&gt;=129,('Testes estatísticos'!$D$134+'Testes estatísticos'!$D$27)/2,"")</f>
        <v/>
      </c>
      <c r="X307" s="7" t="str">
        <f>IF(23&gt;=129,('Testes estatísticos'!$D$134+'Testes estatísticos'!$D$28)/2,"")</f>
        <v/>
      </c>
      <c r="Y307" s="7" t="str">
        <f>IF(24&gt;=129,('Testes estatísticos'!$D$134+'Testes estatísticos'!$D$29)/2,"")</f>
        <v/>
      </c>
      <c r="Z307" s="7" t="str">
        <f>IF(25&gt;=129,('Testes estatísticos'!$D$134+'Testes estatísticos'!$D$30)/2,"")</f>
        <v/>
      </c>
      <c r="AA307" s="7" t="str">
        <f>IF(26&gt;=129,('Testes estatísticos'!$D$134+'Testes estatísticos'!$D$31)/2,"")</f>
        <v/>
      </c>
      <c r="AB307" s="7" t="str">
        <f>IF(27&gt;=129,('Testes estatísticos'!$D$134+'Testes estatísticos'!$D$32)/2,"")</f>
        <v/>
      </c>
      <c r="AC307" s="7" t="str">
        <f>IF(28&gt;=129,('Testes estatísticos'!$D$134+'Testes estatísticos'!$D$33)/2,"")</f>
        <v/>
      </c>
      <c r="AD307" s="7" t="str">
        <f>IF(29&gt;=129,('Testes estatísticos'!$D$134+'Testes estatísticos'!$D$34)/2,"")</f>
        <v/>
      </c>
      <c r="AE307" s="7" t="str">
        <f>IF(30&gt;=129,('Testes estatísticos'!$D$134+'Testes estatísticos'!$D$35)/2,"")</f>
        <v/>
      </c>
      <c r="AF307" s="7" t="str">
        <f>IF(31&gt;=129,('Testes estatísticos'!$D$134+'Testes estatísticos'!$D$36)/2,"")</f>
        <v/>
      </c>
      <c r="AG307" s="7" t="str">
        <f>IF(32&gt;=129,('Testes estatísticos'!$D$134+'Testes estatísticos'!$D$37)/2,"")</f>
        <v/>
      </c>
      <c r="AH307" s="7" t="str">
        <f>IF(33&gt;=129,('Testes estatísticos'!$D$134+'Testes estatísticos'!$D$38)/2,"")</f>
        <v/>
      </c>
      <c r="AI307" s="7" t="str">
        <f>IF(34&gt;=129,('Testes estatísticos'!$D$134+'Testes estatísticos'!$D$39)/2,"")</f>
        <v/>
      </c>
      <c r="AJ307" s="7" t="str">
        <f>IF(35&gt;=129,('Testes estatísticos'!$D$134+'Testes estatísticos'!$D$40)/2,"")</f>
        <v/>
      </c>
      <c r="AK307" s="7" t="str">
        <f>IF(36&gt;=129,('Testes estatísticos'!$D$134+'Testes estatísticos'!$D$41)/2,"")</f>
        <v/>
      </c>
      <c r="AL307" s="7" t="str">
        <f>IF(37&gt;=129,('Testes estatísticos'!$D$134+'Testes estatísticos'!$D$42)/2,"")</f>
        <v/>
      </c>
      <c r="AM307" s="7" t="str">
        <f>IF(38&gt;=129,('Testes estatísticos'!$D$134+'Testes estatísticos'!$D$43)/2,"")</f>
        <v/>
      </c>
      <c r="AN307" s="7" t="str">
        <f>IF(39&gt;=129,('Testes estatísticos'!$D$134+'Testes estatísticos'!$D$44)/2,"")</f>
        <v/>
      </c>
      <c r="AO307" s="7" t="str">
        <f>IF(40&gt;=129,('Testes estatísticos'!$D$134+'Testes estatísticos'!$D$45)/2,"")</f>
        <v/>
      </c>
      <c r="AP307" s="7" t="str">
        <f>IF(41&gt;=129,('Testes estatísticos'!$D$134+'Testes estatísticos'!$D$46)/2,"")</f>
        <v/>
      </c>
      <c r="AQ307" s="7" t="str">
        <f>IF(42&gt;=129,('Testes estatísticos'!$D$134+'Testes estatísticos'!$D$47)/2,"")</f>
        <v/>
      </c>
      <c r="AR307" s="7" t="str">
        <f>IF(43&gt;=129,('Testes estatísticos'!$D$134+'Testes estatísticos'!$D$48)/2,"")</f>
        <v/>
      </c>
      <c r="AS307" s="7" t="str">
        <f>IF(44&gt;=129,('Testes estatísticos'!$D$134+'Testes estatísticos'!$D$49)/2,"")</f>
        <v/>
      </c>
      <c r="AT307" s="7" t="str">
        <f>IF(45&gt;=129,('Testes estatísticos'!$D$134+'Testes estatísticos'!$D$50)/2,"")</f>
        <v/>
      </c>
      <c r="AU307" s="7" t="str">
        <f>IF(46&gt;=129,('Testes estatísticos'!$D$134+'Testes estatísticos'!$D$51)/2,"")</f>
        <v/>
      </c>
      <c r="AV307" s="7" t="str">
        <f>IF(47&gt;=129,('Testes estatísticos'!$D$134+'Testes estatísticos'!$D$52)/2,"")</f>
        <v/>
      </c>
      <c r="AW307" s="7" t="str">
        <f>IF(48&gt;=129,('Testes estatísticos'!$D$134+'Testes estatísticos'!$D$53)/2,"")</f>
        <v/>
      </c>
      <c r="AX307" s="7" t="str">
        <f>IF(49&gt;=129,('Testes estatísticos'!$D$134+'Testes estatísticos'!$D$54)/2,"")</f>
        <v/>
      </c>
      <c r="AY307" s="7" t="str">
        <f>IF(50&gt;=129,('Testes estatísticos'!$D$134+'Testes estatísticos'!$D$55)/2,"")</f>
        <v/>
      </c>
      <c r="AZ307" s="7" t="str">
        <f>IF(51&gt;=129,('Testes estatísticos'!$D$134+'Testes estatísticos'!$D$56)/2,"")</f>
        <v/>
      </c>
      <c r="BA307" s="7" t="str">
        <f>IF(52&gt;=129,('Testes estatísticos'!$D$134+'Testes estatísticos'!$D$57)/2,"")</f>
        <v/>
      </c>
      <c r="BB307" s="7" t="str">
        <f>IF(53&gt;=129,('Testes estatísticos'!$D$134+'Testes estatísticos'!$D$58)/2,"")</f>
        <v/>
      </c>
      <c r="BC307" s="7" t="str">
        <f>IF(54&gt;=129,('Testes estatísticos'!$D$134+'Testes estatísticos'!$D$59)/2,"")</f>
        <v/>
      </c>
      <c r="BD307" s="7" t="str">
        <f>IF(55&gt;=129,('Testes estatísticos'!$D$134+'Testes estatísticos'!$D$60)/2,"")</f>
        <v/>
      </c>
      <c r="BE307" s="7" t="str">
        <f>IF(56&gt;=129,('Testes estatísticos'!$D$134+'Testes estatísticos'!$D$61)/2,"")</f>
        <v/>
      </c>
      <c r="BF307" s="7" t="str">
        <f>IF(57&gt;=129,('Testes estatísticos'!$D$134+'Testes estatísticos'!$D$62)/2,"")</f>
        <v/>
      </c>
      <c r="BG307" s="7" t="str">
        <f>IF(58&gt;=129,('Testes estatísticos'!$D$134+'Testes estatísticos'!$D$63)/2,"")</f>
        <v/>
      </c>
      <c r="BH307" s="7" t="str">
        <f>IF(59&gt;=129,('Testes estatísticos'!$D$134+'Testes estatísticos'!$D$64)/2,"")</f>
        <v/>
      </c>
      <c r="BI307" s="7" t="str">
        <f>IF(60&gt;=129,('Testes estatísticos'!$D$134+'Testes estatísticos'!$D$65)/2,"")</f>
        <v/>
      </c>
      <c r="BJ307" s="7" t="str">
        <f>IF(61&gt;=129,('Testes estatísticos'!$D$134+'Testes estatísticos'!$D$66)/2,"")</f>
        <v/>
      </c>
      <c r="BK307" s="7" t="str">
        <f>IF(62&gt;=129,('Testes estatísticos'!$D$134+'Testes estatísticos'!$D$67)/2,"")</f>
        <v/>
      </c>
      <c r="BL307" s="7" t="str">
        <f>IF(63&gt;=129,('Testes estatísticos'!$D$134+'Testes estatísticos'!$D$68)/2,"")</f>
        <v/>
      </c>
      <c r="BM307" s="7" t="str">
        <f>IF(64&gt;=129,('Testes estatísticos'!$D$134+'Testes estatísticos'!$D$69)/2,"")</f>
        <v/>
      </c>
      <c r="BN307" s="7" t="str">
        <f>IF(65&gt;=129,('Testes estatísticos'!$D$134+'Testes estatísticos'!$D$70)/2,"")</f>
        <v/>
      </c>
      <c r="BO307" s="7" t="str">
        <f>IF(66&gt;=129,('Testes estatísticos'!$D$134+'Testes estatísticos'!$D$71)/2,"")</f>
        <v/>
      </c>
      <c r="BP307" s="7" t="str">
        <f>IF(67&gt;=129,('Testes estatísticos'!$D$134+'Testes estatísticos'!$D$72)/2,"")</f>
        <v/>
      </c>
      <c r="BQ307" s="7" t="str">
        <f>IF(68&gt;=129,('Testes estatísticos'!$D$134+'Testes estatísticos'!$D$73)/2,"")</f>
        <v/>
      </c>
      <c r="BR307" s="7" t="str">
        <f>IF(69&gt;=129,('Testes estatísticos'!$D$134+'Testes estatísticos'!$D$74)/2,"")</f>
        <v/>
      </c>
      <c r="BS307" s="7" t="str">
        <f>IF(70&gt;=129,('Testes estatísticos'!$D$134+'Testes estatísticos'!$D$75)/2,"")</f>
        <v/>
      </c>
      <c r="BT307" s="7" t="str">
        <f>IF(71&gt;=129,('Testes estatísticos'!$D$134+'Testes estatísticos'!$D$76)/2,"")</f>
        <v/>
      </c>
      <c r="BU307" s="7" t="str">
        <f>IF(72&gt;=129,('Testes estatísticos'!$D$134+'Testes estatísticos'!$D$77)/2,"")</f>
        <v/>
      </c>
      <c r="BV307" s="7" t="str">
        <f>IF(73&gt;=129,('Testes estatísticos'!$D$134+'Testes estatísticos'!$D$78)/2,"")</f>
        <v/>
      </c>
      <c r="BW307" s="7" t="str">
        <f>IF(74&gt;=129,('Testes estatísticos'!$D$134+'Testes estatísticos'!$D$79)/2,"")</f>
        <v/>
      </c>
      <c r="BX307" s="7" t="str">
        <f>IF(75&gt;=129,('Testes estatísticos'!$D$134+'Testes estatísticos'!$D$80)/2,"")</f>
        <v/>
      </c>
      <c r="BY307" s="7" t="str">
        <f>IF(76&gt;=129,('Testes estatísticos'!$D$134+'Testes estatísticos'!$D$81)/2,"")</f>
        <v/>
      </c>
      <c r="BZ307" s="7" t="str">
        <f>IF(77&gt;=129,('Testes estatísticos'!$D$134+'Testes estatísticos'!$D$82)/2,"")</f>
        <v/>
      </c>
      <c r="CA307" s="7" t="str">
        <f>IF(78&gt;=129,('Testes estatísticos'!$D$134+'Testes estatísticos'!$D$83)/2,"")</f>
        <v/>
      </c>
      <c r="CB307" s="7" t="str">
        <f>IF(79&gt;=129,('Testes estatísticos'!$D$134+'Testes estatísticos'!$D$84)/2,"")</f>
        <v/>
      </c>
      <c r="CC307" s="7" t="str">
        <f>IF(80&gt;=129,('Testes estatísticos'!$D$134+'Testes estatísticos'!$D$85)/2,"")</f>
        <v/>
      </c>
      <c r="CD307" s="7" t="str">
        <f>IF(81&gt;=129,('Testes estatísticos'!$D$134+'Testes estatísticos'!$D$86)/2,"")</f>
        <v/>
      </c>
      <c r="CE307" s="7" t="str">
        <f>IF(82&gt;=129,('Testes estatísticos'!$D$134+'Testes estatísticos'!$D$87)/2,"")</f>
        <v/>
      </c>
      <c r="CF307" s="7" t="str">
        <f>IF(83&gt;=129,('Testes estatísticos'!$D$134+'Testes estatísticos'!$D$88)/2,"")</f>
        <v/>
      </c>
      <c r="CG307" s="7" t="str">
        <f>IF(84&gt;=129,('Testes estatísticos'!$D$134+'Testes estatísticos'!$D$89)/2,"")</f>
        <v/>
      </c>
      <c r="CH307" s="7" t="str">
        <f>IF(85&gt;=129,('Testes estatísticos'!$D$134+'Testes estatísticos'!$D$90)/2,"")</f>
        <v/>
      </c>
      <c r="CI307" s="7" t="str">
        <f>IF(86&gt;=129,('Testes estatísticos'!$D$134+'Testes estatísticos'!$D$91)/2,"")</f>
        <v/>
      </c>
      <c r="CJ307" s="7" t="str">
        <f>IF(87&gt;=129,('Testes estatísticos'!$D$134+'Testes estatísticos'!$D$92)/2,"")</f>
        <v/>
      </c>
      <c r="CK307" s="7" t="str">
        <f>IF(88&gt;=129,('Testes estatísticos'!$D$134+'Testes estatísticos'!$D$93)/2,"")</f>
        <v/>
      </c>
      <c r="CL307" s="7" t="str">
        <f>IF(89&gt;=129,('Testes estatísticos'!$D$134+'Testes estatísticos'!$D$94)/2,"")</f>
        <v/>
      </c>
      <c r="CM307" s="7" t="str">
        <f>IF(90&gt;=129,('Testes estatísticos'!$D$134+'Testes estatísticos'!$D$95)/2,"")</f>
        <v/>
      </c>
      <c r="CN307" s="7" t="str">
        <f>IF(91&gt;=129,('Testes estatísticos'!$D$134+'Testes estatísticos'!$D$96)/2,"")</f>
        <v/>
      </c>
      <c r="CO307" s="7" t="str">
        <f>IF(92&gt;=129,('Testes estatísticos'!$D$134+'Testes estatísticos'!$D$97)/2,"")</f>
        <v/>
      </c>
      <c r="CP307" s="7" t="str">
        <f>IF(93&gt;=129,('Testes estatísticos'!$D$134+'Testes estatísticos'!$D$98)/2,"")</f>
        <v/>
      </c>
      <c r="CQ307" s="7" t="str">
        <f>IF(94&gt;=129,('Testes estatísticos'!$D$134+'Testes estatísticos'!$D$99)/2,"")</f>
        <v/>
      </c>
      <c r="CR307" s="7" t="str">
        <f>IF(95&gt;=129,('Testes estatísticos'!$D$134+'Testes estatísticos'!$D$100)/2,"")</f>
        <v/>
      </c>
      <c r="CS307" s="7" t="str">
        <f>IF(96&gt;=129,('Testes estatísticos'!$D$134+'Testes estatísticos'!$D$101)/2,"")</f>
        <v/>
      </c>
      <c r="CT307" s="7" t="str">
        <f>IF(97&gt;=129,('Testes estatísticos'!$D$134+'Testes estatísticos'!$D$102)/2,"")</f>
        <v/>
      </c>
      <c r="CU307" s="7" t="str">
        <f>IF(98&gt;=129,('Testes estatísticos'!$D$134+'Testes estatísticos'!$D$103)/2,"")</f>
        <v/>
      </c>
      <c r="CV307" s="7" t="str">
        <f>IF(99&gt;=129,('Testes estatísticos'!$D$134+'Testes estatísticos'!$D$104)/2,"")</f>
        <v/>
      </c>
      <c r="CW307" s="7" t="str">
        <f>IF(100&gt;=129,('Testes estatísticos'!$D$134+'Testes estatísticos'!$D$105)/2,"")</f>
        <v/>
      </c>
      <c r="CX307" s="7" t="str">
        <f>IF(101&gt;=129,('Testes estatísticos'!$D$134+'Testes estatísticos'!$D$106)/2,"")</f>
        <v/>
      </c>
      <c r="CY307" s="7" t="str">
        <f>IF(102&gt;=129,('Testes estatísticos'!$D$134+'Testes estatísticos'!$D$107)/2,"")</f>
        <v/>
      </c>
      <c r="CZ307" s="7" t="str">
        <f>IF(103&gt;=129,('Testes estatísticos'!$D$134+'Testes estatísticos'!$D$108)/2,"")</f>
        <v/>
      </c>
      <c r="DA307" s="7" t="str">
        <f>IF(104&gt;=129,('Testes estatísticos'!$D$134+'Testes estatísticos'!$D$109)/2,"")</f>
        <v/>
      </c>
      <c r="DB307" s="7" t="str">
        <f>IF(105&gt;=129,('Testes estatísticos'!$D$134+'Testes estatísticos'!$D$110)/2,"")</f>
        <v/>
      </c>
      <c r="DC307" s="7" t="str">
        <f>IF(106&gt;=129,('Testes estatísticos'!$D$134+'Testes estatísticos'!$D$111)/2,"")</f>
        <v/>
      </c>
      <c r="DD307" s="7" t="str">
        <f>IF(107&gt;=129,('Testes estatísticos'!$D$134+'Testes estatísticos'!$D$112)/2,"")</f>
        <v/>
      </c>
      <c r="DE307" s="7" t="str">
        <f>IF(108&gt;=129,('Testes estatísticos'!$D$134+'Testes estatísticos'!$D$113)/2,"")</f>
        <v/>
      </c>
      <c r="DF307" s="7" t="str">
        <f>IF(109&gt;=129,('Testes estatísticos'!$D$134+'Testes estatísticos'!$D$114)/2,"")</f>
        <v/>
      </c>
      <c r="DG307" s="7" t="str">
        <f>IF(110&gt;=129,('Testes estatísticos'!$D$134+'Testes estatísticos'!$D$115)/2,"")</f>
        <v/>
      </c>
      <c r="DH307" s="7" t="str">
        <f>IF(111&gt;=129,('Testes estatísticos'!$D$134+'Testes estatísticos'!$D$116)/2,"")</f>
        <v/>
      </c>
      <c r="DI307" s="7" t="str">
        <f>IF(112&gt;=129,('Testes estatísticos'!$D$134+'Testes estatísticos'!$D$117)/2,"")</f>
        <v/>
      </c>
      <c r="DJ307" s="7" t="str">
        <f>IF(113&gt;=129,('Testes estatísticos'!$D$134+'Testes estatísticos'!$D$118)/2,"")</f>
        <v/>
      </c>
      <c r="DK307" s="7" t="str">
        <f>IF(114&gt;=129,('Testes estatísticos'!$D$134+'Testes estatísticos'!$D$119)/2,"")</f>
        <v/>
      </c>
      <c r="DL307" s="7" t="str">
        <f>IF(115&gt;=129,('Testes estatísticos'!$D$134+'Testes estatísticos'!$D$120)/2,"")</f>
        <v/>
      </c>
      <c r="DM307" s="7" t="str">
        <f>IF(116&gt;=129,('Testes estatísticos'!$D$134+'Testes estatísticos'!$D$121)/2,"")</f>
        <v/>
      </c>
      <c r="DN307" s="7" t="str">
        <f>IF(117&gt;=129,('Testes estatísticos'!$D$134+'Testes estatísticos'!$D$122)/2,"")</f>
        <v/>
      </c>
      <c r="DO307" s="7" t="str">
        <f>IF(118&gt;=129,('Testes estatísticos'!$D$134+'Testes estatísticos'!$D$123)/2,"")</f>
        <v/>
      </c>
      <c r="DP307" s="7" t="str">
        <f>IF(119&gt;=129,('Testes estatísticos'!$D$134+'Testes estatísticos'!$D$124)/2,"")</f>
        <v/>
      </c>
      <c r="DQ307" s="7" t="str">
        <f>IF(120&gt;=129,('Testes estatísticos'!$D$134+'Testes estatísticos'!$D$125)/2,"")</f>
        <v/>
      </c>
      <c r="DR307" s="7" t="str">
        <f>IF(121&gt;=129,('Testes estatísticos'!$D$134+'Testes estatísticos'!$D$126)/2,"")</f>
        <v/>
      </c>
      <c r="DS307" s="7" t="str">
        <f>IF(122&gt;=129,('Testes estatísticos'!$D$134+'Testes estatísticos'!$D$127)/2,"")</f>
        <v/>
      </c>
      <c r="DT307" s="7" t="str">
        <f>IF(123&gt;=129,('Testes estatísticos'!$D$134+'Testes estatísticos'!$D$128)/2,"")</f>
        <v/>
      </c>
      <c r="DU307" s="7" t="str">
        <f>IF(124&gt;=129,('Testes estatísticos'!$D$134+'Testes estatísticos'!$D$129)/2,"")</f>
        <v/>
      </c>
      <c r="DV307" s="7" t="str">
        <f>IF(125&gt;=129,('Testes estatísticos'!$D$134+'Testes estatísticos'!$D$130)/2,"")</f>
        <v/>
      </c>
      <c r="DW307" s="7" t="str">
        <f>IF(126&gt;=129,('Testes estatísticos'!$D$134+'Testes estatísticos'!$D$131)/2,"")</f>
        <v/>
      </c>
      <c r="DX307" s="7" t="str">
        <f>IF(127&gt;=129,('Testes estatísticos'!$D$134+'Testes estatísticos'!$D$132)/2,"")</f>
        <v/>
      </c>
      <c r="DY307" s="7" t="str">
        <f>IF(128&gt;=129,('Testes estatísticos'!$D$134+'Testes estatísticos'!$D$133)/2,"")</f>
        <v/>
      </c>
      <c r="DZ307" s="7">
        <f>IF(129&gt;=129,('Testes estatísticos'!$D$134+'Testes estatísticos'!$D$134)/2,"")</f>
        <v>-15.416955999999999</v>
      </c>
      <c r="EA307" s="7">
        <f>IF(130&gt;=129,('Testes estatísticos'!$D$134+'Testes estatísticos'!$D$135)/2,"")</f>
        <v>-9.6551859999999969</v>
      </c>
      <c r="EB307" s="7">
        <f>IF(131&gt;=129,('Testes estatísticos'!$D$134+'Testes estatísticos'!$D$136)/2,"")</f>
        <v>-9.5673130000000022</v>
      </c>
      <c r="EC307" s="7">
        <f>IF(132&gt;=129,('Testes estatísticos'!$D$134+'Testes estatísticos'!$D$137)/2,"")</f>
        <v>-11.054049500000001</v>
      </c>
      <c r="ED307" s="7">
        <f>IF(133&gt;=129,('Testes estatísticos'!$D$134+'Testes estatísticos'!$D$138)/2,"")</f>
        <v>-8.8651119999999999</v>
      </c>
      <c r="EE307" s="7">
        <f>IF(134&gt;=129,('Testes estatísticos'!$D$134+'Testes estatísticos'!$D$139)/2,"")</f>
        <v>-11.162302500000003</v>
      </c>
      <c r="EF307" s="7">
        <f>IF(135&gt;=129,('Testes estatísticos'!$D$134+'Testes estatísticos'!$D$140)/2,"")</f>
        <v>-7.9478699999999982</v>
      </c>
      <c r="EG307" s="7">
        <f>IF(136&gt;=129,('Testes estatísticos'!$D$134+'Testes estatísticos'!$D$141)/2,"")</f>
        <v>-9.6413600000000024</v>
      </c>
      <c r="EH307" s="7">
        <f>IF(137&gt;=129,('Testes estatísticos'!$D$134+'Testes estatísticos'!$D$142)/2,"")</f>
        <v>-7.9366200000000013</v>
      </c>
      <c r="EI307" s="7">
        <f>IF(138&gt;=129,('Testes estatísticos'!$D$134+'Testes estatísticos'!$D$143)/2,"")</f>
        <v>-9.6016354999999969</v>
      </c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</row>
    <row r="308" spans="2:151" x14ac:dyDescent="0.3">
      <c r="B308" s="7" t="str">
        <f>IF(1&gt;=130,('Testes estatísticos'!$D$135+'Testes estatísticos'!$D$6)/2,"")</f>
        <v/>
      </c>
      <c r="C308" s="7" t="str">
        <f>IF(2&gt;=130,('Testes estatísticos'!$D$135+'Testes estatísticos'!$D$7)/2,"")</f>
        <v/>
      </c>
      <c r="D308" s="7" t="str">
        <f>IF(3&gt;=130,('Testes estatísticos'!$D$135+'Testes estatísticos'!$D$8)/2,"")</f>
        <v/>
      </c>
      <c r="E308" s="7" t="str">
        <f>IF(4&gt;=130,('Testes estatísticos'!$D$135+'Testes estatísticos'!$D$9)/2,"")</f>
        <v/>
      </c>
      <c r="F308" s="7" t="str">
        <f>IF(5&gt;=130,('Testes estatísticos'!$D$135+'Testes estatísticos'!$D$10)/2,"")</f>
        <v/>
      </c>
      <c r="G308" s="7" t="str">
        <f>IF(6&gt;=130,('Testes estatísticos'!$D$135+'Testes estatísticos'!$D$11)/2,"")</f>
        <v/>
      </c>
      <c r="H308" s="7" t="str">
        <f>IF(7&gt;=130,('Testes estatísticos'!$D$135+'Testes estatísticos'!$D$12)/2,"")</f>
        <v/>
      </c>
      <c r="I308" s="7" t="str">
        <f>IF(8&gt;=130,('Testes estatísticos'!$D$135+'Testes estatísticos'!$D$13)/2,"")</f>
        <v/>
      </c>
      <c r="J308" s="7" t="str">
        <f>IF(9&gt;=130,('Testes estatísticos'!$D$135+'Testes estatísticos'!$D$14)/2,"")</f>
        <v/>
      </c>
      <c r="K308" s="7" t="str">
        <f>IF(10&gt;=130,('Testes estatísticos'!$D$135+'Testes estatísticos'!$D$15)/2,"")</f>
        <v/>
      </c>
      <c r="L308" s="7" t="str">
        <f>IF(11&gt;=130,('Testes estatísticos'!$D$135+'Testes estatísticos'!$D$16)/2,"")</f>
        <v/>
      </c>
      <c r="M308" s="7" t="str">
        <f>IF(12&gt;=130,('Testes estatísticos'!$D$135+'Testes estatísticos'!$D$17)/2,"")</f>
        <v/>
      </c>
      <c r="N308" s="7" t="str">
        <f>IF(13&gt;=130,('Testes estatísticos'!$D$135+'Testes estatísticos'!$D$18)/2,"")</f>
        <v/>
      </c>
      <c r="O308" s="7" t="str">
        <f>IF(14&gt;=130,('Testes estatísticos'!$D$135+'Testes estatísticos'!$D$19)/2,"")</f>
        <v/>
      </c>
      <c r="P308" s="7" t="str">
        <f>IF(15&gt;=130,('Testes estatísticos'!$D$135+'Testes estatísticos'!$D$20)/2,"")</f>
        <v/>
      </c>
      <c r="Q308" s="7" t="str">
        <f>IF(16&gt;=130,('Testes estatísticos'!$D$135+'Testes estatísticos'!$D$21)/2,"")</f>
        <v/>
      </c>
      <c r="R308" s="7" t="str">
        <f>IF(17&gt;=130,('Testes estatísticos'!$D$135+'Testes estatísticos'!$D$22)/2,"")</f>
        <v/>
      </c>
      <c r="S308" s="7" t="str">
        <f>IF(18&gt;=130,('Testes estatísticos'!$D$135+'Testes estatísticos'!$D$23)/2,"")</f>
        <v/>
      </c>
      <c r="T308" s="7" t="str">
        <f>IF(19&gt;=130,('Testes estatísticos'!$D$135+'Testes estatísticos'!$D$24)/2,"")</f>
        <v/>
      </c>
      <c r="U308" s="7" t="str">
        <f>IF(20&gt;=130,('Testes estatísticos'!$D$135+'Testes estatísticos'!$D$25)/2,"")</f>
        <v/>
      </c>
      <c r="V308" s="7" t="str">
        <f>IF(21&gt;=130,('Testes estatísticos'!$D$135+'Testes estatísticos'!$D$26)/2,"")</f>
        <v/>
      </c>
      <c r="W308" s="7" t="str">
        <f>IF(22&gt;=130,('Testes estatísticos'!$D$135+'Testes estatísticos'!$D$27)/2,"")</f>
        <v/>
      </c>
      <c r="X308" s="7" t="str">
        <f>IF(23&gt;=130,('Testes estatísticos'!$D$135+'Testes estatísticos'!$D$28)/2,"")</f>
        <v/>
      </c>
      <c r="Y308" s="7" t="str">
        <f>IF(24&gt;=130,('Testes estatísticos'!$D$135+'Testes estatísticos'!$D$29)/2,"")</f>
        <v/>
      </c>
      <c r="Z308" s="7" t="str">
        <f>IF(25&gt;=130,('Testes estatísticos'!$D$135+'Testes estatísticos'!$D$30)/2,"")</f>
        <v/>
      </c>
      <c r="AA308" s="7" t="str">
        <f>IF(26&gt;=130,('Testes estatísticos'!$D$135+'Testes estatísticos'!$D$31)/2,"")</f>
        <v/>
      </c>
      <c r="AB308" s="7" t="str">
        <f>IF(27&gt;=130,('Testes estatísticos'!$D$135+'Testes estatísticos'!$D$32)/2,"")</f>
        <v/>
      </c>
      <c r="AC308" s="7" t="str">
        <f>IF(28&gt;=130,('Testes estatísticos'!$D$135+'Testes estatísticos'!$D$33)/2,"")</f>
        <v/>
      </c>
      <c r="AD308" s="7" t="str">
        <f>IF(29&gt;=130,('Testes estatísticos'!$D$135+'Testes estatísticos'!$D$34)/2,"")</f>
        <v/>
      </c>
      <c r="AE308" s="7" t="str">
        <f>IF(30&gt;=130,('Testes estatísticos'!$D$135+'Testes estatísticos'!$D$35)/2,"")</f>
        <v/>
      </c>
      <c r="AF308" s="7" t="str">
        <f>IF(31&gt;=130,('Testes estatísticos'!$D$135+'Testes estatísticos'!$D$36)/2,"")</f>
        <v/>
      </c>
      <c r="AG308" s="7" t="str">
        <f>IF(32&gt;=130,('Testes estatísticos'!$D$135+'Testes estatísticos'!$D$37)/2,"")</f>
        <v/>
      </c>
      <c r="AH308" s="7" t="str">
        <f>IF(33&gt;=130,('Testes estatísticos'!$D$135+'Testes estatísticos'!$D$38)/2,"")</f>
        <v/>
      </c>
      <c r="AI308" s="7" t="str">
        <f>IF(34&gt;=130,('Testes estatísticos'!$D$135+'Testes estatísticos'!$D$39)/2,"")</f>
        <v/>
      </c>
      <c r="AJ308" s="7" t="str">
        <f>IF(35&gt;=130,('Testes estatísticos'!$D$135+'Testes estatísticos'!$D$40)/2,"")</f>
        <v/>
      </c>
      <c r="AK308" s="7" t="str">
        <f>IF(36&gt;=130,('Testes estatísticos'!$D$135+'Testes estatísticos'!$D$41)/2,"")</f>
        <v/>
      </c>
      <c r="AL308" s="7" t="str">
        <f>IF(37&gt;=130,('Testes estatísticos'!$D$135+'Testes estatísticos'!$D$42)/2,"")</f>
        <v/>
      </c>
      <c r="AM308" s="7" t="str">
        <f>IF(38&gt;=130,('Testes estatísticos'!$D$135+'Testes estatísticos'!$D$43)/2,"")</f>
        <v/>
      </c>
      <c r="AN308" s="7" t="str">
        <f>IF(39&gt;=130,('Testes estatísticos'!$D$135+'Testes estatísticos'!$D$44)/2,"")</f>
        <v/>
      </c>
      <c r="AO308" s="7" t="str">
        <f>IF(40&gt;=130,('Testes estatísticos'!$D$135+'Testes estatísticos'!$D$45)/2,"")</f>
        <v/>
      </c>
      <c r="AP308" s="7" t="str">
        <f>IF(41&gt;=130,('Testes estatísticos'!$D$135+'Testes estatísticos'!$D$46)/2,"")</f>
        <v/>
      </c>
      <c r="AQ308" s="7" t="str">
        <f>IF(42&gt;=130,('Testes estatísticos'!$D$135+'Testes estatísticos'!$D$47)/2,"")</f>
        <v/>
      </c>
      <c r="AR308" s="7" t="str">
        <f>IF(43&gt;=130,('Testes estatísticos'!$D$135+'Testes estatísticos'!$D$48)/2,"")</f>
        <v/>
      </c>
      <c r="AS308" s="7" t="str">
        <f>IF(44&gt;=130,('Testes estatísticos'!$D$135+'Testes estatísticos'!$D$49)/2,"")</f>
        <v/>
      </c>
      <c r="AT308" s="7" t="str">
        <f>IF(45&gt;=130,('Testes estatísticos'!$D$135+'Testes estatísticos'!$D$50)/2,"")</f>
        <v/>
      </c>
      <c r="AU308" s="7" t="str">
        <f>IF(46&gt;=130,('Testes estatísticos'!$D$135+'Testes estatísticos'!$D$51)/2,"")</f>
        <v/>
      </c>
      <c r="AV308" s="7" t="str">
        <f>IF(47&gt;=130,('Testes estatísticos'!$D$135+'Testes estatísticos'!$D$52)/2,"")</f>
        <v/>
      </c>
      <c r="AW308" s="7" t="str">
        <f>IF(48&gt;=130,('Testes estatísticos'!$D$135+'Testes estatísticos'!$D$53)/2,"")</f>
        <v/>
      </c>
      <c r="AX308" s="7" t="str">
        <f>IF(49&gt;=130,('Testes estatísticos'!$D$135+'Testes estatísticos'!$D$54)/2,"")</f>
        <v/>
      </c>
      <c r="AY308" s="7" t="str">
        <f>IF(50&gt;=130,('Testes estatísticos'!$D$135+'Testes estatísticos'!$D$55)/2,"")</f>
        <v/>
      </c>
      <c r="AZ308" s="7" t="str">
        <f>IF(51&gt;=130,('Testes estatísticos'!$D$135+'Testes estatísticos'!$D$56)/2,"")</f>
        <v/>
      </c>
      <c r="BA308" s="7" t="str">
        <f>IF(52&gt;=130,('Testes estatísticos'!$D$135+'Testes estatísticos'!$D$57)/2,"")</f>
        <v/>
      </c>
      <c r="BB308" s="7" t="str">
        <f>IF(53&gt;=130,('Testes estatísticos'!$D$135+'Testes estatísticos'!$D$58)/2,"")</f>
        <v/>
      </c>
      <c r="BC308" s="7" t="str">
        <f>IF(54&gt;=130,('Testes estatísticos'!$D$135+'Testes estatísticos'!$D$59)/2,"")</f>
        <v/>
      </c>
      <c r="BD308" s="7" t="str">
        <f>IF(55&gt;=130,('Testes estatísticos'!$D$135+'Testes estatísticos'!$D$60)/2,"")</f>
        <v/>
      </c>
      <c r="BE308" s="7" t="str">
        <f>IF(56&gt;=130,('Testes estatísticos'!$D$135+'Testes estatísticos'!$D$61)/2,"")</f>
        <v/>
      </c>
      <c r="BF308" s="7" t="str">
        <f>IF(57&gt;=130,('Testes estatísticos'!$D$135+'Testes estatísticos'!$D$62)/2,"")</f>
        <v/>
      </c>
      <c r="BG308" s="7" t="str">
        <f>IF(58&gt;=130,('Testes estatísticos'!$D$135+'Testes estatísticos'!$D$63)/2,"")</f>
        <v/>
      </c>
      <c r="BH308" s="7" t="str">
        <f>IF(59&gt;=130,('Testes estatísticos'!$D$135+'Testes estatísticos'!$D$64)/2,"")</f>
        <v/>
      </c>
      <c r="BI308" s="7" t="str">
        <f>IF(60&gt;=130,('Testes estatísticos'!$D$135+'Testes estatísticos'!$D$65)/2,"")</f>
        <v/>
      </c>
      <c r="BJ308" s="7" t="str">
        <f>IF(61&gt;=130,('Testes estatísticos'!$D$135+'Testes estatísticos'!$D$66)/2,"")</f>
        <v/>
      </c>
      <c r="BK308" s="7" t="str">
        <f>IF(62&gt;=130,('Testes estatísticos'!$D$135+'Testes estatísticos'!$D$67)/2,"")</f>
        <v/>
      </c>
      <c r="BL308" s="7" t="str">
        <f>IF(63&gt;=130,('Testes estatísticos'!$D$135+'Testes estatísticos'!$D$68)/2,"")</f>
        <v/>
      </c>
      <c r="BM308" s="7" t="str">
        <f>IF(64&gt;=130,('Testes estatísticos'!$D$135+'Testes estatísticos'!$D$69)/2,"")</f>
        <v/>
      </c>
      <c r="BN308" s="7" t="str">
        <f>IF(65&gt;=130,('Testes estatísticos'!$D$135+'Testes estatísticos'!$D$70)/2,"")</f>
        <v/>
      </c>
      <c r="BO308" s="7" t="str">
        <f>IF(66&gt;=130,('Testes estatísticos'!$D$135+'Testes estatísticos'!$D$71)/2,"")</f>
        <v/>
      </c>
      <c r="BP308" s="7" t="str">
        <f>IF(67&gt;=130,('Testes estatísticos'!$D$135+'Testes estatísticos'!$D$72)/2,"")</f>
        <v/>
      </c>
      <c r="BQ308" s="7" t="str">
        <f>IF(68&gt;=130,('Testes estatísticos'!$D$135+'Testes estatísticos'!$D$73)/2,"")</f>
        <v/>
      </c>
      <c r="BR308" s="7" t="str">
        <f>IF(69&gt;=130,('Testes estatísticos'!$D$135+'Testes estatísticos'!$D$74)/2,"")</f>
        <v/>
      </c>
      <c r="BS308" s="7" t="str">
        <f>IF(70&gt;=130,('Testes estatísticos'!$D$135+'Testes estatísticos'!$D$75)/2,"")</f>
        <v/>
      </c>
      <c r="BT308" s="7" t="str">
        <f>IF(71&gt;=130,('Testes estatísticos'!$D$135+'Testes estatísticos'!$D$76)/2,"")</f>
        <v/>
      </c>
      <c r="BU308" s="7" t="str">
        <f>IF(72&gt;=130,('Testes estatísticos'!$D$135+'Testes estatísticos'!$D$77)/2,"")</f>
        <v/>
      </c>
      <c r="BV308" s="7" t="str">
        <f>IF(73&gt;=130,('Testes estatísticos'!$D$135+'Testes estatísticos'!$D$78)/2,"")</f>
        <v/>
      </c>
      <c r="BW308" s="7" t="str">
        <f>IF(74&gt;=130,('Testes estatísticos'!$D$135+'Testes estatísticos'!$D$79)/2,"")</f>
        <v/>
      </c>
      <c r="BX308" s="7" t="str">
        <f>IF(75&gt;=130,('Testes estatísticos'!$D$135+'Testes estatísticos'!$D$80)/2,"")</f>
        <v/>
      </c>
      <c r="BY308" s="7" t="str">
        <f>IF(76&gt;=130,('Testes estatísticos'!$D$135+'Testes estatísticos'!$D$81)/2,"")</f>
        <v/>
      </c>
      <c r="BZ308" s="7" t="str">
        <f>IF(77&gt;=130,('Testes estatísticos'!$D$135+'Testes estatísticos'!$D$82)/2,"")</f>
        <v/>
      </c>
      <c r="CA308" s="7" t="str">
        <f>IF(78&gt;=130,('Testes estatísticos'!$D$135+'Testes estatísticos'!$D$83)/2,"")</f>
        <v/>
      </c>
      <c r="CB308" s="7" t="str">
        <f>IF(79&gt;=130,('Testes estatísticos'!$D$135+'Testes estatísticos'!$D$84)/2,"")</f>
        <v/>
      </c>
      <c r="CC308" s="7" t="str">
        <f>IF(80&gt;=130,('Testes estatísticos'!$D$135+'Testes estatísticos'!$D$85)/2,"")</f>
        <v/>
      </c>
      <c r="CD308" s="7" t="str">
        <f>IF(81&gt;=130,('Testes estatísticos'!$D$135+'Testes estatísticos'!$D$86)/2,"")</f>
        <v/>
      </c>
      <c r="CE308" s="7" t="str">
        <f>IF(82&gt;=130,('Testes estatísticos'!$D$135+'Testes estatísticos'!$D$87)/2,"")</f>
        <v/>
      </c>
      <c r="CF308" s="7" t="str">
        <f>IF(83&gt;=130,('Testes estatísticos'!$D$135+'Testes estatísticos'!$D$88)/2,"")</f>
        <v/>
      </c>
      <c r="CG308" s="7" t="str">
        <f>IF(84&gt;=130,('Testes estatísticos'!$D$135+'Testes estatísticos'!$D$89)/2,"")</f>
        <v/>
      </c>
      <c r="CH308" s="7" t="str">
        <f>IF(85&gt;=130,('Testes estatísticos'!$D$135+'Testes estatísticos'!$D$90)/2,"")</f>
        <v/>
      </c>
      <c r="CI308" s="7" t="str">
        <f>IF(86&gt;=130,('Testes estatísticos'!$D$135+'Testes estatísticos'!$D$91)/2,"")</f>
        <v/>
      </c>
      <c r="CJ308" s="7" t="str">
        <f>IF(87&gt;=130,('Testes estatísticos'!$D$135+'Testes estatísticos'!$D$92)/2,"")</f>
        <v/>
      </c>
      <c r="CK308" s="7" t="str">
        <f>IF(88&gt;=130,('Testes estatísticos'!$D$135+'Testes estatísticos'!$D$93)/2,"")</f>
        <v/>
      </c>
      <c r="CL308" s="7" t="str">
        <f>IF(89&gt;=130,('Testes estatísticos'!$D$135+'Testes estatísticos'!$D$94)/2,"")</f>
        <v/>
      </c>
      <c r="CM308" s="7" t="str">
        <f>IF(90&gt;=130,('Testes estatísticos'!$D$135+'Testes estatísticos'!$D$95)/2,"")</f>
        <v/>
      </c>
      <c r="CN308" s="7" t="str">
        <f>IF(91&gt;=130,('Testes estatísticos'!$D$135+'Testes estatísticos'!$D$96)/2,"")</f>
        <v/>
      </c>
      <c r="CO308" s="7" t="str">
        <f>IF(92&gt;=130,('Testes estatísticos'!$D$135+'Testes estatísticos'!$D$97)/2,"")</f>
        <v/>
      </c>
      <c r="CP308" s="7" t="str">
        <f>IF(93&gt;=130,('Testes estatísticos'!$D$135+'Testes estatísticos'!$D$98)/2,"")</f>
        <v/>
      </c>
      <c r="CQ308" s="7" t="str">
        <f>IF(94&gt;=130,('Testes estatísticos'!$D$135+'Testes estatísticos'!$D$99)/2,"")</f>
        <v/>
      </c>
      <c r="CR308" s="7" t="str">
        <f>IF(95&gt;=130,('Testes estatísticos'!$D$135+'Testes estatísticos'!$D$100)/2,"")</f>
        <v/>
      </c>
      <c r="CS308" s="7" t="str">
        <f>IF(96&gt;=130,('Testes estatísticos'!$D$135+'Testes estatísticos'!$D$101)/2,"")</f>
        <v/>
      </c>
      <c r="CT308" s="7" t="str">
        <f>IF(97&gt;=130,('Testes estatísticos'!$D$135+'Testes estatísticos'!$D$102)/2,"")</f>
        <v/>
      </c>
      <c r="CU308" s="7" t="str">
        <f>IF(98&gt;=130,('Testes estatísticos'!$D$135+'Testes estatísticos'!$D$103)/2,"")</f>
        <v/>
      </c>
      <c r="CV308" s="7" t="str">
        <f>IF(99&gt;=130,('Testes estatísticos'!$D$135+'Testes estatísticos'!$D$104)/2,"")</f>
        <v/>
      </c>
      <c r="CW308" s="7" t="str">
        <f>IF(100&gt;=130,('Testes estatísticos'!$D$135+'Testes estatísticos'!$D$105)/2,"")</f>
        <v/>
      </c>
      <c r="CX308" s="7" t="str">
        <f>IF(101&gt;=130,('Testes estatísticos'!$D$135+'Testes estatísticos'!$D$106)/2,"")</f>
        <v/>
      </c>
      <c r="CY308" s="7" t="str">
        <f>IF(102&gt;=130,('Testes estatísticos'!$D$135+'Testes estatísticos'!$D$107)/2,"")</f>
        <v/>
      </c>
      <c r="CZ308" s="7" t="str">
        <f>IF(103&gt;=130,('Testes estatísticos'!$D$135+'Testes estatísticos'!$D$108)/2,"")</f>
        <v/>
      </c>
      <c r="DA308" s="7" t="str">
        <f>IF(104&gt;=130,('Testes estatísticos'!$D$135+'Testes estatísticos'!$D$109)/2,"")</f>
        <v/>
      </c>
      <c r="DB308" s="7" t="str">
        <f>IF(105&gt;=130,('Testes estatísticos'!$D$135+'Testes estatísticos'!$D$110)/2,"")</f>
        <v/>
      </c>
      <c r="DC308" s="7" t="str">
        <f>IF(106&gt;=130,('Testes estatísticos'!$D$135+'Testes estatísticos'!$D$111)/2,"")</f>
        <v/>
      </c>
      <c r="DD308" s="7" t="str">
        <f>IF(107&gt;=130,('Testes estatísticos'!$D$135+'Testes estatísticos'!$D$112)/2,"")</f>
        <v/>
      </c>
      <c r="DE308" s="7" t="str">
        <f>IF(108&gt;=130,('Testes estatísticos'!$D$135+'Testes estatísticos'!$D$113)/2,"")</f>
        <v/>
      </c>
      <c r="DF308" s="7" t="str">
        <f>IF(109&gt;=130,('Testes estatísticos'!$D$135+'Testes estatísticos'!$D$114)/2,"")</f>
        <v/>
      </c>
      <c r="DG308" s="7" t="str">
        <f>IF(110&gt;=130,('Testes estatísticos'!$D$135+'Testes estatísticos'!$D$115)/2,"")</f>
        <v/>
      </c>
      <c r="DH308" s="7" t="str">
        <f>IF(111&gt;=130,('Testes estatísticos'!$D$135+'Testes estatísticos'!$D$116)/2,"")</f>
        <v/>
      </c>
      <c r="DI308" s="7" t="str">
        <f>IF(112&gt;=130,('Testes estatísticos'!$D$135+'Testes estatísticos'!$D$117)/2,"")</f>
        <v/>
      </c>
      <c r="DJ308" s="7" t="str">
        <f>IF(113&gt;=130,('Testes estatísticos'!$D$135+'Testes estatísticos'!$D$118)/2,"")</f>
        <v/>
      </c>
      <c r="DK308" s="7" t="str">
        <f>IF(114&gt;=130,('Testes estatísticos'!$D$135+'Testes estatísticos'!$D$119)/2,"")</f>
        <v/>
      </c>
      <c r="DL308" s="7" t="str">
        <f>IF(115&gt;=130,('Testes estatísticos'!$D$135+'Testes estatísticos'!$D$120)/2,"")</f>
        <v/>
      </c>
      <c r="DM308" s="7" t="str">
        <f>IF(116&gt;=130,('Testes estatísticos'!$D$135+'Testes estatísticos'!$D$121)/2,"")</f>
        <v/>
      </c>
      <c r="DN308" s="7" t="str">
        <f>IF(117&gt;=130,('Testes estatísticos'!$D$135+'Testes estatísticos'!$D$122)/2,"")</f>
        <v/>
      </c>
      <c r="DO308" s="7" t="str">
        <f>IF(118&gt;=130,('Testes estatísticos'!$D$135+'Testes estatísticos'!$D$123)/2,"")</f>
        <v/>
      </c>
      <c r="DP308" s="7" t="str">
        <f>IF(119&gt;=130,('Testes estatísticos'!$D$135+'Testes estatísticos'!$D$124)/2,"")</f>
        <v/>
      </c>
      <c r="DQ308" s="7" t="str">
        <f>IF(120&gt;=130,('Testes estatísticos'!$D$135+'Testes estatísticos'!$D$125)/2,"")</f>
        <v/>
      </c>
      <c r="DR308" s="7" t="str">
        <f>IF(121&gt;=130,('Testes estatísticos'!$D$135+'Testes estatísticos'!$D$126)/2,"")</f>
        <v/>
      </c>
      <c r="DS308" s="7" t="str">
        <f>IF(122&gt;=130,('Testes estatísticos'!$D$135+'Testes estatísticos'!$D$127)/2,"")</f>
        <v/>
      </c>
      <c r="DT308" s="7" t="str">
        <f>IF(123&gt;=130,('Testes estatísticos'!$D$135+'Testes estatísticos'!$D$128)/2,"")</f>
        <v/>
      </c>
      <c r="DU308" s="7" t="str">
        <f>IF(124&gt;=130,('Testes estatísticos'!$D$135+'Testes estatísticos'!$D$129)/2,"")</f>
        <v/>
      </c>
      <c r="DV308" s="7" t="str">
        <f>IF(125&gt;=130,('Testes estatísticos'!$D$135+'Testes estatísticos'!$D$130)/2,"")</f>
        <v/>
      </c>
      <c r="DW308" s="7" t="str">
        <f>IF(126&gt;=130,('Testes estatísticos'!$D$135+'Testes estatísticos'!$D$131)/2,"")</f>
        <v/>
      </c>
      <c r="DX308" s="7" t="str">
        <f>IF(127&gt;=130,('Testes estatísticos'!$D$135+'Testes estatísticos'!$D$132)/2,"")</f>
        <v/>
      </c>
      <c r="DY308" s="7" t="str">
        <f>IF(128&gt;=130,('Testes estatísticos'!$D$135+'Testes estatísticos'!$D$133)/2,"")</f>
        <v/>
      </c>
      <c r="DZ308" s="7" t="str">
        <f>IF(129&gt;=130,('Testes estatísticos'!$D$135+'Testes estatísticos'!$D$134)/2,"")</f>
        <v/>
      </c>
      <c r="EA308" s="7">
        <f>IF(130&gt;=130,('Testes estatísticos'!$D$135+'Testes estatísticos'!$D$135)/2,"")</f>
        <v>-3.8934159999999949</v>
      </c>
      <c r="EB308" s="7">
        <f>IF(131&gt;=130,('Testes estatísticos'!$D$135+'Testes estatísticos'!$D$136)/2,"")</f>
        <v>-3.8055430000000001</v>
      </c>
      <c r="EC308" s="7">
        <f>IF(132&gt;=130,('Testes estatísticos'!$D$135+'Testes estatísticos'!$D$137)/2,"")</f>
        <v>-5.2922794999999994</v>
      </c>
      <c r="ED308" s="7">
        <f>IF(133&gt;=130,('Testes estatísticos'!$D$135+'Testes estatísticos'!$D$138)/2,"")</f>
        <v>-3.1033419999999978</v>
      </c>
      <c r="EE308" s="7">
        <f>IF(134&gt;=130,('Testes estatísticos'!$D$135+'Testes estatísticos'!$D$139)/2,"")</f>
        <v>-5.4005325000000006</v>
      </c>
      <c r="EF308" s="7">
        <f>IF(135&gt;=130,('Testes estatísticos'!$D$135+'Testes estatísticos'!$D$140)/2,"")</f>
        <v>-2.1860999999999962</v>
      </c>
      <c r="EG308" s="7">
        <f>IF(136&gt;=130,('Testes estatísticos'!$D$135+'Testes estatísticos'!$D$141)/2,"")</f>
        <v>-3.8795900000000003</v>
      </c>
      <c r="EH308" s="7">
        <f>IF(137&gt;=130,('Testes estatísticos'!$D$135+'Testes estatísticos'!$D$142)/2,"")</f>
        <v>-2.1748499999999993</v>
      </c>
      <c r="EI308" s="7">
        <f>IF(138&gt;=130,('Testes estatísticos'!$D$135+'Testes estatísticos'!$D$143)/2,"")</f>
        <v>-3.8398654999999948</v>
      </c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</row>
    <row r="309" spans="2:151" x14ac:dyDescent="0.3">
      <c r="B309" s="7" t="str">
        <f>IF(1&gt;=131,('Testes estatísticos'!$D$136+'Testes estatísticos'!$D$6)/2,"")</f>
        <v/>
      </c>
      <c r="C309" s="7" t="str">
        <f>IF(2&gt;=131,('Testes estatísticos'!$D$136+'Testes estatísticos'!$D$7)/2,"")</f>
        <v/>
      </c>
      <c r="D309" s="7" t="str">
        <f>IF(3&gt;=131,('Testes estatísticos'!$D$136+'Testes estatísticos'!$D$8)/2,"")</f>
        <v/>
      </c>
      <c r="E309" s="7" t="str">
        <f>IF(4&gt;=131,('Testes estatísticos'!$D$136+'Testes estatísticos'!$D$9)/2,"")</f>
        <v/>
      </c>
      <c r="F309" s="7" t="str">
        <f>IF(5&gt;=131,('Testes estatísticos'!$D$136+'Testes estatísticos'!$D$10)/2,"")</f>
        <v/>
      </c>
      <c r="G309" s="7" t="str">
        <f>IF(6&gt;=131,('Testes estatísticos'!$D$136+'Testes estatísticos'!$D$11)/2,"")</f>
        <v/>
      </c>
      <c r="H309" s="7" t="str">
        <f>IF(7&gt;=131,('Testes estatísticos'!$D$136+'Testes estatísticos'!$D$12)/2,"")</f>
        <v/>
      </c>
      <c r="I309" s="7" t="str">
        <f>IF(8&gt;=131,('Testes estatísticos'!$D$136+'Testes estatísticos'!$D$13)/2,"")</f>
        <v/>
      </c>
      <c r="J309" s="7" t="str">
        <f>IF(9&gt;=131,('Testes estatísticos'!$D$136+'Testes estatísticos'!$D$14)/2,"")</f>
        <v/>
      </c>
      <c r="K309" s="7" t="str">
        <f>IF(10&gt;=131,('Testes estatísticos'!$D$136+'Testes estatísticos'!$D$15)/2,"")</f>
        <v/>
      </c>
      <c r="L309" s="7" t="str">
        <f>IF(11&gt;=131,('Testes estatísticos'!$D$136+'Testes estatísticos'!$D$16)/2,"")</f>
        <v/>
      </c>
      <c r="M309" s="7" t="str">
        <f>IF(12&gt;=131,('Testes estatísticos'!$D$136+'Testes estatísticos'!$D$17)/2,"")</f>
        <v/>
      </c>
      <c r="N309" s="7" t="str">
        <f>IF(13&gt;=131,('Testes estatísticos'!$D$136+'Testes estatísticos'!$D$18)/2,"")</f>
        <v/>
      </c>
      <c r="O309" s="7" t="str">
        <f>IF(14&gt;=131,('Testes estatísticos'!$D$136+'Testes estatísticos'!$D$19)/2,"")</f>
        <v/>
      </c>
      <c r="P309" s="7" t="str">
        <f>IF(15&gt;=131,('Testes estatísticos'!$D$136+'Testes estatísticos'!$D$20)/2,"")</f>
        <v/>
      </c>
      <c r="Q309" s="7" t="str">
        <f>IF(16&gt;=131,('Testes estatísticos'!$D$136+'Testes estatísticos'!$D$21)/2,"")</f>
        <v/>
      </c>
      <c r="R309" s="7" t="str">
        <f>IF(17&gt;=131,('Testes estatísticos'!$D$136+'Testes estatísticos'!$D$22)/2,"")</f>
        <v/>
      </c>
      <c r="S309" s="7" t="str">
        <f>IF(18&gt;=131,('Testes estatísticos'!$D$136+'Testes estatísticos'!$D$23)/2,"")</f>
        <v/>
      </c>
      <c r="T309" s="7" t="str">
        <f>IF(19&gt;=131,('Testes estatísticos'!$D$136+'Testes estatísticos'!$D$24)/2,"")</f>
        <v/>
      </c>
      <c r="U309" s="7" t="str">
        <f>IF(20&gt;=131,('Testes estatísticos'!$D$136+'Testes estatísticos'!$D$25)/2,"")</f>
        <v/>
      </c>
      <c r="V309" s="7" t="str">
        <f>IF(21&gt;=131,('Testes estatísticos'!$D$136+'Testes estatísticos'!$D$26)/2,"")</f>
        <v/>
      </c>
      <c r="W309" s="7" t="str">
        <f>IF(22&gt;=131,('Testes estatísticos'!$D$136+'Testes estatísticos'!$D$27)/2,"")</f>
        <v/>
      </c>
      <c r="X309" s="7" t="str">
        <f>IF(23&gt;=131,('Testes estatísticos'!$D$136+'Testes estatísticos'!$D$28)/2,"")</f>
        <v/>
      </c>
      <c r="Y309" s="7" t="str">
        <f>IF(24&gt;=131,('Testes estatísticos'!$D$136+'Testes estatísticos'!$D$29)/2,"")</f>
        <v/>
      </c>
      <c r="Z309" s="7" t="str">
        <f>IF(25&gt;=131,('Testes estatísticos'!$D$136+'Testes estatísticos'!$D$30)/2,"")</f>
        <v/>
      </c>
      <c r="AA309" s="7" t="str">
        <f>IF(26&gt;=131,('Testes estatísticos'!$D$136+'Testes estatísticos'!$D$31)/2,"")</f>
        <v/>
      </c>
      <c r="AB309" s="7" t="str">
        <f>IF(27&gt;=131,('Testes estatísticos'!$D$136+'Testes estatísticos'!$D$32)/2,"")</f>
        <v/>
      </c>
      <c r="AC309" s="7" t="str">
        <f>IF(28&gt;=131,('Testes estatísticos'!$D$136+'Testes estatísticos'!$D$33)/2,"")</f>
        <v/>
      </c>
      <c r="AD309" s="7" t="str">
        <f>IF(29&gt;=131,('Testes estatísticos'!$D$136+'Testes estatísticos'!$D$34)/2,"")</f>
        <v/>
      </c>
      <c r="AE309" s="7" t="str">
        <f>IF(30&gt;=131,('Testes estatísticos'!$D$136+'Testes estatísticos'!$D$35)/2,"")</f>
        <v/>
      </c>
      <c r="AF309" s="7" t="str">
        <f>IF(31&gt;=131,('Testes estatísticos'!$D$136+'Testes estatísticos'!$D$36)/2,"")</f>
        <v/>
      </c>
      <c r="AG309" s="7" t="str">
        <f>IF(32&gt;=131,('Testes estatísticos'!$D$136+'Testes estatísticos'!$D$37)/2,"")</f>
        <v/>
      </c>
      <c r="AH309" s="7" t="str">
        <f>IF(33&gt;=131,('Testes estatísticos'!$D$136+'Testes estatísticos'!$D$38)/2,"")</f>
        <v/>
      </c>
      <c r="AI309" s="7" t="str">
        <f>IF(34&gt;=131,('Testes estatísticos'!$D$136+'Testes estatísticos'!$D$39)/2,"")</f>
        <v/>
      </c>
      <c r="AJ309" s="7" t="str">
        <f>IF(35&gt;=131,('Testes estatísticos'!$D$136+'Testes estatísticos'!$D$40)/2,"")</f>
        <v/>
      </c>
      <c r="AK309" s="7" t="str">
        <f>IF(36&gt;=131,('Testes estatísticos'!$D$136+'Testes estatísticos'!$D$41)/2,"")</f>
        <v/>
      </c>
      <c r="AL309" s="7" t="str">
        <f>IF(37&gt;=131,('Testes estatísticos'!$D$136+'Testes estatísticos'!$D$42)/2,"")</f>
        <v/>
      </c>
      <c r="AM309" s="7" t="str">
        <f>IF(38&gt;=131,('Testes estatísticos'!$D$136+'Testes estatísticos'!$D$43)/2,"")</f>
        <v/>
      </c>
      <c r="AN309" s="7" t="str">
        <f>IF(39&gt;=131,('Testes estatísticos'!$D$136+'Testes estatísticos'!$D$44)/2,"")</f>
        <v/>
      </c>
      <c r="AO309" s="7" t="str">
        <f>IF(40&gt;=131,('Testes estatísticos'!$D$136+'Testes estatísticos'!$D$45)/2,"")</f>
        <v/>
      </c>
      <c r="AP309" s="7" t="str">
        <f>IF(41&gt;=131,('Testes estatísticos'!$D$136+'Testes estatísticos'!$D$46)/2,"")</f>
        <v/>
      </c>
      <c r="AQ309" s="7" t="str">
        <f>IF(42&gt;=131,('Testes estatísticos'!$D$136+'Testes estatísticos'!$D$47)/2,"")</f>
        <v/>
      </c>
      <c r="AR309" s="7" t="str">
        <f>IF(43&gt;=131,('Testes estatísticos'!$D$136+'Testes estatísticos'!$D$48)/2,"")</f>
        <v/>
      </c>
      <c r="AS309" s="7" t="str">
        <f>IF(44&gt;=131,('Testes estatísticos'!$D$136+'Testes estatísticos'!$D$49)/2,"")</f>
        <v/>
      </c>
      <c r="AT309" s="7" t="str">
        <f>IF(45&gt;=131,('Testes estatísticos'!$D$136+'Testes estatísticos'!$D$50)/2,"")</f>
        <v/>
      </c>
      <c r="AU309" s="7" t="str">
        <f>IF(46&gt;=131,('Testes estatísticos'!$D$136+'Testes estatísticos'!$D$51)/2,"")</f>
        <v/>
      </c>
      <c r="AV309" s="7" t="str">
        <f>IF(47&gt;=131,('Testes estatísticos'!$D$136+'Testes estatísticos'!$D$52)/2,"")</f>
        <v/>
      </c>
      <c r="AW309" s="7" t="str">
        <f>IF(48&gt;=131,('Testes estatísticos'!$D$136+'Testes estatísticos'!$D$53)/2,"")</f>
        <v/>
      </c>
      <c r="AX309" s="7" t="str">
        <f>IF(49&gt;=131,('Testes estatísticos'!$D$136+'Testes estatísticos'!$D$54)/2,"")</f>
        <v/>
      </c>
      <c r="AY309" s="7" t="str">
        <f>IF(50&gt;=131,('Testes estatísticos'!$D$136+'Testes estatísticos'!$D$55)/2,"")</f>
        <v/>
      </c>
      <c r="AZ309" s="7" t="str">
        <f>IF(51&gt;=131,('Testes estatísticos'!$D$136+'Testes estatísticos'!$D$56)/2,"")</f>
        <v/>
      </c>
      <c r="BA309" s="7" t="str">
        <f>IF(52&gt;=131,('Testes estatísticos'!$D$136+'Testes estatísticos'!$D$57)/2,"")</f>
        <v/>
      </c>
      <c r="BB309" s="7" t="str">
        <f>IF(53&gt;=131,('Testes estatísticos'!$D$136+'Testes estatísticos'!$D$58)/2,"")</f>
        <v/>
      </c>
      <c r="BC309" s="7" t="str">
        <f>IF(54&gt;=131,('Testes estatísticos'!$D$136+'Testes estatísticos'!$D$59)/2,"")</f>
        <v/>
      </c>
      <c r="BD309" s="7" t="str">
        <f>IF(55&gt;=131,('Testes estatísticos'!$D$136+'Testes estatísticos'!$D$60)/2,"")</f>
        <v/>
      </c>
      <c r="BE309" s="7" t="str">
        <f>IF(56&gt;=131,('Testes estatísticos'!$D$136+'Testes estatísticos'!$D$61)/2,"")</f>
        <v/>
      </c>
      <c r="BF309" s="7" t="str">
        <f>IF(57&gt;=131,('Testes estatísticos'!$D$136+'Testes estatísticos'!$D$62)/2,"")</f>
        <v/>
      </c>
      <c r="BG309" s="7" t="str">
        <f>IF(58&gt;=131,('Testes estatísticos'!$D$136+'Testes estatísticos'!$D$63)/2,"")</f>
        <v/>
      </c>
      <c r="BH309" s="7" t="str">
        <f>IF(59&gt;=131,('Testes estatísticos'!$D$136+'Testes estatísticos'!$D$64)/2,"")</f>
        <v/>
      </c>
      <c r="BI309" s="7" t="str">
        <f>IF(60&gt;=131,('Testes estatísticos'!$D$136+'Testes estatísticos'!$D$65)/2,"")</f>
        <v/>
      </c>
      <c r="BJ309" s="7" t="str">
        <f>IF(61&gt;=131,('Testes estatísticos'!$D$136+'Testes estatísticos'!$D$66)/2,"")</f>
        <v/>
      </c>
      <c r="BK309" s="7" t="str">
        <f>IF(62&gt;=131,('Testes estatísticos'!$D$136+'Testes estatísticos'!$D$67)/2,"")</f>
        <v/>
      </c>
      <c r="BL309" s="7" t="str">
        <f>IF(63&gt;=131,('Testes estatísticos'!$D$136+'Testes estatísticos'!$D$68)/2,"")</f>
        <v/>
      </c>
      <c r="BM309" s="7" t="str">
        <f>IF(64&gt;=131,('Testes estatísticos'!$D$136+'Testes estatísticos'!$D$69)/2,"")</f>
        <v/>
      </c>
      <c r="BN309" s="7" t="str">
        <f>IF(65&gt;=131,('Testes estatísticos'!$D$136+'Testes estatísticos'!$D$70)/2,"")</f>
        <v/>
      </c>
      <c r="BO309" s="7" t="str">
        <f>IF(66&gt;=131,('Testes estatísticos'!$D$136+'Testes estatísticos'!$D$71)/2,"")</f>
        <v/>
      </c>
      <c r="BP309" s="7" t="str">
        <f>IF(67&gt;=131,('Testes estatísticos'!$D$136+'Testes estatísticos'!$D$72)/2,"")</f>
        <v/>
      </c>
      <c r="BQ309" s="7" t="str">
        <f>IF(68&gt;=131,('Testes estatísticos'!$D$136+'Testes estatísticos'!$D$73)/2,"")</f>
        <v/>
      </c>
      <c r="BR309" s="7" t="str">
        <f>IF(69&gt;=131,('Testes estatísticos'!$D$136+'Testes estatísticos'!$D$74)/2,"")</f>
        <v/>
      </c>
      <c r="BS309" s="7" t="str">
        <f>IF(70&gt;=131,('Testes estatísticos'!$D$136+'Testes estatísticos'!$D$75)/2,"")</f>
        <v/>
      </c>
      <c r="BT309" s="7" t="str">
        <f>IF(71&gt;=131,('Testes estatísticos'!$D$136+'Testes estatísticos'!$D$76)/2,"")</f>
        <v/>
      </c>
      <c r="BU309" s="7" t="str">
        <f>IF(72&gt;=131,('Testes estatísticos'!$D$136+'Testes estatísticos'!$D$77)/2,"")</f>
        <v/>
      </c>
      <c r="BV309" s="7" t="str">
        <f>IF(73&gt;=131,('Testes estatísticos'!$D$136+'Testes estatísticos'!$D$78)/2,"")</f>
        <v/>
      </c>
      <c r="BW309" s="7" t="str">
        <f>IF(74&gt;=131,('Testes estatísticos'!$D$136+'Testes estatísticos'!$D$79)/2,"")</f>
        <v/>
      </c>
      <c r="BX309" s="7" t="str">
        <f>IF(75&gt;=131,('Testes estatísticos'!$D$136+'Testes estatísticos'!$D$80)/2,"")</f>
        <v/>
      </c>
      <c r="BY309" s="7" t="str">
        <f>IF(76&gt;=131,('Testes estatísticos'!$D$136+'Testes estatísticos'!$D$81)/2,"")</f>
        <v/>
      </c>
      <c r="BZ309" s="7" t="str">
        <f>IF(77&gt;=131,('Testes estatísticos'!$D$136+'Testes estatísticos'!$D$82)/2,"")</f>
        <v/>
      </c>
      <c r="CA309" s="7" t="str">
        <f>IF(78&gt;=131,('Testes estatísticos'!$D$136+'Testes estatísticos'!$D$83)/2,"")</f>
        <v/>
      </c>
      <c r="CB309" s="7" t="str">
        <f>IF(79&gt;=131,('Testes estatísticos'!$D$136+'Testes estatísticos'!$D$84)/2,"")</f>
        <v/>
      </c>
      <c r="CC309" s="7" t="str">
        <f>IF(80&gt;=131,('Testes estatísticos'!$D$136+'Testes estatísticos'!$D$85)/2,"")</f>
        <v/>
      </c>
      <c r="CD309" s="7" t="str">
        <f>IF(81&gt;=131,('Testes estatísticos'!$D$136+'Testes estatísticos'!$D$86)/2,"")</f>
        <v/>
      </c>
      <c r="CE309" s="7" t="str">
        <f>IF(82&gt;=131,('Testes estatísticos'!$D$136+'Testes estatísticos'!$D$87)/2,"")</f>
        <v/>
      </c>
      <c r="CF309" s="7" t="str">
        <f>IF(83&gt;=131,('Testes estatísticos'!$D$136+'Testes estatísticos'!$D$88)/2,"")</f>
        <v/>
      </c>
      <c r="CG309" s="7" t="str">
        <f>IF(84&gt;=131,('Testes estatísticos'!$D$136+'Testes estatísticos'!$D$89)/2,"")</f>
        <v/>
      </c>
      <c r="CH309" s="7" t="str">
        <f>IF(85&gt;=131,('Testes estatísticos'!$D$136+'Testes estatísticos'!$D$90)/2,"")</f>
        <v/>
      </c>
      <c r="CI309" s="7" t="str">
        <f>IF(86&gt;=131,('Testes estatísticos'!$D$136+'Testes estatísticos'!$D$91)/2,"")</f>
        <v/>
      </c>
      <c r="CJ309" s="7" t="str">
        <f>IF(87&gt;=131,('Testes estatísticos'!$D$136+'Testes estatísticos'!$D$92)/2,"")</f>
        <v/>
      </c>
      <c r="CK309" s="7" t="str">
        <f>IF(88&gt;=131,('Testes estatísticos'!$D$136+'Testes estatísticos'!$D$93)/2,"")</f>
        <v/>
      </c>
      <c r="CL309" s="7" t="str">
        <f>IF(89&gt;=131,('Testes estatísticos'!$D$136+'Testes estatísticos'!$D$94)/2,"")</f>
        <v/>
      </c>
      <c r="CM309" s="7" t="str">
        <f>IF(90&gt;=131,('Testes estatísticos'!$D$136+'Testes estatísticos'!$D$95)/2,"")</f>
        <v/>
      </c>
      <c r="CN309" s="7" t="str">
        <f>IF(91&gt;=131,('Testes estatísticos'!$D$136+'Testes estatísticos'!$D$96)/2,"")</f>
        <v/>
      </c>
      <c r="CO309" s="7" t="str">
        <f>IF(92&gt;=131,('Testes estatísticos'!$D$136+'Testes estatísticos'!$D$97)/2,"")</f>
        <v/>
      </c>
      <c r="CP309" s="7" t="str">
        <f>IF(93&gt;=131,('Testes estatísticos'!$D$136+'Testes estatísticos'!$D$98)/2,"")</f>
        <v/>
      </c>
      <c r="CQ309" s="7" t="str">
        <f>IF(94&gt;=131,('Testes estatísticos'!$D$136+'Testes estatísticos'!$D$99)/2,"")</f>
        <v/>
      </c>
      <c r="CR309" s="7" t="str">
        <f>IF(95&gt;=131,('Testes estatísticos'!$D$136+'Testes estatísticos'!$D$100)/2,"")</f>
        <v/>
      </c>
      <c r="CS309" s="7" t="str">
        <f>IF(96&gt;=131,('Testes estatísticos'!$D$136+'Testes estatísticos'!$D$101)/2,"")</f>
        <v/>
      </c>
      <c r="CT309" s="7" t="str">
        <f>IF(97&gt;=131,('Testes estatísticos'!$D$136+'Testes estatísticos'!$D$102)/2,"")</f>
        <v/>
      </c>
      <c r="CU309" s="7" t="str">
        <f>IF(98&gt;=131,('Testes estatísticos'!$D$136+'Testes estatísticos'!$D$103)/2,"")</f>
        <v/>
      </c>
      <c r="CV309" s="7" t="str">
        <f>IF(99&gt;=131,('Testes estatísticos'!$D$136+'Testes estatísticos'!$D$104)/2,"")</f>
        <v/>
      </c>
      <c r="CW309" s="7" t="str">
        <f>IF(100&gt;=131,('Testes estatísticos'!$D$136+'Testes estatísticos'!$D$105)/2,"")</f>
        <v/>
      </c>
      <c r="CX309" s="7" t="str">
        <f>IF(101&gt;=131,('Testes estatísticos'!$D$136+'Testes estatísticos'!$D$106)/2,"")</f>
        <v/>
      </c>
      <c r="CY309" s="7" t="str">
        <f>IF(102&gt;=131,('Testes estatísticos'!$D$136+'Testes estatísticos'!$D$107)/2,"")</f>
        <v/>
      </c>
      <c r="CZ309" s="7" t="str">
        <f>IF(103&gt;=131,('Testes estatísticos'!$D$136+'Testes estatísticos'!$D$108)/2,"")</f>
        <v/>
      </c>
      <c r="DA309" s="7" t="str">
        <f>IF(104&gt;=131,('Testes estatísticos'!$D$136+'Testes estatísticos'!$D$109)/2,"")</f>
        <v/>
      </c>
      <c r="DB309" s="7" t="str">
        <f>IF(105&gt;=131,('Testes estatísticos'!$D$136+'Testes estatísticos'!$D$110)/2,"")</f>
        <v/>
      </c>
      <c r="DC309" s="7" t="str">
        <f>IF(106&gt;=131,('Testes estatísticos'!$D$136+'Testes estatísticos'!$D$111)/2,"")</f>
        <v/>
      </c>
      <c r="DD309" s="7" t="str">
        <f>IF(107&gt;=131,('Testes estatísticos'!$D$136+'Testes estatísticos'!$D$112)/2,"")</f>
        <v/>
      </c>
      <c r="DE309" s="7" t="str">
        <f>IF(108&gt;=131,('Testes estatísticos'!$D$136+'Testes estatísticos'!$D$113)/2,"")</f>
        <v/>
      </c>
      <c r="DF309" s="7" t="str">
        <f>IF(109&gt;=131,('Testes estatísticos'!$D$136+'Testes estatísticos'!$D$114)/2,"")</f>
        <v/>
      </c>
      <c r="DG309" s="7" t="str">
        <f>IF(110&gt;=131,('Testes estatísticos'!$D$136+'Testes estatísticos'!$D$115)/2,"")</f>
        <v/>
      </c>
      <c r="DH309" s="7" t="str">
        <f>IF(111&gt;=131,('Testes estatísticos'!$D$136+'Testes estatísticos'!$D$116)/2,"")</f>
        <v/>
      </c>
      <c r="DI309" s="7" t="str">
        <f>IF(112&gt;=131,('Testes estatísticos'!$D$136+'Testes estatísticos'!$D$117)/2,"")</f>
        <v/>
      </c>
      <c r="DJ309" s="7" t="str">
        <f>IF(113&gt;=131,('Testes estatísticos'!$D$136+'Testes estatísticos'!$D$118)/2,"")</f>
        <v/>
      </c>
      <c r="DK309" s="7" t="str">
        <f>IF(114&gt;=131,('Testes estatísticos'!$D$136+'Testes estatísticos'!$D$119)/2,"")</f>
        <v/>
      </c>
      <c r="DL309" s="7" t="str">
        <f>IF(115&gt;=131,('Testes estatísticos'!$D$136+'Testes estatísticos'!$D$120)/2,"")</f>
        <v/>
      </c>
      <c r="DM309" s="7" t="str">
        <f>IF(116&gt;=131,('Testes estatísticos'!$D$136+'Testes estatísticos'!$D$121)/2,"")</f>
        <v/>
      </c>
      <c r="DN309" s="7" t="str">
        <f>IF(117&gt;=131,('Testes estatísticos'!$D$136+'Testes estatísticos'!$D$122)/2,"")</f>
        <v/>
      </c>
      <c r="DO309" s="7" t="str">
        <f>IF(118&gt;=131,('Testes estatísticos'!$D$136+'Testes estatísticos'!$D$123)/2,"")</f>
        <v/>
      </c>
      <c r="DP309" s="7" t="str">
        <f>IF(119&gt;=131,('Testes estatísticos'!$D$136+'Testes estatísticos'!$D$124)/2,"")</f>
        <v/>
      </c>
      <c r="DQ309" s="7" t="str">
        <f>IF(120&gt;=131,('Testes estatísticos'!$D$136+'Testes estatísticos'!$D$125)/2,"")</f>
        <v/>
      </c>
      <c r="DR309" s="7" t="str">
        <f>IF(121&gt;=131,('Testes estatísticos'!$D$136+'Testes estatísticos'!$D$126)/2,"")</f>
        <v/>
      </c>
      <c r="DS309" s="7" t="str">
        <f>IF(122&gt;=131,('Testes estatísticos'!$D$136+'Testes estatísticos'!$D$127)/2,"")</f>
        <v/>
      </c>
      <c r="DT309" s="7" t="str">
        <f>IF(123&gt;=131,('Testes estatísticos'!$D$136+'Testes estatísticos'!$D$128)/2,"")</f>
        <v/>
      </c>
      <c r="DU309" s="7" t="str">
        <f>IF(124&gt;=131,('Testes estatísticos'!$D$136+'Testes estatísticos'!$D$129)/2,"")</f>
        <v/>
      </c>
      <c r="DV309" s="7" t="str">
        <f>IF(125&gt;=131,('Testes estatísticos'!$D$136+'Testes estatísticos'!$D$130)/2,"")</f>
        <v/>
      </c>
      <c r="DW309" s="7" t="str">
        <f>IF(126&gt;=131,('Testes estatísticos'!$D$136+'Testes estatísticos'!$D$131)/2,"")</f>
        <v/>
      </c>
      <c r="DX309" s="7" t="str">
        <f>IF(127&gt;=131,('Testes estatísticos'!$D$136+'Testes estatísticos'!$D$132)/2,"")</f>
        <v/>
      </c>
      <c r="DY309" s="7" t="str">
        <f>IF(128&gt;=131,('Testes estatísticos'!$D$136+'Testes estatísticos'!$D$133)/2,"")</f>
        <v/>
      </c>
      <c r="DZ309" s="7" t="str">
        <f>IF(129&gt;=131,('Testes estatísticos'!$D$136+'Testes estatísticos'!$D$134)/2,"")</f>
        <v/>
      </c>
      <c r="EA309" s="7" t="str">
        <f>IF(130&gt;=131,('Testes estatísticos'!$D$136+'Testes estatísticos'!$D$135)/2,"")</f>
        <v/>
      </c>
      <c r="EB309" s="7">
        <f>IF(131&gt;=131,('Testes estatísticos'!$D$136+'Testes estatísticos'!$D$136)/2,"")</f>
        <v>-3.7176700000000054</v>
      </c>
      <c r="EC309" s="7">
        <f>IF(132&gt;=131,('Testes estatísticos'!$D$136+'Testes estatísticos'!$D$137)/2,"")</f>
        <v>-5.2044065000000046</v>
      </c>
      <c r="ED309" s="7">
        <f>IF(133&gt;=131,('Testes estatísticos'!$D$136+'Testes estatísticos'!$D$138)/2,"")</f>
        <v>-3.0154690000000031</v>
      </c>
      <c r="EE309" s="7">
        <f>IF(134&gt;=131,('Testes estatísticos'!$D$136+'Testes estatísticos'!$D$139)/2,"")</f>
        <v>-5.3126595000000059</v>
      </c>
      <c r="EF309" s="7">
        <f>IF(135&gt;=131,('Testes estatísticos'!$D$136+'Testes estatísticos'!$D$140)/2,"")</f>
        <v>-2.0982270000000014</v>
      </c>
      <c r="EG309" s="7">
        <f>IF(136&gt;=131,('Testes estatísticos'!$D$136+'Testes estatísticos'!$D$141)/2,"")</f>
        <v>-3.7917170000000056</v>
      </c>
      <c r="EH309" s="7">
        <f>IF(137&gt;=131,('Testes estatísticos'!$D$136+'Testes estatísticos'!$D$142)/2,"")</f>
        <v>-2.0869770000000045</v>
      </c>
      <c r="EI309" s="7">
        <f>IF(138&gt;=131,('Testes estatísticos'!$D$136+'Testes estatísticos'!$D$143)/2,"")</f>
        <v>-3.7519925000000001</v>
      </c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</row>
    <row r="310" spans="2:151" x14ac:dyDescent="0.3">
      <c r="B310" s="7" t="str">
        <f>IF(1&gt;=132,('Testes estatísticos'!$D$137+'Testes estatísticos'!$D$6)/2,"")</f>
        <v/>
      </c>
      <c r="C310" s="7" t="str">
        <f>IF(2&gt;=132,('Testes estatísticos'!$D$137+'Testes estatísticos'!$D$7)/2,"")</f>
        <v/>
      </c>
      <c r="D310" s="7" t="str">
        <f>IF(3&gt;=132,('Testes estatísticos'!$D$137+'Testes estatísticos'!$D$8)/2,"")</f>
        <v/>
      </c>
      <c r="E310" s="7" t="str">
        <f>IF(4&gt;=132,('Testes estatísticos'!$D$137+'Testes estatísticos'!$D$9)/2,"")</f>
        <v/>
      </c>
      <c r="F310" s="7" t="str">
        <f>IF(5&gt;=132,('Testes estatísticos'!$D$137+'Testes estatísticos'!$D$10)/2,"")</f>
        <v/>
      </c>
      <c r="G310" s="7" t="str">
        <f>IF(6&gt;=132,('Testes estatísticos'!$D$137+'Testes estatísticos'!$D$11)/2,"")</f>
        <v/>
      </c>
      <c r="H310" s="7" t="str">
        <f>IF(7&gt;=132,('Testes estatísticos'!$D$137+'Testes estatísticos'!$D$12)/2,"")</f>
        <v/>
      </c>
      <c r="I310" s="7" t="str">
        <f>IF(8&gt;=132,('Testes estatísticos'!$D$137+'Testes estatísticos'!$D$13)/2,"")</f>
        <v/>
      </c>
      <c r="J310" s="7" t="str">
        <f>IF(9&gt;=132,('Testes estatísticos'!$D$137+'Testes estatísticos'!$D$14)/2,"")</f>
        <v/>
      </c>
      <c r="K310" s="7" t="str">
        <f>IF(10&gt;=132,('Testes estatísticos'!$D$137+'Testes estatísticos'!$D$15)/2,"")</f>
        <v/>
      </c>
      <c r="L310" s="7" t="str">
        <f>IF(11&gt;=132,('Testes estatísticos'!$D$137+'Testes estatísticos'!$D$16)/2,"")</f>
        <v/>
      </c>
      <c r="M310" s="7" t="str">
        <f>IF(12&gt;=132,('Testes estatísticos'!$D$137+'Testes estatísticos'!$D$17)/2,"")</f>
        <v/>
      </c>
      <c r="N310" s="7" t="str">
        <f>IF(13&gt;=132,('Testes estatísticos'!$D$137+'Testes estatísticos'!$D$18)/2,"")</f>
        <v/>
      </c>
      <c r="O310" s="7" t="str">
        <f>IF(14&gt;=132,('Testes estatísticos'!$D$137+'Testes estatísticos'!$D$19)/2,"")</f>
        <v/>
      </c>
      <c r="P310" s="7" t="str">
        <f>IF(15&gt;=132,('Testes estatísticos'!$D$137+'Testes estatísticos'!$D$20)/2,"")</f>
        <v/>
      </c>
      <c r="Q310" s="7" t="str">
        <f>IF(16&gt;=132,('Testes estatísticos'!$D$137+'Testes estatísticos'!$D$21)/2,"")</f>
        <v/>
      </c>
      <c r="R310" s="7" t="str">
        <f>IF(17&gt;=132,('Testes estatísticos'!$D$137+'Testes estatísticos'!$D$22)/2,"")</f>
        <v/>
      </c>
      <c r="S310" s="7" t="str">
        <f>IF(18&gt;=132,('Testes estatísticos'!$D$137+'Testes estatísticos'!$D$23)/2,"")</f>
        <v/>
      </c>
      <c r="T310" s="7" t="str">
        <f>IF(19&gt;=132,('Testes estatísticos'!$D$137+'Testes estatísticos'!$D$24)/2,"")</f>
        <v/>
      </c>
      <c r="U310" s="7" t="str">
        <f>IF(20&gt;=132,('Testes estatísticos'!$D$137+'Testes estatísticos'!$D$25)/2,"")</f>
        <v/>
      </c>
      <c r="V310" s="7" t="str">
        <f>IF(21&gt;=132,('Testes estatísticos'!$D$137+'Testes estatísticos'!$D$26)/2,"")</f>
        <v/>
      </c>
      <c r="W310" s="7" t="str">
        <f>IF(22&gt;=132,('Testes estatísticos'!$D$137+'Testes estatísticos'!$D$27)/2,"")</f>
        <v/>
      </c>
      <c r="X310" s="7" t="str">
        <f>IF(23&gt;=132,('Testes estatísticos'!$D$137+'Testes estatísticos'!$D$28)/2,"")</f>
        <v/>
      </c>
      <c r="Y310" s="7" t="str">
        <f>IF(24&gt;=132,('Testes estatísticos'!$D$137+'Testes estatísticos'!$D$29)/2,"")</f>
        <v/>
      </c>
      <c r="Z310" s="7" t="str">
        <f>IF(25&gt;=132,('Testes estatísticos'!$D$137+'Testes estatísticos'!$D$30)/2,"")</f>
        <v/>
      </c>
      <c r="AA310" s="7" t="str">
        <f>IF(26&gt;=132,('Testes estatísticos'!$D$137+'Testes estatísticos'!$D$31)/2,"")</f>
        <v/>
      </c>
      <c r="AB310" s="7" t="str">
        <f>IF(27&gt;=132,('Testes estatísticos'!$D$137+'Testes estatísticos'!$D$32)/2,"")</f>
        <v/>
      </c>
      <c r="AC310" s="7" t="str">
        <f>IF(28&gt;=132,('Testes estatísticos'!$D$137+'Testes estatísticos'!$D$33)/2,"")</f>
        <v/>
      </c>
      <c r="AD310" s="7" t="str">
        <f>IF(29&gt;=132,('Testes estatísticos'!$D$137+'Testes estatísticos'!$D$34)/2,"")</f>
        <v/>
      </c>
      <c r="AE310" s="7" t="str">
        <f>IF(30&gt;=132,('Testes estatísticos'!$D$137+'Testes estatísticos'!$D$35)/2,"")</f>
        <v/>
      </c>
      <c r="AF310" s="7" t="str">
        <f>IF(31&gt;=132,('Testes estatísticos'!$D$137+'Testes estatísticos'!$D$36)/2,"")</f>
        <v/>
      </c>
      <c r="AG310" s="7" t="str">
        <f>IF(32&gt;=132,('Testes estatísticos'!$D$137+'Testes estatísticos'!$D$37)/2,"")</f>
        <v/>
      </c>
      <c r="AH310" s="7" t="str">
        <f>IF(33&gt;=132,('Testes estatísticos'!$D$137+'Testes estatísticos'!$D$38)/2,"")</f>
        <v/>
      </c>
      <c r="AI310" s="7" t="str">
        <f>IF(34&gt;=132,('Testes estatísticos'!$D$137+'Testes estatísticos'!$D$39)/2,"")</f>
        <v/>
      </c>
      <c r="AJ310" s="7" t="str">
        <f>IF(35&gt;=132,('Testes estatísticos'!$D$137+'Testes estatísticos'!$D$40)/2,"")</f>
        <v/>
      </c>
      <c r="AK310" s="7" t="str">
        <f>IF(36&gt;=132,('Testes estatísticos'!$D$137+'Testes estatísticos'!$D$41)/2,"")</f>
        <v/>
      </c>
      <c r="AL310" s="7" t="str">
        <f>IF(37&gt;=132,('Testes estatísticos'!$D$137+'Testes estatísticos'!$D$42)/2,"")</f>
        <v/>
      </c>
      <c r="AM310" s="7" t="str">
        <f>IF(38&gt;=132,('Testes estatísticos'!$D$137+'Testes estatísticos'!$D$43)/2,"")</f>
        <v/>
      </c>
      <c r="AN310" s="7" t="str">
        <f>IF(39&gt;=132,('Testes estatísticos'!$D$137+'Testes estatísticos'!$D$44)/2,"")</f>
        <v/>
      </c>
      <c r="AO310" s="7" t="str">
        <f>IF(40&gt;=132,('Testes estatísticos'!$D$137+'Testes estatísticos'!$D$45)/2,"")</f>
        <v/>
      </c>
      <c r="AP310" s="7" t="str">
        <f>IF(41&gt;=132,('Testes estatísticos'!$D$137+'Testes estatísticos'!$D$46)/2,"")</f>
        <v/>
      </c>
      <c r="AQ310" s="7" t="str">
        <f>IF(42&gt;=132,('Testes estatísticos'!$D$137+'Testes estatísticos'!$D$47)/2,"")</f>
        <v/>
      </c>
      <c r="AR310" s="7" t="str">
        <f>IF(43&gt;=132,('Testes estatísticos'!$D$137+'Testes estatísticos'!$D$48)/2,"")</f>
        <v/>
      </c>
      <c r="AS310" s="7" t="str">
        <f>IF(44&gt;=132,('Testes estatísticos'!$D$137+'Testes estatísticos'!$D$49)/2,"")</f>
        <v/>
      </c>
      <c r="AT310" s="7" t="str">
        <f>IF(45&gt;=132,('Testes estatísticos'!$D$137+'Testes estatísticos'!$D$50)/2,"")</f>
        <v/>
      </c>
      <c r="AU310" s="7" t="str">
        <f>IF(46&gt;=132,('Testes estatísticos'!$D$137+'Testes estatísticos'!$D$51)/2,"")</f>
        <v/>
      </c>
      <c r="AV310" s="7" t="str">
        <f>IF(47&gt;=132,('Testes estatísticos'!$D$137+'Testes estatísticos'!$D$52)/2,"")</f>
        <v/>
      </c>
      <c r="AW310" s="7" t="str">
        <f>IF(48&gt;=132,('Testes estatísticos'!$D$137+'Testes estatísticos'!$D$53)/2,"")</f>
        <v/>
      </c>
      <c r="AX310" s="7" t="str">
        <f>IF(49&gt;=132,('Testes estatísticos'!$D$137+'Testes estatísticos'!$D$54)/2,"")</f>
        <v/>
      </c>
      <c r="AY310" s="7" t="str">
        <f>IF(50&gt;=132,('Testes estatísticos'!$D$137+'Testes estatísticos'!$D$55)/2,"")</f>
        <v/>
      </c>
      <c r="AZ310" s="7" t="str">
        <f>IF(51&gt;=132,('Testes estatísticos'!$D$137+'Testes estatísticos'!$D$56)/2,"")</f>
        <v/>
      </c>
      <c r="BA310" s="7" t="str">
        <f>IF(52&gt;=132,('Testes estatísticos'!$D$137+'Testes estatísticos'!$D$57)/2,"")</f>
        <v/>
      </c>
      <c r="BB310" s="7" t="str">
        <f>IF(53&gt;=132,('Testes estatísticos'!$D$137+'Testes estatísticos'!$D$58)/2,"")</f>
        <v/>
      </c>
      <c r="BC310" s="7" t="str">
        <f>IF(54&gt;=132,('Testes estatísticos'!$D$137+'Testes estatísticos'!$D$59)/2,"")</f>
        <v/>
      </c>
      <c r="BD310" s="7" t="str">
        <f>IF(55&gt;=132,('Testes estatísticos'!$D$137+'Testes estatísticos'!$D$60)/2,"")</f>
        <v/>
      </c>
      <c r="BE310" s="7" t="str">
        <f>IF(56&gt;=132,('Testes estatísticos'!$D$137+'Testes estatísticos'!$D$61)/2,"")</f>
        <v/>
      </c>
      <c r="BF310" s="7" t="str">
        <f>IF(57&gt;=132,('Testes estatísticos'!$D$137+'Testes estatísticos'!$D$62)/2,"")</f>
        <v/>
      </c>
      <c r="BG310" s="7" t="str">
        <f>IF(58&gt;=132,('Testes estatísticos'!$D$137+'Testes estatísticos'!$D$63)/2,"")</f>
        <v/>
      </c>
      <c r="BH310" s="7" t="str">
        <f>IF(59&gt;=132,('Testes estatísticos'!$D$137+'Testes estatísticos'!$D$64)/2,"")</f>
        <v/>
      </c>
      <c r="BI310" s="7" t="str">
        <f>IF(60&gt;=132,('Testes estatísticos'!$D$137+'Testes estatísticos'!$D$65)/2,"")</f>
        <v/>
      </c>
      <c r="BJ310" s="7" t="str">
        <f>IF(61&gt;=132,('Testes estatísticos'!$D$137+'Testes estatísticos'!$D$66)/2,"")</f>
        <v/>
      </c>
      <c r="BK310" s="7" t="str">
        <f>IF(62&gt;=132,('Testes estatísticos'!$D$137+'Testes estatísticos'!$D$67)/2,"")</f>
        <v/>
      </c>
      <c r="BL310" s="7" t="str">
        <f>IF(63&gt;=132,('Testes estatísticos'!$D$137+'Testes estatísticos'!$D$68)/2,"")</f>
        <v/>
      </c>
      <c r="BM310" s="7" t="str">
        <f>IF(64&gt;=132,('Testes estatísticos'!$D$137+'Testes estatísticos'!$D$69)/2,"")</f>
        <v/>
      </c>
      <c r="BN310" s="7" t="str">
        <f>IF(65&gt;=132,('Testes estatísticos'!$D$137+'Testes estatísticos'!$D$70)/2,"")</f>
        <v/>
      </c>
      <c r="BO310" s="7" t="str">
        <f>IF(66&gt;=132,('Testes estatísticos'!$D$137+'Testes estatísticos'!$D$71)/2,"")</f>
        <v/>
      </c>
      <c r="BP310" s="7" t="str">
        <f>IF(67&gt;=132,('Testes estatísticos'!$D$137+'Testes estatísticos'!$D$72)/2,"")</f>
        <v/>
      </c>
      <c r="BQ310" s="7" t="str">
        <f>IF(68&gt;=132,('Testes estatísticos'!$D$137+'Testes estatísticos'!$D$73)/2,"")</f>
        <v/>
      </c>
      <c r="BR310" s="7" t="str">
        <f>IF(69&gt;=132,('Testes estatísticos'!$D$137+'Testes estatísticos'!$D$74)/2,"")</f>
        <v/>
      </c>
      <c r="BS310" s="7" t="str">
        <f>IF(70&gt;=132,('Testes estatísticos'!$D$137+'Testes estatísticos'!$D$75)/2,"")</f>
        <v/>
      </c>
      <c r="BT310" s="7" t="str">
        <f>IF(71&gt;=132,('Testes estatísticos'!$D$137+'Testes estatísticos'!$D$76)/2,"")</f>
        <v/>
      </c>
      <c r="BU310" s="7" t="str">
        <f>IF(72&gt;=132,('Testes estatísticos'!$D$137+'Testes estatísticos'!$D$77)/2,"")</f>
        <v/>
      </c>
      <c r="BV310" s="7" t="str">
        <f>IF(73&gt;=132,('Testes estatísticos'!$D$137+'Testes estatísticos'!$D$78)/2,"")</f>
        <v/>
      </c>
      <c r="BW310" s="7" t="str">
        <f>IF(74&gt;=132,('Testes estatísticos'!$D$137+'Testes estatísticos'!$D$79)/2,"")</f>
        <v/>
      </c>
      <c r="BX310" s="7" t="str">
        <f>IF(75&gt;=132,('Testes estatísticos'!$D$137+'Testes estatísticos'!$D$80)/2,"")</f>
        <v/>
      </c>
      <c r="BY310" s="7" t="str">
        <f>IF(76&gt;=132,('Testes estatísticos'!$D$137+'Testes estatísticos'!$D$81)/2,"")</f>
        <v/>
      </c>
      <c r="BZ310" s="7" t="str">
        <f>IF(77&gt;=132,('Testes estatísticos'!$D$137+'Testes estatísticos'!$D$82)/2,"")</f>
        <v/>
      </c>
      <c r="CA310" s="7" t="str">
        <f>IF(78&gt;=132,('Testes estatísticos'!$D$137+'Testes estatísticos'!$D$83)/2,"")</f>
        <v/>
      </c>
      <c r="CB310" s="7" t="str">
        <f>IF(79&gt;=132,('Testes estatísticos'!$D$137+'Testes estatísticos'!$D$84)/2,"")</f>
        <v/>
      </c>
      <c r="CC310" s="7" t="str">
        <f>IF(80&gt;=132,('Testes estatísticos'!$D$137+'Testes estatísticos'!$D$85)/2,"")</f>
        <v/>
      </c>
      <c r="CD310" s="7" t="str">
        <f>IF(81&gt;=132,('Testes estatísticos'!$D$137+'Testes estatísticos'!$D$86)/2,"")</f>
        <v/>
      </c>
      <c r="CE310" s="7" t="str">
        <f>IF(82&gt;=132,('Testes estatísticos'!$D$137+'Testes estatísticos'!$D$87)/2,"")</f>
        <v/>
      </c>
      <c r="CF310" s="7" t="str">
        <f>IF(83&gt;=132,('Testes estatísticos'!$D$137+'Testes estatísticos'!$D$88)/2,"")</f>
        <v/>
      </c>
      <c r="CG310" s="7" t="str">
        <f>IF(84&gt;=132,('Testes estatísticos'!$D$137+'Testes estatísticos'!$D$89)/2,"")</f>
        <v/>
      </c>
      <c r="CH310" s="7" t="str">
        <f>IF(85&gt;=132,('Testes estatísticos'!$D$137+'Testes estatísticos'!$D$90)/2,"")</f>
        <v/>
      </c>
      <c r="CI310" s="7" t="str">
        <f>IF(86&gt;=132,('Testes estatísticos'!$D$137+'Testes estatísticos'!$D$91)/2,"")</f>
        <v/>
      </c>
      <c r="CJ310" s="7" t="str">
        <f>IF(87&gt;=132,('Testes estatísticos'!$D$137+'Testes estatísticos'!$D$92)/2,"")</f>
        <v/>
      </c>
      <c r="CK310" s="7" t="str">
        <f>IF(88&gt;=132,('Testes estatísticos'!$D$137+'Testes estatísticos'!$D$93)/2,"")</f>
        <v/>
      </c>
      <c r="CL310" s="7" t="str">
        <f>IF(89&gt;=132,('Testes estatísticos'!$D$137+'Testes estatísticos'!$D$94)/2,"")</f>
        <v/>
      </c>
      <c r="CM310" s="7" t="str">
        <f>IF(90&gt;=132,('Testes estatísticos'!$D$137+'Testes estatísticos'!$D$95)/2,"")</f>
        <v/>
      </c>
      <c r="CN310" s="7" t="str">
        <f>IF(91&gt;=132,('Testes estatísticos'!$D$137+'Testes estatísticos'!$D$96)/2,"")</f>
        <v/>
      </c>
      <c r="CO310" s="7" t="str">
        <f>IF(92&gt;=132,('Testes estatísticos'!$D$137+'Testes estatísticos'!$D$97)/2,"")</f>
        <v/>
      </c>
      <c r="CP310" s="7" t="str">
        <f>IF(93&gt;=132,('Testes estatísticos'!$D$137+'Testes estatísticos'!$D$98)/2,"")</f>
        <v/>
      </c>
      <c r="CQ310" s="7" t="str">
        <f>IF(94&gt;=132,('Testes estatísticos'!$D$137+'Testes estatísticos'!$D$99)/2,"")</f>
        <v/>
      </c>
      <c r="CR310" s="7" t="str">
        <f>IF(95&gt;=132,('Testes estatísticos'!$D$137+'Testes estatísticos'!$D$100)/2,"")</f>
        <v/>
      </c>
      <c r="CS310" s="7" t="str">
        <f>IF(96&gt;=132,('Testes estatísticos'!$D$137+'Testes estatísticos'!$D$101)/2,"")</f>
        <v/>
      </c>
      <c r="CT310" s="7" t="str">
        <f>IF(97&gt;=132,('Testes estatísticos'!$D$137+'Testes estatísticos'!$D$102)/2,"")</f>
        <v/>
      </c>
      <c r="CU310" s="7" t="str">
        <f>IF(98&gt;=132,('Testes estatísticos'!$D$137+'Testes estatísticos'!$D$103)/2,"")</f>
        <v/>
      </c>
      <c r="CV310" s="7" t="str">
        <f>IF(99&gt;=132,('Testes estatísticos'!$D$137+'Testes estatísticos'!$D$104)/2,"")</f>
        <v/>
      </c>
      <c r="CW310" s="7" t="str">
        <f>IF(100&gt;=132,('Testes estatísticos'!$D$137+'Testes estatísticos'!$D$105)/2,"")</f>
        <v/>
      </c>
      <c r="CX310" s="7" t="str">
        <f>IF(101&gt;=132,('Testes estatísticos'!$D$137+'Testes estatísticos'!$D$106)/2,"")</f>
        <v/>
      </c>
      <c r="CY310" s="7" t="str">
        <f>IF(102&gt;=132,('Testes estatísticos'!$D$137+'Testes estatísticos'!$D$107)/2,"")</f>
        <v/>
      </c>
      <c r="CZ310" s="7" t="str">
        <f>IF(103&gt;=132,('Testes estatísticos'!$D$137+'Testes estatísticos'!$D$108)/2,"")</f>
        <v/>
      </c>
      <c r="DA310" s="7" t="str">
        <f>IF(104&gt;=132,('Testes estatísticos'!$D$137+'Testes estatísticos'!$D$109)/2,"")</f>
        <v/>
      </c>
      <c r="DB310" s="7" t="str">
        <f>IF(105&gt;=132,('Testes estatísticos'!$D$137+'Testes estatísticos'!$D$110)/2,"")</f>
        <v/>
      </c>
      <c r="DC310" s="7" t="str">
        <f>IF(106&gt;=132,('Testes estatísticos'!$D$137+'Testes estatísticos'!$D$111)/2,"")</f>
        <v/>
      </c>
      <c r="DD310" s="7" t="str">
        <f>IF(107&gt;=132,('Testes estatísticos'!$D$137+'Testes estatísticos'!$D$112)/2,"")</f>
        <v/>
      </c>
      <c r="DE310" s="7" t="str">
        <f>IF(108&gt;=132,('Testes estatísticos'!$D$137+'Testes estatísticos'!$D$113)/2,"")</f>
        <v/>
      </c>
      <c r="DF310" s="7" t="str">
        <f>IF(109&gt;=132,('Testes estatísticos'!$D$137+'Testes estatísticos'!$D$114)/2,"")</f>
        <v/>
      </c>
      <c r="DG310" s="7" t="str">
        <f>IF(110&gt;=132,('Testes estatísticos'!$D$137+'Testes estatísticos'!$D$115)/2,"")</f>
        <v/>
      </c>
      <c r="DH310" s="7" t="str">
        <f>IF(111&gt;=132,('Testes estatísticos'!$D$137+'Testes estatísticos'!$D$116)/2,"")</f>
        <v/>
      </c>
      <c r="DI310" s="7" t="str">
        <f>IF(112&gt;=132,('Testes estatísticos'!$D$137+'Testes estatísticos'!$D$117)/2,"")</f>
        <v/>
      </c>
      <c r="DJ310" s="7" t="str">
        <f>IF(113&gt;=132,('Testes estatísticos'!$D$137+'Testes estatísticos'!$D$118)/2,"")</f>
        <v/>
      </c>
      <c r="DK310" s="7" t="str">
        <f>IF(114&gt;=132,('Testes estatísticos'!$D$137+'Testes estatísticos'!$D$119)/2,"")</f>
        <v/>
      </c>
      <c r="DL310" s="7" t="str">
        <f>IF(115&gt;=132,('Testes estatísticos'!$D$137+'Testes estatísticos'!$D$120)/2,"")</f>
        <v/>
      </c>
      <c r="DM310" s="7" t="str">
        <f>IF(116&gt;=132,('Testes estatísticos'!$D$137+'Testes estatísticos'!$D$121)/2,"")</f>
        <v/>
      </c>
      <c r="DN310" s="7" t="str">
        <f>IF(117&gt;=132,('Testes estatísticos'!$D$137+'Testes estatísticos'!$D$122)/2,"")</f>
        <v/>
      </c>
      <c r="DO310" s="7" t="str">
        <f>IF(118&gt;=132,('Testes estatísticos'!$D$137+'Testes estatísticos'!$D$123)/2,"")</f>
        <v/>
      </c>
      <c r="DP310" s="7" t="str">
        <f>IF(119&gt;=132,('Testes estatísticos'!$D$137+'Testes estatísticos'!$D$124)/2,"")</f>
        <v/>
      </c>
      <c r="DQ310" s="7" t="str">
        <f>IF(120&gt;=132,('Testes estatísticos'!$D$137+'Testes estatísticos'!$D$125)/2,"")</f>
        <v/>
      </c>
      <c r="DR310" s="7" t="str">
        <f>IF(121&gt;=132,('Testes estatísticos'!$D$137+'Testes estatísticos'!$D$126)/2,"")</f>
        <v/>
      </c>
      <c r="DS310" s="7" t="str">
        <f>IF(122&gt;=132,('Testes estatísticos'!$D$137+'Testes estatísticos'!$D$127)/2,"")</f>
        <v/>
      </c>
      <c r="DT310" s="7" t="str">
        <f>IF(123&gt;=132,('Testes estatísticos'!$D$137+'Testes estatísticos'!$D$128)/2,"")</f>
        <v/>
      </c>
      <c r="DU310" s="7" t="str">
        <f>IF(124&gt;=132,('Testes estatísticos'!$D$137+'Testes estatísticos'!$D$129)/2,"")</f>
        <v/>
      </c>
      <c r="DV310" s="7" t="str">
        <f>IF(125&gt;=132,('Testes estatísticos'!$D$137+'Testes estatísticos'!$D$130)/2,"")</f>
        <v/>
      </c>
      <c r="DW310" s="7" t="str">
        <f>IF(126&gt;=132,('Testes estatísticos'!$D$137+'Testes estatísticos'!$D$131)/2,"")</f>
        <v/>
      </c>
      <c r="DX310" s="7" t="str">
        <f>IF(127&gt;=132,('Testes estatísticos'!$D$137+'Testes estatísticos'!$D$132)/2,"")</f>
        <v/>
      </c>
      <c r="DY310" s="7" t="str">
        <f>IF(128&gt;=132,('Testes estatísticos'!$D$137+'Testes estatísticos'!$D$133)/2,"")</f>
        <v/>
      </c>
      <c r="DZ310" s="7" t="str">
        <f>IF(129&gt;=132,('Testes estatísticos'!$D$137+'Testes estatísticos'!$D$134)/2,"")</f>
        <v/>
      </c>
      <c r="EA310" s="7" t="str">
        <f>IF(130&gt;=132,('Testes estatísticos'!$D$137+'Testes estatísticos'!$D$135)/2,"")</f>
        <v/>
      </c>
      <c r="EB310" s="7" t="str">
        <f>IF(131&gt;=132,('Testes estatísticos'!$D$137+'Testes estatísticos'!$D$136)/2,"")</f>
        <v/>
      </c>
      <c r="EC310" s="7">
        <f>IF(132&gt;=132,('Testes estatísticos'!$D$137+'Testes estatísticos'!$D$137)/2,"")</f>
        <v>-6.6911430000000038</v>
      </c>
      <c r="ED310" s="7">
        <f>IF(133&gt;=132,('Testes estatísticos'!$D$137+'Testes estatísticos'!$D$138)/2,"")</f>
        <v>-4.5022055000000023</v>
      </c>
      <c r="EE310" s="7">
        <f>IF(134&gt;=132,('Testes estatísticos'!$D$137+'Testes estatísticos'!$D$139)/2,"")</f>
        <v>-6.7993960000000051</v>
      </c>
      <c r="EF310" s="7">
        <f>IF(135&gt;=132,('Testes estatísticos'!$D$137+'Testes estatísticos'!$D$140)/2,"")</f>
        <v>-3.5849635000000006</v>
      </c>
      <c r="EG310" s="7">
        <f>IF(136&gt;=132,('Testes estatísticos'!$D$137+'Testes estatísticos'!$D$141)/2,"")</f>
        <v>-5.2784535000000048</v>
      </c>
      <c r="EH310" s="7">
        <f>IF(137&gt;=132,('Testes estatísticos'!$D$137+'Testes estatísticos'!$D$142)/2,"")</f>
        <v>-3.5737135000000038</v>
      </c>
      <c r="EI310" s="7">
        <f>IF(138&gt;=132,('Testes estatísticos'!$D$137+'Testes estatísticos'!$D$143)/2,"")</f>
        <v>-5.2387289999999993</v>
      </c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</row>
    <row r="311" spans="2:151" x14ac:dyDescent="0.3">
      <c r="B311" s="7" t="str">
        <f>IF(1&gt;=133,('Testes estatísticos'!$D$138+'Testes estatísticos'!$D$6)/2,"")</f>
        <v/>
      </c>
      <c r="C311" s="7" t="str">
        <f>IF(2&gt;=133,('Testes estatísticos'!$D$138+'Testes estatísticos'!$D$7)/2,"")</f>
        <v/>
      </c>
      <c r="D311" s="7" t="str">
        <f>IF(3&gt;=133,('Testes estatísticos'!$D$138+'Testes estatísticos'!$D$8)/2,"")</f>
        <v/>
      </c>
      <c r="E311" s="7" t="str">
        <f>IF(4&gt;=133,('Testes estatísticos'!$D$138+'Testes estatísticos'!$D$9)/2,"")</f>
        <v/>
      </c>
      <c r="F311" s="7" t="str">
        <f>IF(5&gt;=133,('Testes estatísticos'!$D$138+'Testes estatísticos'!$D$10)/2,"")</f>
        <v/>
      </c>
      <c r="G311" s="7" t="str">
        <f>IF(6&gt;=133,('Testes estatísticos'!$D$138+'Testes estatísticos'!$D$11)/2,"")</f>
        <v/>
      </c>
      <c r="H311" s="7" t="str">
        <f>IF(7&gt;=133,('Testes estatísticos'!$D$138+'Testes estatísticos'!$D$12)/2,"")</f>
        <v/>
      </c>
      <c r="I311" s="7" t="str">
        <f>IF(8&gt;=133,('Testes estatísticos'!$D$138+'Testes estatísticos'!$D$13)/2,"")</f>
        <v/>
      </c>
      <c r="J311" s="7" t="str">
        <f>IF(9&gt;=133,('Testes estatísticos'!$D$138+'Testes estatísticos'!$D$14)/2,"")</f>
        <v/>
      </c>
      <c r="K311" s="7" t="str">
        <f>IF(10&gt;=133,('Testes estatísticos'!$D$138+'Testes estatísticos'!$D$15)/2,"")</f>
        <v/>
      </c>
      <c r="L311" s="7" t="str">
        <f>IF(11&gt;=133,('Testes estatísticos'!$D$138+'Testes estatísticos'!$D$16)/2,"")</f>
        <v/>
      </c>
      <c r="M311" s="7" t="str">
        <f>IF(12&gt;=133,('Testes estatísticos'!$D$138+'Testes estatísticos'!$D$17)/2,"")</f>
        <v/>
      </c>
      <c r="N311" s="7" t="str">
        <f>IF(13&gt;=133,('Testes estatísticos'!$D$138+'Testes estatísticos'!$D$18)/2,"")</f>
        <v/>
      </c>
      <c r="O311" s="7" t="str">
        <f>IF(14&gt;=133,('Testes estatísticos'!$D$138+'Testes estatísticos'!$D$19)/2,"")</f>
        <v/>
      </c>
      <c r="P311" s="7" t="str">
        <f>IF(15&gt;=133,('Testes estatísticos'!$D$138+'Testes estatísticos'!$D$20)/2,"")</f>
        <v/>
      </c>
      <c r="Q311" s="7" t="str">
        <f>IF(16&gt;=133,('Testes estatísticos'!$D$138+'Testes estatísticos'!$D$21)/2,"")</f>
        <v/>
      </c>
      <c r="R311" s="7" t="str">
        <f>IF(17&gt;=133,('Testes estatísticos'!$D$138+'Testes estatísticos'!$D$22)/2,"")</f>
        <v/>
      </c>
      <c r="S311" s="7" t="str">
        <f>IF(18&gt;=133,('Testes estatísticos'!$D$138+'Testes estatísticos'!$D$23)/2,"")</f>
        <v/>
      </c>
      <c r="T311" s="7" t="str">
        <f>IF(19&gt;=133,('Testes estatísticos'!$D$138+'Testes estatísticos'!$D$24)/2,"")</f>
        <v/>
      </c>
      <c r="U311" s="7" t="str">
        <f>IF(20&gt;=133,('Testes estatísticos'!$D$138+'Testes estatísticos'!$D$25)/2,"")</f>
        <v/>
      </c>
      <c r="V311" s="7" t="str">
        <f>IF(21&gt;=133,('Testes estatísticos'!$D$138+'Testes estatísticos'!$D$26)/2,"")</f>
        <v/>
      </c>
      <c r="W311" s="7" t="str">
        <f>IF(22&gt;=133,('Testes estatísticos'!$D$138+'Testes estatísticos'!$D$27)/2,"")</f>
        <v/>
      </c>
      <c r="X311" s="7" t="str">
        <f>IF(23&gt;=133,('Testes estatísticos'!$D$138+'Testes estatísticos'!$D$28)/2,"")</f>
        <v/>
      </c>
      <c r="Y311" s="7" t="str">
        <f>IF(24&gt;=133,('Testes estatísticos'!$D$138+'Testes estatísticos'!$D$29)/2,"")</f>
        <v/>
      </c>
      <c r="Z311" s="7" t="str">
        <f>IF(25&gt;=133,('Testes estatísticos'!$D$138+'Testes estatísticos'!$D$30)/2,"")</f>
        <v/>
      </c>
      <c r="AA311" s="7" t="str">
        <f>IF(26&gt;=133,('Testes estatísticos'!$D$138+'Testes estatísticos'!$D$31)/2,"")</f>
        <v/>
      </c>
      <c r="AB311" s="7" t="str">
        <f>IF(27&gt;=133,('Testes estatísticos'!$D$138+'Testes estatísticos'!$D$32)/2,"")</f>
        <v/>
      </c>
      <c r="AC311" s="7" t="str">
        <f>IF(28&gt;=133,('Testes estatísticos'!$D$138+'Testes estatísticos'!$D$33)/2,"")</f>
        <v/>
      </c>
      <c r="AD311" s="7" t="str">
        <f>IF(29&gt;=133,('Testes estatísticos'!$D$138+'Testes estatísticos'!$D$34)/2,"")</f>
        <v/>
      </c>
      <c r="AE311" s="7" t="str">
        <f>IF(30&gt;=133,('Testes estatísticos'!$D$138+'Testes estatísticos'!$D$35)/2,"")</f>
        <v/>
      </c>
      <c r="AF311" s="7" t="str">
        <f>IF(31&gt;=133,('Testes estatísticos'!$D$138+'Testes estatísticos'!$D$36)/2,"")</f>
        <v/>
      </c>
      <c r="AG311" s="7" t="str">
        <f>IF(32&gt;=133,('Testes estatísticos'!$D$138+'Testes estatísticos'!$D$37)/2,"")</f>
        <v/>
      </c>
      <c r="AH311" s="7" t="str">
        <f>IF(33&gt;=133,('Testes estatísticos'!$D$138+'Testes estatísticos'!$D$38)/2,"")</f>
        <v/>
      </c>
      <c r="AI311" s="7" t="str">
        <f>IF(34&gt;=133,('Testes estatísticos'!$D$138+'Testes estatísticos'!$D$39)/2,"")</f>
        <v/>
      </c>
      <c r="AJ311" s="7" t="str">
        <f>IF(35&gt;=133,('Testes estatísticos'!$D$138+'Testes estatísticos'!$D$40)/2,"")</f>
        <v/>
      </c>
      <c r="AK311" s="7" t="str">
        <f>IF(36&gt;=133,('Testes estatísticos'!$D$138+'Testes estatísticos'!$D$41)/2,"")</f>
        <v/>
      </c>
      <c r="AL311" s="7" t="str">
        <f>IF(37&gt;=133,('Testes estatísticos'!$D$138+'Testes estatísticos'!$D$42)/2,"")</f>
        <v/>
      </c>
      <c r="AM311" s="7" t="str">
        <f>IF(38&gt;=133,('Testes estatísticos'!$D$138+'Testes estatísticos'!$D$43)/2,"")</f>
        <v/>
      </c>
      <c r="AN311" s="7" t="str">
        <f>IF(39&gt;=133,('Testes estatísticos'!$D$138+'Testes estatísticos'!$D$44)/2,"")</f>
        <v/>
      </c>
      <c r="AO311" s="7" t="str">
        <f>IF(40&gt;=133,('Testes estatísticos'!$D$138+'Testes estatísticos'!$D$45)/2,"")</f>
        <v/>
      </c>
      <c r="AP311" s="7" t="str">
        <f>IF(41&gt;=133,('Testes estatísticos'!$D$138+'Testes estatísticos'!$D$46)/2,"")</f>
        <v/>
      </c>
      <c r="AQ311" s="7" t="str">
        <f>IF(42&gt;=133,('Testes estatísticos'!$D$138+'Testes estatísticos'!$D$47)/2,"")</f>
        <v/>
      </c>
      <c r="AR311" s="7" t="str">
        <f>IF(43&gt;=133,('Testes estatísticos'!$D$138+'Testes estatísticos'!$D$48)/2,"")</f>
        <v/>
      </c>
      <c r="AS311" s="7" t="str">
        <f>IF(44&gt;=133,('Testes estatísticos'!$D$138+'Testes estatísticos'!$D$49)/2,"")</f>
        <v/>
      </c>
      <c r="AT311" s="7" t="str">
        <f>IF(45&gt;=133,('Testes estatísticos'!$D$138+'Testes estatísticos'!$D$50)/2,"")</f>
        <v/>
      </c>
      <c r="AU311" s="7" t="str">
        <f>IF(46&gt;=133,('Testes estatísticos'!$D$138+'Testes estatísticos'!$D$51)/2,"")</f>
        <v/>
      </c>
      <c r="AV311" s="7" t="str">
        <f>IF(47&gt;=133,('Testes estatísticos'!$D$138+'Testes estatísticos'!$D$52)/2,"")</f>
        <v/>
      </c>
      <c r="AW311" s="7" t="str">
        <f>IF(48&gt;=133,('Testes estatísticos'!$D$138+'Testes estatísticos'!$D$53)/2,"")</f>
        <v/>
      </c>
      <c r="AX311" s="7" t="str">
        <f>IF(49&gt;=133,('Testes estatísticos'!$D$138+'Testes estatísticos'!$D$54)/2,"")</f>
        <v/>
      </c>
      <c r="AY311" s="7" t="str">
        <f>IF(50&gt;=133,('Testes estatísticos'!$D$138+'Testes estatísticos'!$D$55)/2,"")</f>
        <v/>
      </c>
      <c r="AZ311" s="7" t="str">
        <f>IF(51&gt;=133,('Testes estatísticos'!$D$138+'Testes estatísticos'!$D$56)/2,"")</f>
        <v/>
      </c>
      <c r="BA311" s="7" t="str">
        <f>IF(52&gt;=133,('Testes estatísticos'!$D$138+'Testes estatísticos'!$D$57)/2,"")</f>
        <v/>
      </c>
      <c r="BB311" s="7" t="str">
        <f>IF(53&gt;=133,('Testes estatísticos'!$D$138+'Testes estatísticos'!$D$58)/2,"")</f>
        <v/>
      </c>
      <c r="BC311" s="7" t="str">
        <f>IF(54&gt;=133,('Testes estatísticos'!$D$138+'Testes estatísticos'!$D$59)/2,"")</f>
        <v/>
      </c>
      <c r="BD311" s="7" t="str">
        <f>IF(55&gt;=133,('Testes estatísticos'!$D$138+'Testes estatísticos'!$D$60)/2,"")</f>
        <v/>
      </c>
      <c r="BE311" s="7" t="str">
        <f>IF(56&gt;=133,('Testes estatísticos'!$D$138+'Testes estatísticos'!$D$61)/2,"")</f>
        <v/>
      </c>
      <c r="BF311" s="7" t="str">
        <f>IF(57&gt;=133,('Testes estatísticos'!$D$138+'Testes estatísticos'!$D$62)/2,"")</f>
        <v/>
      </c>
      <c r="BG311" s="7" t="str">
        <f>IF(58&gt;=133,('Testes estatísticos'!$D$138+'Testes estatísticos'!$D$63)/2,"")</f>
        <v/>
      </c>
      <c r="BH311" s="7" t="str">
        <f>IF(59&gt;=133,('Testes estatísticos'!$D$138+'Testes estatísticos'!$D$64)/2,"")</f>
        <v/>
      </c>
      <c r="BI311" s="7" t="str">
        <f>IF(60&gt;=133,('Testes estatísticos'!$D$138+'Testes estatísticos'!$D$65)/2,"")</f>
        <v/>
      </c>
      <c r="BJ311" s="7" t="str">
        <f>IF(61&gt;=133,('Testes estatísticos'!$D$138+'Testes estatísticos'!$D$66)/2,"")</f>
        <v/>
      </c>
      <c r="BK311" s="7" t="str">
        <f>IF(62&gt;=133,('Testes estatísticos'!$D$138+'Testes estatísticos'!$D$67)/2,"")</f>
        <v/>
      </c>
      <c r="BL311" s="7" t="str">
        <f>IF(63&gt;=133,('Testes estatísticos'!$D$138+'Testes estatísticos'!$D$68)/2,"")</f>
        <v/>
      </c>
      <c r="BM311" s="7" t="str">
        <f>IF(64&gt;=133,('Testes estatísticos'!$D$138+'Testes estatísticos'!$D$69)/2,"")</f>
        <v/>
      </c>
      <c r="BN311" s="7" t="str">
        <f>IF(65&gt;=133,('Testes estatísticos'!$D$138+'Testes estatísticos'!$D$70)/2,"")</f>
        <v/>
      </c>
      <c r="BO311" s="7" t="str">
        <f>IF(66&gt;=133,('Testes estatísticos'!$D$138+'Testes estatísticos'!$D$71)/2,"")</f>
        <v/>
      </c>
      <c r="BP311" s="7" t="str">
        <f>IF(67&gt;=133,('Testes estatísticos'!$D$138+'Testes estatísticos'!$D$72)/2,"")</f>
        <v/>
      </c>
      <c r="BQ311" s="7" t="str">
        <f>IF(68&gt;=133,('Testes estatísticos'!$D$138+'Testes estatísticos'!$D$73)/2,"")</f>
        <v/>
      </c>
      <c r="BR311" s="7" t="str">
        <f>IF(69&gt;=133,('Testes estatísticos'!$D$138+'Testes estatísticos'!$D$74)/2,"")</f>
        <v/>
      </c>
      <c r="BS311" s="7" t="str">
        <f>IF(70&gt;=133,('Testes estatísticos'!$D$138+'Testes estatísticos'!$D$75)/2,"")</f>
        <v/>
      </c>
      <c r="BT311" s="7" t="str">
        <f>IF(71&gt;=133,('Testes estatísticos'!$D$138+'Testes estatísticos'!$D$76)/2,"")</f>
        <v/>
      </c>
      <c r="BU311" s="7" t="str">
        <f>IF(72&gt;=133,('Testes estatísticos'!$D$138+'Testes estatísticos'!$D$77)/2,"")</f>
        <v/>
      </c>
      <c r="BV311" s="7" t="str">
        <f>IF(73&gt;=133,('Testes estatísticos'!$D$138+'Testes estatísticos'!$D$78)/2,"")</f>
        <v/>
      </c>
      <c r="BW311" s="7" t="str">
        <f>IF(74&gt;=133,('Testes estatísticos'!$D$138+'Testes estatísticos'!$D$79)/2,"")</f>
        <v/>
      </c>
      <c r="BX311" s="7" t="str">
        <f>IF(75&gt;=133,('Testes estatísticos'!$D$138+'Testes estatísticos'!$D$80)/2,"")</f>
        <v/>
      </c>
      <c r="BY311" s="7" t="str">
        <f>IF(76&gt;=133,('Testes estatísticos'!$D$138+'Testes estatísticos'!$D$81)/2,"")</f>
        <v/>
      </c>
      <c r="BZ311" s="7" t="str">
        <f>IF(77&gt;=133,('Testes estatísticos'!$D$138+'Testes estatísticos'!$D$82)/2,"")</f>
        <v/>
      </c>
      <c r="CA311" s="7" t="str">
        <f>IF(78&gt;=133,('Testes estatísticos'!$D$138+'Testes estatísticos'!$D$83)/2,"")</f>
        <v/>
      </c>
      <c r="CB311" s="7" t="str">
        <f>IF(79&gt;=133,('Testes estatísticos'!$D$138+'Testes estatísticos'!$D$84)/2,"")</f>
        <v/>
      </c>
      <c r="CC311" s="7" t="str">
        <f>IF(80&gt;=133,('Testes estatísticos'!$D$138+'Testes estatísticos'!$D$85)/2,"")</f>
        <v/>
      </c>
      <c r="CD311" s="7" t="str">
        <f>IF(81&gt;=133,('Testes estatísticos'!$D$138+'Testes estatísticos'!$D$86)/2,"")</f>
        <v/>
      </c>
      <c r="CE311" s="7" t="str">
        <f>IF(82&gt;=133,('Testes estatísticos'!$D$138+'Testes estatísticos'!$D$87)/2,"")</f>
        <v/>
      </c>
      <c r="CF311" s="7" t="str">
        <f>IF(83&gt;=133,('Testes estatísticos'!$D$138+'Testes estatísticos'!$D$88)/2,"")</f>
        <v/>
      </c>
      <c r="CG311" s="7" t="str">
        <f>IF(84&gt;=133,('Testes estatísticos'!$D$138+'Testes estatísticos'!$D$89)/2,"")</f>
        <v/>
      </c>
      <c r="CH311" s="7" t="str">
        <f>IF(85&gt;=133,('Testes estatísticos'!$D$138+'Testes estatísticos'!$D$90)/2,"")</f>
        <v/>
      </c>
      <c r="CI311" s="7" t="str">
        <f>IF(86&gt;=133,('Testes estatísticos'!$D$138+'Testes estatísticos'!$D$91)/2,"")</f>
        <v/>
      </c>
      <c r="CJ311" s="7" t="str">
        <f>IF(87&gt;=133,('Testes estatísticos'!$D$138+'Testes estatísticos'!$D$92)/2,"")</f>
        <v/>
      </c>
      <c r="CK311" s="7" t="str">
        <f>IF(88&gt;=133,('Testes estatísticos'!$D$138+'Testes estatísticos'!$D$93)/2,"")</f>
        <v/>
      </c>
      <c r="CL311" s="7" t="str">
        <f>IF(89&gt;=133,('Testes estatísticos'!$D$138+'Testes estatísticos'!$D$94)/2,"")</f>
        <v/>
      </c>
      <c r="CM311" s="7" t="str">
        <f>IF(90&gt;=133,('Testes estatísticos'!$D$138+'Testes estatísticos'!$D$95)/2,"")</f>
        <v/>
      </c>
      <c r="CN311" s="7" t="str">
        <f>IF(91&gt;=133,('Testes estatísticos'!$D$138+'Testes estatísticos'!$D$96)/2,"")</f>
        <v/>
      </c>
      <c r="CO311" s="7" t="str">
        <f>IF(92&gt;=133,('Testes estatísticos'!$D$138+'Testes estatísticos'!$D$97)/2,"")</f>
        <v/>
      </c>
      <c r="CP311" s="7" t="str">
        <f>IF(93&gt;=133,('Testes estatísticos'!$D$138+'Testes estatísticos'!$D$98)/2,"")</f>
        <v/>
      </c>
      <c r="CQ311" s="7" t="str">
        <f>IF(94&gt;=133,('Testes estatísticos'!$D$138+'Testes estatísticos'!$D$99)/2,"")</f>
        <v/>
      </c>
      <c r="CR311" s="7" t="str">
        <f>IF(95&gt;=133,('Testes estatísticos'!$D$138+'Testes estatísticos'!$D$100)/2,"")</f>
        <v/>
      </c>
      <c r="CS311" s="7" t="str">
        <f>IF(96&gt;=133,('Testes estatísticos'!$D$138+'Testes estatísticos'!$D$101)/2,"")</f>
        <v/>
      </c>
      <c r="CT311" s="7" t="str">
        <f>IF(97&gt;=133,('Testes estatísticos'!$D$138+'Testes estatísticos'!$D$102)/2,"")</f>
        <v/>
      </c>
      <c r="CU311" s="7" t="str">
        <f>IF(98&gt;=133,('Testes estatísticos'!$D$138+'Testes estatísticos'!$D$103)/2,"")</f>
        <v/>
      </c>
      <c r="CV311" s="7" t="str">
        <f>IF(99&gt;=133,('Testes estatísticos'!$D$138+'Testes estatísticos'!$D$104)/2,"")</f>
        <v/>
      </c>
      <c r="CW311" s="7" t="str">
        <f>IF(100&gt;=133,('Testes estatísticos'!$D$138+'Testes estatísticos'!$D$105)/2,"")</f>
        <v/>
      </c>
      <c r="CX311" s="7" t="str">
        <f>IF(101&gt;=133,('Testes estatísticos'!$D$138+'Testes estatísticos'!$D$106)/2,"")</f>
        <v/>
      </c>
      <c r="CY311" s="7" t="str">
        <f>IF(102&gt;=133,('Testes estatísticos'!$D$138+'Testes estatísticos'!$D$107)/2,"")</f>
        <v/>
      </c>
      <c r="CZ311" s="7" t="str">
        <f>IF(103&gt;=133,('Testes estatísticos'!$D$138+'Testes estatísticos'!$D$108)/2,"")</f>
        <v/>
      </c>
      <c r="DA311" s="7" t="str">
        <f>IF(104&gt;=133,('Testes estatísticos'!$D$138+'Testes estatísticos'!$D$109)/2,"")</f>
        <v/>
      </c>
      <c r="DB311" s="7" t="str">
        <f>IF(105&gt;=133,('Testes estatísticos'!$D$138+'Testes estatísticos'!$D$110)/2,"")</f>
        <v/>
      </c>
      <c r="DC311" s="7" t="str">
        <f>IF(106&gt;=133,('Testes estatísticos'!$D$138+'Testes estatísticos'!$D$111)/2,"")</f>
        <v/>
      </c>
      <c r="DD311" s="7" t="str">
        <f>IF(107&gt;=133,('Testes estatísticos'!$D$138+'Testes estatísticos'!$D$112)/2,"")</f>
        <v/>
      </c>
      <c r="DE311" s="7" t="str">
        <f>IF(108&gt;=133,('Testes estatísticos'!$D$138+'Testes estatísticos'!$D$113)/2,"")</f>
        <v/>
      </c>
      <c r="DF311" s="7" t="str">
        <f>IF(109&gt;=133,('Testes estatísticos'!$D$138+'Testes estatísticos'!$D$114)/2,"")</f>
        <v/>
      </c>
      <c r="DG311" s="7" t="str">
        <f>IF(110&gt;=133,('Testes estatísticos'!$D$138+'Testes estatísticos'!$D$115)/2,"")</f>
        <v/>
      </c>
      <c r="DH311" s="7" t="str">
        <f>IF(111&gt;=133,('Testes estatísticos'!$D$138+'Testes estatísticos'!$D$116)/2,"")</f>
        <v/>
      </c>
      <c r="DI311" s="7" t="str">
        <f>IF(112&gt;=133,('Testes estatísticos'!$D$138+'Testes estatísticos'!$D$117)/2,"")</f>
        <v/>
      </c>
      <c r="DJ311" s="7" t="str">
        <f>IF(113&gt;=133,('Testes estatísticos'!$D$138+'Testes estatísticos'!$D$118)/2,"")</f>
        <v/>
      </c>
      <c r="DK311" s="7" t="str">
        <f>IF(114&gt;=133,('Testes estatísticos'!$D$138+'Testes estatísticos'!$D$119)/2,"")</f>
        <v/>
      </c>
      <c r="DL311" s="7" t="str">
        <f>IF(115&gt;=133,('Testes estatísticos'!$D$138+'Testes estatísticos'!$D$120)/2,"")</f>
        <v/>
      </c>
      <c r="DM311" s="7" t="str">
        <f>IF(116&gt;=133,('Testes estatísticos'!$D$138+'Testes estatísticos'!$D$121)/2,"")</f>
        <v/>
      </c>
      <c r="DN311" s="7" t="str">
        <f>IF(117&gt;=133,('Testes estatísticos'!$D$138+'Testes estatísticos'!$D$122)/2,"")</f>
        <v/>
      </c>
      <c r="DO311" s="7" t="str">
        <f>IF(118&gt;=133,('Testes estatísticos'!$D$138+'Testes estatísticos'!$D$123)/2,"")</f>
        <v/>
      </c>
      <c r="DP311" s="7" t="str">
        <f>IF(119&gt;=133,('Testes estatísticos'!$D$138+'Testes estatísticos'!$D$124)/2,"")</f>
        <v/>
      </c>
      <c r="DQ311" s="7" t="str">
        <f>IF(120&gt;=133,('Testes estatísticos'!$D$138+'Testes estatísticos'!$D$125)/2,"")</f>
        <v/>
      </c>
      <c r="DR311" s="7" t="str">
        <f>IF(121&gt;=133,('Testes estatísticos'!$D$138+'Testes estatísticos'!$D$126)/2,"")</f>
        <v/>
      </c>
      <c r="DS311" s="7" t="str">
        <f>IF(122&gt;=133,('Testes estatísticos'!$D$138+'Testes estatísticos'!$D$127)/2,"")</f>
        <v/>
      </c>
      <c r="DT311" s="7" t="str">
        <f>IF(123&gt;=133,('Testes estatísticos'!$D$138+'Testes estatísticos'!$D$128)/2,"")</f>
        <v/>
      </c>
      <c r="DU311" s="7" t="str">
        <f>IF(124&gt;=133,('Testes estatísticos'!$D$138+'Testes estatísticos'!$D$129)/2,"")</f>
        <v/>
      </c>
      <c r="DV311" s="7" t="str">
        <f>IF(125&gt;=133,('Testes estatísticos'!$D$138+'Testes estatísticos'!$D$130)/2,"")</f>
        <v/>
      </c>
      <c r="DW311" s="7" t="str">
        <f>IF(126&gt;=133,('Testes estatísticos'!$D$138+'Testes estatísticos'!$D$131)/2,"")</f>
        <v/>
      </c>
      <c r="DX311" s="7" t="str">
        <f>IF(127&gt;=133,('Testes estatísticos'!$D$138+'Testes estatísticos'!$D$132)/2,"")</f>
        <v/>
      </c>
      <c r="DY311" s="7" t="str">
        <f>IF(128&gt;=133,('Testes estatísticos'!$D$138+'Testes estatísticos'!$D$133)/2,"")</f>
        <v/>
      </c>
      <c r="DZ311" s="7" t="str">
        <f>IF(129&gt;=133,('Testes estatísticos'!$D$138+'Testes estatísticos'!$D$134)/2,"")</f>
        <v/>
      </c>
      <c r="EA311" s="7" t="str">
        <f>IF(130&gt;=133,('Testes estatísticos'!$D$138+'Testes estatísticos'!$D$135)/2,"")</f>
        <v/>
      </c>
      <c r="EB311" s="7" t="str">
        <f>IF(131&gt;=133,('Testes estatísticos'!$D$138+'Testes estatísticos'!$D$136)/2,"")</f>
        <v/>
      </c>
      <c r="EC311" s="7" t="str">
        <f>IF(132&gt;=133,('Testes estatísticos'!$D$138+'Testes estatísticos'!$D$137)/2,"")</f>
        <v/>
      </c>
      <c r="ED311" s="7">
        <f>IF(133&gt;=133,('Testes estatísticos'!$D$138+'Testes estatísticos'!$D$138)/2,"")</f>
        <v>-2.3132680000000008</v>
      </c>
      <c r="EE311" s="7">
        <f>IF(134&gt;=133,('Testes estatísticos'!$D$138+'Testes estatísticos'!$D$139)/2,"")</f>
        <v>-4.6104585000000036</v>
      </c>
      <c r="EF311" s="7">
        <f>IF(135&gt;=133,('Testes estatísticos'!$D$138+'Testes estatísticos'!$D$140)/2,"")</f>
        <v>-1.3960259999999991</v>
      </c>
      <c r="EG311" s="7">
        <f>IF(136&gt;=133,('Testes estatísticos'!$D$138+'Testes estatísticos'!$D$141)/2,"")</f>
        <v>-3.0895160000000033</v>
      </c>
      <c r="EH311" s="7">
        <f>IF(137&gt;=133,('Testes estatísticos'!$D$138+'Testes estatísticos'!$D$142)/2,"")</f>
        <v>-1.3847760000000022</v>
      </c>
      <c r="EI311" s="7">
        <f>IF(138&gt;=133,('Testes estatísticos'!$D$138+'Testes estatísticos'!$D$143)/2,"")</f>
        <v>-3.0497914999999978</v>
      </c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</row>
    <row r="312" spans="2:151" x14ac:dyDescent="0.3">
      <c r="B312" s="7" t="str">
        <f>IF(1&gt;=134,('Testes estatísticos'!$D$139+'Testes estatísticos'!$D$6)/2,"")</f>
        <v/>
      </c>
      <c r="C312" s="7" t="str">
        <f>IF(2&gt;=134,('Testes estatísticos'!$D$139+'Testes estatísticos'!$D$7)/2,"")</f>
        <v/>
      </c>
      <c r="D312" s="7" t="str">
        <f>IF(3&gt;=134,('Testes estatísticos'!$D$139+'Testes estatísticos'!$D$8)/2,"")</f>
        <v/>
      </c>
      <c r="E312" s="7" t="str">
        <f>IF(4&gt;=134,('Testes estatísticos'!$D$139+'Testes estatísticos'!$D$9)/2,"")</f>
        <v/>
      </c>
      <c r="F312" s="7" t="str">
        <f>IF(5&gt;=134,('Testes estatísticos'!$D$139+'Testes estatísticos'!$D$10)/2,"")</f>
        <v/>
      </c>
      <c r="G312" s="7" t="str">
        <f>IF(6&gt;=134,('Testes estatísticos'!$D$139+'Testes estatísticos'!$D$11)/2,"")</f>
        <v/>
      </c>
      <c r="H312" s="7" t="str">
        <f>IF(7&gt;=134,('Testes estatísticos'!$D$139+'Testes estatísticos'!$D$12)/2,"")</f>
        <v/>
      </c>
      <c r="I312" s="7" t="str">
        <f>IF(8&gt;=134,('Testes estatísticos'!$D$139+'Testes estatísticos'!$D$13)/2,"")</f>
        <v/>
      </c>
      <c r="J312" s="7" t="str">
        <f>IF(9&gt;=134,('Testes estatísticos'!$D$139+'Testes estatísticos'!$D$14)/2,"")</f>
        <v/>
      </c>
      <c r="K312" s="7" t="str">
        <f>IF(10&gt;=134,('Testes estatísticos'!$D$139+'Testes estatísticos'!$D$15)/2,"")</f>
        <v/>
      </c>
      <c r="L312" s="7" t="str">
        <f>IF(11&gt;=134,('Testes estatísticos'!$D$139+'Testes estatísticos'!$D$16)/2,"")</f>
        <v/>
      </c>
      <c r="M312" s="7" t="str">
        <f>IF(12&gt;=134,('Testes estatísticos'!$D$139+'Testes estatísticos'!$D$17)/2,"")</f>
        <v/>
      </c>
      <c r="N312" s="7" t="str">
        <f>IF(13&gt;=134,('Testes estatísticos'!$D$139+'Testes estatísticos'!$D$18)/2,"")</f>
        <v/>
      </c>
      <c r="O312" s="7" t="str">
        <f>IF(14&gt;=134,('Testes estatísticos'!$D$139+'Testes estatísticos'!$D$19)/2,"")</f>
        <v/>
      </c>
      <c r="P312" s="7" t="str">
        <f>IF(15&gt;=134,('Testes estatísticos'!$D$139+'Testes estatísticos'!$D$20)/2,"")</f>
        <v/>
      </c>
      <c r="Q312" s="7" t="str">
        <f>IF(16&gt;=134,('Testes estatísticos'!$D$139+'Testes estatísticos'!$D$21)/2,"")</f>
        <v/>
      </c>
      <c r="R312" s="7" t="str">
        <f>IF(17&gt;=134,('Testes estatísticos'!$D$139+'Testes estatísticos'!$D$22)/2,"")</f>
        <v/>
      </c>
      <c r="S312" s="7" t="str">
        <f>IF(18&gt;=134,('Testes estatísticos'!$D$139+'Testes estatísticos'!$D$23)/2,"")</f>
        <v/>
      </c>
      <c r="T312" s="7" t="str">
        <f>IF(19&gt;=134,('Testes estatísticos'!$D$139+'Testes estatísticos'!$D$24)/2,"")</f>
        <v/>
      </c>
      <c r="U312" s="7" t="str">
        <f>IF(20&gt;=134,('Testes estatísticos'!$D$139+'Testes estatísticos'!$D$25)/2,"")</f>
        <v/>
      </c>
      <c r="V312" s="7" t="str">
        <f>IF(21&gt;=134,('Testes estatísticos'!$D$139+'Testes estatísticos'!$D$26)/2,"")</f>
        <v/>
      </c>
      <c r="W312" s="7" t="str">
        <f>IF(22&gt;=134,('Testes estatísticos'!$D$139+'Testes estatísticos'!$D$27)/2,"")</f>
        <v/>
      </c>
      <c r="X312" s="7" t="str">
        <f>IF(23&gt;=134,('Testes estatísticos'!$D$139+'Testes estatísticos'!$D$28)/2,"")</f>
        <v/>
      </c>
      <c r="Y312" s="7" t="str">
        <f>IF(24&gt;=134,('Testes estatísticos'!$D$139+'Testes estatísticos'!$D$29)/2,"")</f>
        <v/>
      </c>
      <c r="Z312" s="7" t="str">
        <f>IF(25&gt;=134,('Testes estatísticos'!$D$139+'Testes estatísticos'!$D$30)/2,"")</f>
        <v/>
      </c>
      <c r="AA312" s="7" t="str">
        <f>IF(26&gt;=134,('Testes estatísticos'!$D$139+'Testes estatísticos'!$D$31)/2,"")</f>
        <v/>
      </c>
      <c r="AB312" s="7" t="str">
        <f>IF(27&gt;=134,('Testes estatísticos'!$D$139+'Testes estatísticos'!$D$32)/2,"")</f>
        <v/>
      </c>
      <c r="AC312" s="7" t="str">
        <f>IF(28&gt;=134,('Testes estatísticos'!$D$139+'Testes estatísticos'!$D$33)/2,"")</f>
        <v/>
      </c>
      <c r="AD312" s="7" t="str">
        <f>IF(29&gt;=134,('Testes estatísticos'!$D$139+'Testes estatísticos'!$D$34)/2,"")</f>
        <v/>
      </c>
      <c r="AE312" s="7" t="str">
        <f>IF(30&gt;=134,('Testes estatísticos'!$D$139+'Testes estatísticos'!$D$35)/2,"")</f>
        <v/>
      </c>
      <c r="AF312" s="7" t="str">
        <f>IF(31&gt;=134,('Testes estatísticos'!$D$139+'Testes estatísticos'!$D$36)/2,"")</f>
        <v/>
      </c>
      <c r="AG312" s="7" t="str">
        <f>IF(32&gt;=134,('Testes estatísticos'!$D$139+'Testes estatísticos'!$D$37)/2,"")</f>
        <v/>
      </c>
      <c r="AH312" s="7" t="str">
        <f>IF(33&gt;=134,('Testes estatísticos'!$D$139+'Testes estatísticos'!$D$38)/2,"")</f>
        <v/>
      </c>
      <c r="AI312" s="7" t="str">
        <f>IF(34&gt;=134,('Testes estatísticos'!$D$139+'Testes estatísticos'!$D$39)/2,"")</f>
        <v/>
      </c>
      <c r="AJ312" s="7" t="str">
        <f>IF(35&gt;=134,('Testes estatísticos'!$D$139+'Testes estatísticos'!$D$40)/2,"")</f>
        <v/>
      </c>
      <c r="AK312" s="7" t="str">
        <f>IF(36&gt;=134,('Testes estatísticos'!$D$139+'Testes estatísticos'!$D$41)/2,"")</f>
        <v/>
      </c>
      <c r="AL312" s="7" t="str">
        <f>IF(37&gt;=134,('Testes estatísticos'!$D$139+'Testes estatísticos'!$D$42)/2,"")</f>
        <v/>
      </c>
      <c r="AM312" s="7" t="str">
        <f>IF(38&gt;=134,('Testes estatísticos'!$D$139+'Testes estatísticos'!$D$43)/2,"")</f>
        <v/>
      </c>
      <c r="AN312" s="7" t="str">
        <f>IF(39&gt;=134,('Testes estatísticos'!$D$139+'Testes estatísticos'!$D$44)/2,"")</f>
        <v/>
      </c>
      <c r="AO312" s="7" t="str">
        <f>IF(40&gt;=134,('Testes estatísticos'!$D$139+'Testes estatísticos'!$D$45)/2,"")</f>
        <v/>
      </c>
      <c r="AP312" s="7" t="str">
        <f>IF(41&gt;=134,('Testes estatísticos'!$D$139+'Testes estatísticos'!$D$46)/2,"")</f>
        <v/>
      </c>
      <c r="AQ312" s="7" t="str">
        <f>IF(42&gt;=134,('Testes estatísticos'!$D$139+'Testes estatísticos'!$D$47)/2,"")</f>
        <v/>
      </c>
      <c r="AR312" s="7" t="str">
        <f>IF(43&gt;=134,('Testes estatísticos'!$D$139+'Testes estatísticos'!$D$48)/2,"")</f>
        <v/>
      </c>
      <c r="AS312" s="7" t="str">
        <f>IF(44&gt;=134,('Testes estatísticos'!$D$139+'Testes estatísticos'!$D$49)/2,"")</f>
        <v/>
      </c>
      <c r="AT312" s="7" t="str">
        <f>IF(45&gt;=134,('Testes estatísticos'!$D$139+'Testes estatísticos'!$D$50)/2,"")</f>
        <v/>
      </c>
      <c r="AU312" s="7" t="str">
        <f>IF(46&gt;=134,('Testes estatísticos'!$D$139+'Testes estatísticos'!$D$51)/2,"")</f>
        <v/>
      </c>
      <c r="AV312" s="7" t="str">
        <f>IF(47&gt;=134,('Testes estatísticos'!$D$139+'Testes estatísticos'!$D$52)/2,"")</f>
        <v/>
      </c>
      <c r="AW312" s="7" t="str">
        <f>IF(48&gt;=134,('Testes estatísticos'!$D$139+'Testes estatísticos'!$D$53)/2,"")</f>
        <v/>
      </c>
      <c r="AX312" s="7" t="str">
        <f>IF(49&gt;=134,('Testes estatísticos'!$D$139+'Testes estatísticos'!$D$54)/2,"")</f>
        <v/>
      </c>
      <c r="AY312" s="7" t="str">
        <f>IF(50&gt;=134,('Testes estatísticos'!$D$139+'Testes estatísticos'!$D$55)/2,"")</f>
        <v/>
      </c>
      <c r="AZ312" s="7" t="str">
        <f>IF(51&gt;=134,('Testes estatísticos'!$D$139+'Testes estatísticos'!$D$56)/2,"")</f>
        <v/>
      </c>
      <c r="BA312" s="7" t="str">
        <f>IF(52&gt;=134,('Testes estatísticos'!$D$139+'Testes estatísticos'!$D$57)/2,"")</f>
        <v/>
      </c>
      <c r="BB312" s="7" t="str">
        <f>IF(53&gt;=134,('Testes estatísticos'!$D$139+'Testes estatísticos'!$D$58)/2,"")</f>
        <v/>
      </c>
      <c r="BC312" s="7" t="str">
        <f>IF(54&gt;=134,('Testes estatísticos'!$D$139+'Testes estatísticos'!$D$59)/2,"")</f>
        <v/>
      </c>
      <c r="BD312" s="7" t="str">
        <f>IF(55&gt;=134,('Testes estatísticos'!$D$139+'Testes estatísticos'!$D$60)/2,"")</f>
        <v/>
      </c>
      <c r="BE312" s="7" t="str">
        <f>IF(56&gt;=134,('Testes estatísticos'!$D$139+'Testes estatísticos'!$D$61)/2,"")</f>
        <v/>
      </c>
      <c r="BF312" s="7" t="str">
        <f>IF(57&gt;=134,('Testes estatísticos'!$D$139+'Testes estatísticos'!$D$62)/2,"")</f>
        <v/>
      </c>
      <c r="BG312" s="7" t="str">
        <f>IF(58&gt;=134,('Testes estatísticos'!$D$139+'Testes estatísticos'!$D$63)/2,"")</f>
        <v/>
      </c>
      <c r="BH312" s="7" t="str">
        <f>IF(59&gt;=134,('Testes estatísticos'!$D$139+'Testes estatísticos'!$D$64)/2,"")</f>
        <v/>
      </c>
      <c r="BI312" s="7" t="str">
        <f>IF(60&gt;=134,('Testes estatísticos'!$D$139+'Testes estatísticos'!$D$65)/2,"")</f>
        <v/>
      </c>
      <c r="BJ312" s="7" t="str">
        <f>IF(61&gt;=134,('Testes estatísticos'!$D$139+'Testes estatísticos'!$D$66)/2,"")</f>
        <v/>
      </c>
      <c r="BK312" s="7" t="str">
        <f>IF(62&gt;=134,('Testes estatísticos'!$D$139+'Testes estatísticos'!$D$67)/2,"")</f>
        <v/>
      </c>
      <c r="BL312" s="7" t="str">
        <f>IF(63&gt;=134,('Testes estatísticos'!$D$139+'Testes estatísticos'!$D$68)/2,"")</f>
        <v/>
      </c>
      <c r="BM312" s="7" t="str">
        <f>IF(64&gt;=134,('Testes estatísticos'!$D$139+'Testes estatísticos'!$D$69)/2,"")</f>
        <v/>
      </c>
      <c r="BN312" s="7" t="str">
        <f>IF(65&gt;=134,('Testes estatísticos'!$D$139+'Testes estatísticos'!$D$70)/2,"")</f>
        <v/>
      </c>
      <c r="BO312" s="7" t="str">
        <f>IF(66&gt;=134,('Testes estatísticos'!$D$139+'Testes estatísticos'!$D$71)/2,"")</f>
        <v/>
      </c>
      <c r="BP312" s="7" t="str">
        <f>IF(67&gt;=134,('Testes estatísticos'!$D$139+'Testes estatísticos'!$D$72)/2,"")</f>
        <v/>
      </c>
      <c r="BQ312" s="7" t="str">
        <f>IF(68&gt;=134,('Testes estatísticos'!$D$139+'Testes estatísticos'!$D$73)/2,"")</f>
        <v/>
      </c>
      <c r="BR312" s="7" t="str">
        <f>IF(69&gt;=134,('Testes estatísticos'!$D$139+'Testes estatísticos'!$D$74)/2,"")</f>
        <v/>
      </c>
      <c r="BS312" s="7" t="str">
        <f>IF(70&gt;=134,('Testes estatísticos'!$D$139+'Testes estatísticos'!$D$75)/2,"")</f>
        <v/>
      </c>
      <c r="BT312" s="7" t="str">
        <f>IF(71&gt;=134,('Testes estatísticos'!$D$139+'Testes estatísticos'!$D$76)/2,"")</f>
        <v/>
      </c>
      <c r="BU312" s="7" t="str">
        <f>IF(72&gt;=134,('Testes estatísticos'!$D$139+'Testes estatísticos'!$D$77)/2,"")</f>
        <v/>
      </c>
      <c r="BV312" s="7" t="str">
        <f>IF(73&gt;=134,('Testes estatísticos'!$D$139+'Testes estatísticos'!$D$78)/2,"")</f>
        <v/>
      </c>
      <c r="BW312" s="7" t="str">
        <f>IF(74&gt;=134,('Testes estatísticos'!$D$139+'Testes estatísticos'!$D$79)/2,"")</f>
        <v/>
      </c>
      <c r="BX312" s="7" t="str">
        <f>IF(75&gt;=134,('Testes estatísticos'!$D$139+'Testes estatísticos'!$D$80)/2,"")</f>
        <v/>
      </c>
      <c r="BY312" s="7" t="str">
        <f>IF(76&gt;=134,('Testes estatísticos'!$D$139+'Testes estatísticos'!$D$81)/2,"")</f>
        <v/>
      </c>
      <c r="BZ312" s="7" t="str">
        <f>IF(77&gt;=134,('Testes estatísticos'!$D$139+'Testes estatísticos'!$D$82)/2,"")</f>
        <v/>
      </c>
      <c r="CA312" s="7" t="str">
        <f>IF(78&gt;=134,('Testes estatísticos'!$D$139+'Testes estatísticos'!$D$83)/2,"")</f>
        <v/>
      </c>
      <c r="CB312" s="7" t="str">
        <f>IF(79&gt;=134,('Testes estatísticos'!$D$139+'Testes estatísticos'!$D$84)/2,"")</f>
        <v/>
      </c>
      <c r="CC312" s="7" t="str">
        <f>IF(80&gt;=134,('Testes estatísticos'!$D$139+'Testes estatísticos'!$D$85)/2,"")</f>
        <v/>
      </c>
      <c r="CD312" s="7" t="str">
        <f>IF(81&gt;=134,('Testes estatísticos'!$D$139+'Testes estatísticos'!$D$86)/2,"")</f>
        <v/>
      </c>
      <c r="CE312" s="7" t="str">
        <f>IF(82&gt;=134,('Testes estatísticos'!$D$139+'Testes estatísticos'!$D$87)/2,"")</f>
        <v/>
      </c>
      <c r="CF312" s="7" t="str">
        <f>IF(83&gt;=134,('Testes estatísticos'!$D$139+'Testes estatísticos'!$D$88)/2,"")</f>
        <v/>
      </c>
      <c r="CG312" s="7" t="str">
        <f>IF(84&gt;=134,('Testes estatísticos'!$D$139+'Testes estatísticos'!$D$89)/2,"")</f>
        <v/>
      </c>
      <c r="CH312" s="7" t="str">
        <f>IF(85&gt;=134,('Testes estatísticos'!$D$139+'Testes estatísticos'!$D$90)/2,"")</f>
        <v/>
      </c>
      <c r="CI312" s="7" t="str">
        <f>IF(86&gt;=134,('Testes estatísticos'!$D$139+'Testes estatísticos'!$D$91)/2,"")</f>
        <v/>
      </c>
      <c r="CJ312" s="7" t="str">
        <f>IF(87&gt;=134,('Testes estatísticos'!$D$139+'Testes estatísticos'!$D$92)/2,"")</f>
        <v/>
      </c>
      <c r="CK312" s="7" t="str">
        <f>IF(88&gt;=134,('Testes estatísticos'!$D$139+'Testes estatísticos'!$D$93)/2,"")</f>
        <v/>
      </c>
      <c r="CL312" s="7" t="str">
        <f>IF(89&gt;=134,('Testes estatísticos'!$D$139+'Testes estatísticos'!$D$94)/2,"")</f>
        <v/>
      </c>
      <c r="CM312" s="7" t="str">
        <f>IF(90&gt;=134,('Testes estatísticos'!$D$139+'Testes estatísticos'!$D$95)/2,"")</f>
        <v/>
      </c>
      <c r="CN312" s="7" t="str">
        <f>IF(91&gt;=134,('Testes estatísticos'!$D$139+'Testes estatísticos'!$D$96)/2,"")</f>
        <v/>
      </c>
      <c r="CO312" s="7" t="str">
        <f>IF(92&gt;=134,('Testes estatísticos'!$D$139+'Testes estatísticos'!$D$97)/2,"")</f>
        <v/>
      </c>
      <c r="CP312" s="7" t="str">
        <f>IF(93&gt;=134,('Testes estatísticos'!$D$139+'Testes estatísticos'!$D$98)/2,"")</f>
        <v/>
      </c>
      <c r="CQ312" s="7" t="str">
        <f>IF(94&gt;=134,('Testes estatísticos'!$D$139+'Testes estatísticos'!$D$99)/2,"")</f>
        <v/>
      </c>
      <c r="CR312" s="7" t="str">
        <f>IF(95&gt;=134,('Testes estatísticos'!$D$139+'Testes estatísticos'!$D$100)/2,"")</f>
        <v/>
      </c>
      <c r="CS312" s="7" t="str">
        <f>IF(96&gt;=134,('Testes estatísticos'!$D$139+'Testes estatísticos'!$D$101)/2,"")</f>
        <v/>
      </c>
      <c r="CT312" s="7" t="str">
        <f>IF(97&gt;=134,('Testes estatísticos'!$D$139+'Testes estatísticos'!$D$102)/2,"")</f>
        <v/>
      </c>
      <c r="CU312" s="7" t="str">
        <f>IF(98&gt;=134,('Testes estatísticos'!$D$139+'Testes estatísticos'!$D$103)/2,"")</f>
        <v/>
      </c>
      <c r="CV312" s="7" t="str">
        <f>IF(99&gt;=134,('Testes estatísticos'!$D$139+'Testes estatísticos'!$D$104)/2,"")</f>
        <v/>
      </c>
      <c r="CW312" s="7" t="str">
        <f>IF(100&gt;=134,('Testes estatísticos'!$D$139+'Testes estatísticos'!$D$105)/2,"")</f>
        <v/>
      </c>
      <c r="CX312" s="7" t="str">
        <f>IF(101&gt;=134,('Testes estatísticos'!$D$139+'Testes estatísticos'!$D$106)/2,"")</f>
        <v/>
      </c>
      <c r="CY312" s="7" t="str">
        <f>IF(102&gt;=134,('Testes estatísticos'!$D$139+'Testes estatísticos'!$D$107)/2,"")</f>
        <v/>
      </c>
      <c r="CZ312" s="7" t="str">
        <f>IF(103&gt;=134,('Testes estatísticos'!$D$139+'Testes estatísticos'!$D$108)/2,"")</f>
        <v/>
      </c>
      <c r="DA312" s="7" t="str">
        <f>IF(104&gt;=134,('Testes estatísticos'!$D$139+'Testes estatísticos'!$D$109)/2,"")</f>
        <v/>
      </c>
      <c r="DB312" s="7" t="str">
        <f>IF(105&gt;=134,('Testes estatísticos'!$D$139+'Testes estatísticos'!$D$110)/2,"")</f>
        <v/>
      </c>
      <c r="DC312" s="7" t="str">
        <f>IF(106&gt;=134,('Testes estatísticos'!$D$139+'Testes estatísticos'!$D$111)/2,"")</f>
        <v/>
      </c>
      <c r="DD312" s="7" t="str">
        <f>IF(107&gt;=134,('Testes estatísticos'!$D$139+'Testes estatísticos'!$D$112)/2,"")</f>
        <v/>
      </c>
      <c r="DE312" s="7" t="str">
        <f>IF(108&gt;=134,('Testes estatísticos'!$D$139+'Testes estatísticos'!$D$113)/2,"")</f>
        <v/>
      </c>
      <c r="DF312" s="7" t="str">
        <f>IF(109&gt;=134,('Testes estatísticos'!$D$139+'Testes estatísticos'!$D$114)/2,"")</f>
        <v/>
      </c>
      <c r="DG312" s="7" t="str">
        <f>IF(110&gt;=134,('Testes estatísticos'!$D$139+'Testes estatísticos'!$D$115)/2,"")</f>
        <v/>
      </c>
      <c r="DH312" s="7" t="str">
        <f>IF(111&gt;=134,('Testes estatísticos'!$D$139+'Testes estatísticos'!$D$116)/2,"")</f>
        <v/>
      </c>
      <c r="DI312" s="7" t="str">
        <f>IF(112&gt;=134,('Testes estatísticos'!$D$139+'Testes estatísticos'!$D$117)/2,"")</f>
        <v/>
      </c>
      <c r="DJ312" s="7" t="str">
        <f>IF(113&gt;=134,('Testes estatísticos'!$D$139+'Testes estatísticos'!$D$118)/2,"")</f>
        <v/>
      </c>
      <c r="DK312" s="7" t="str">
        <f>IF(114&gt;=134,('Testes estatísticos'!$D$139+'Testes estatísticos'!$D$119)/2,"")</f>
        <v/>
      </c>
      <c r="DL312" s="7" t="str">
        <f>IF(115&gt;=134,('Testes estatísticos'!$D$139+'Testes estatísticos'!$D$120)/2,"")</f>
        <v/>
      </c>
      <c r="DM312" s="7" t="str">
        <f>IF(116&gt;=134,('Testes estatísticos'!$D$139+'Testes estatísticos'!$D$121)/2,"")</f>
        <v/>
      </c>
      <c r="DN312" s="7" t="str">
        <f>IF(117&gt;=134,('Testes estatísticos'!$D$139+'Testes estatísticos'!$D$122)/2,"")</f>
        <v/>
      </c>
      <c r="DO312" s="7" t="str">
        <f>IF(118&gt;=134,('Testes estatísticos'!$D$139+'Testes estatísticos'!$D$123)/2,"")</f>
        <v/>
      </c>
      <c r="DP312" s="7" t="str">
        <f>IF(119&gt;=134,('Testes estatísticos'!$D$139+'Testes estatísticos'!$D$124)/2,"")</f>
        <v/>
      </c>
      <c r="DQ312" s="7" t="str">
        <f>IF(120&gt;=134,('Testes estatísticos'!$D$139+'Testes estatísticos'!$D$125)/2,"")</f>
        <v/>
      </c>
      <c r="DR312" s="7" t="str">
        <f>IF(121&gt;=134,('Testes estatísticos'!$D$139+'Testes estatísticos'!$D$126)/2,"")</f>
        <v/>
      </c>
      <c r="DS312" s="7" t="str">
        <f>IF(122&gt;=134,('Testes estatísticos'!$D$139+'Testes estatísticos'!$D$127)/2,"")</f>
        <v/>
      </c>
      <c r="DT312" s="7" t="str">
        <f>IF(123&gt;=134,('Testes estatísticos'!$D$139+'Testes estatísticos'!$D$128)/2,"")</f>
        <v/>
      </c>
      <c r="DU312" s="7" t="str">
        <f>IF(124&gt;=134,('Testes estatísticos'!$D$139+'Testes estatísticos'!$D$129)/2,"")</f>
        <v/>
      </c>
      <c r="DV312" s="7" t="str">
        <f>IF(125&gt;=134,('Testes estatísticos'!$D$139+'Testes estatísticos'!$D$130)/2,"")</f>
        <v/>
      </c>
      <c r="DW312" s="7" t="str">
        <f>IF(126&gt;=134,('Testes estatísticos'!$D$139+'Testes estatísticos'!$D$131)/2,"")</f>
        <v/>
      </c>
      <c r="DX312" s="7" t="str">
        <f>IF(127&gt;=134,('Testes estatísticos'!$D$139+'Testes estatísticos'!$D$132)/2,"")</f>
        <v/>
      </c>
      <c r="DY312" s="7" t="str">
        <f>IF(128&gt;=134,('Testes estatísticos'!$D$139+'Testes estatísticos'!$D$133)/2,"")</f>
        <v/>
      </c>
      <c r="DZ312" s="7" t="str">
        <f>IF(129&gt;=134,('Testes estatísticos'!$D$139+'Testes estatísticos'!$D$134)/2,"")</f>
        <v/>
      </c>
      <c r="EA312" s="7" t="str">
        <f>IF(130&gt;=134,('Testes estatísticos'!$D$139+'Testes estatísticos'!$D$135)/2,"")</f>
        <v/>
      </c>
      <c r="EB312" s="7" t="str">
        <f>IF(131&gt;=134,('Testes estatísticos'!$D$139+'Testes estatísticos'!$D$136)/2,"")</f>
        <v/>
      </c>
      <c r="EC312" s="7" t="str">
        <f>IF(132&gt;=134,('Testes estatísticos'!$D$139+'Testes estatísticos'!$D$137)/2,"")</f>
        <v/>
      </c>
      <c r="ED312" s="7" t="str">
        <f>IF(133&gt;=134,('Testes estatísticos'!$D$139+'Testes estatísticos'!$D$138)/2,"")</f>
        <v/>
      </c>
      <c r="EE312" s="7">
        <f>IF(134&gt;=134,('Testes estatísticos'!$D$139+'Testes estatísticos'!$D$139)/2,"")</f>
        <v>-6.9076490000000064</v>
      </c>
      <c r="EF312" s="7">
        <f>IF(135&gt;=134,('Testes estatísticos'!$D$139+'Testes estatísticos'!$D$140)/2,"")</f>
        <v>-3.6932165000000019</v>
      </c>
      <c r="EG312" s="7">
        <f>IF(136&gt;=134,('Testes estatísticos'!$D$139+'Testes estatísticos'!$D$141)/2,"")</f>
        <v>-5.3867065000000061</v>
      </c>
      <c r="EH312" s="7">
        <f>IF(137&gt;=134,('Testes estatísticos'!$D$139+'Testes estatísticos'!$D$142)/2,"")</f>
        <v>-3.681966500000005</v>
      </c>
      <c r="EI312" s="7">
        <f>IF(138&gt;=134,('Testes estatísticos'!$D$139+'Testes estatísticos'!$D$143)/2,"")</f>
        <v>-5.3469820000000006</v>
      </c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</row>
    <row r="313" spans="2:151" x14ac:dyDescent="0.3">
      <c r="B313" s="7" t="str">
        <f>IF(1&gt;=135,('Testes estatísticos'!$D$140+'Testes estatísticos'!$D$6)/2,"")</f>
        <v/>
      </c>
      <c r="C313" s="7" t="str">
        <f>IF(2&gt;=135,('Testes estatísticos'!$D$140+'Testes estatísticos'!$D$7)/2,"")</f>
        <v/>
      </c>
      <c r="D313" s="7" t="str">
        <f>IF(3&gt;=135,('Testes estatísticos'!$D$140+'Testes estatísticos'!$D$8)/2,"")</f>
        <v/>
      </c>
      <c r="E313" s="7" t="str">
        <f>IF(4&gt;=135,('Testes estatísticos'!$D$140+'Testes estatísticos'!$D$9)/2,"")</f>
        <v/>
      </c>
      <c r="F313" s="7" t="str">
        <f>IF(5&gt;=135,('Testes estatísticos'!$D$140+'Testes estatísticos'!$D$10)/2,"")</f>
        <v/>
      </c>
      <c r="G313" s="7" t="str">
        <f>IF(6&gt;=135,('Testes estatísticos'!$D$140+'Testes estatísticos'!$D$11)/2,"")</f>
        <v/>
      </c>
      <c r="H313" s="7" t="str">
        <f>IF(7&gt;=135,('Testes estatísticos'!$D$140+'Testes estatísticos'!$D$12)/2,"")</f>
        <v/>
      </c>
      <c r="I313" s="7" t="str">
        <f>IF(8&gt;=135,('Testes estatísticos'!$D$140+'Testes estatísticos'!$D$13)/2,"")</f>
        <v/>
      </c>
      <c r="J313" s="7" t="str">
        <f>IF(9&gt;=135,('Testes estatísticos'!$D$140+'Testes estatísticos'!$D$14)/2,"")</f>
        <v/>
      </c>
      <c r="K313" s="7" t="str">
        <f>IF(10&gt;=135,('Testes estatísticos'!$D$140+'Testes estatísticos'!$D$15)/2,"")</f>
        <v/>
      </c>
      <c r="L313" s="7" t="str">
        <f>IF(11&gt;=135,('Testes estatísticos'!$D$140+'Testes estatísticos'!$D$16)/2,"")</f>
        <v/>
      </c>
      <c r="M313" s="7" t="str">
        <f>IF(12&gt;=135,('Testes estatísticos'!$D$140+'Testes estatísticos'!$D$17)/2,"")</f>
        <v/>
      </c>
      <c r="N313" s="7" t="str">
        <f>IF(13&gt;=135,('Testes estatísticos'!$D$140+'Testes estatísticos'!$D$18)/2,"")</f>
        <v/>
      </c>
      <c r="O313" s="7" t="str">
        <f>IF(14&gt;=135,('Testes estatísticos'!$D$140+'Testes estatísticos'!$D$19)/2,"")</f>
        <v/>
      </c>
      <c r="P313" s="7" t="str">
        <f>IF(15&gt;=135,('Testes estatísticos'!$D$140+'Testes estatísticos'!$D$20)/2,"")</f>
        <v/>
      </c>
      <c r="Q313" s="7" t="str">
        <f>IF(16&gt;=135,('Testes estatísticos'!$D$140+'Testes estatísticos'!$D$21)/2,"")</f>
        <v/>
      </c>
      <c r="R313" s="7" t="str">
        <f>IF(17&gt;=135,('Testes estatísticos'!$D$140+'Testes estatísticos'!$D$22)/2,"")</f>
        <v/>
      </c>
      <c r="S313" s="7" t="str">
        <f>IF(18&gt;=135,('Testes estatísticos'!$D$140+'Testes estatísticos'!$D$23)/2,"")</f>
        <v/>
      </c>
      <c r="T313" s="7" t="str">
        <f>IF(19&gt;=135,('Testes estatísticos'!$D$140+'Testes estatísticos'!$D$24)/2,"")</f>
        <v/>
      </c>
      <c r="U313" s="7" t="str">
        <f>IF(20&gt;=135,('Testes estatísticos'!$D$140+'Testes estatísticos'!$D$25)/2,"")</f>
        <v/>
      </c>
      <c r="V313" s="7" t="str">
        <f>IF(21&gt;=135,('Testes estatísticos'!$D$140+'Testes estatísticos'!$D$26)/2,"")</f>
        <v/>
      </c>
      <c r="W313" s="7" t="str">
        <f>IF(22&gt;=135,('Testes estatísticos'!$D$140+'Testes estatísticos'!$D$27)/2,"")</f>
        <v/>
      </c>
      <c r="X313" s="7" t="str">
        <f>IF(23&gt;=135,('Testes estatísticos'!$D$140+'Testes estatísticos'!$D$28)/2,"")</f>
        <v/>
      </c>
      <c r="Y313" s="7" t="str">
        <f>IF(24&gt;=135,('Testes estatísticos'!$D$140+'Testes estatísticos'!$D$29)/2,"")</f>
        <v/>
      </c>
      <c r="Z313" s="7" t="str">
        <f>IF(25&gt;=135,('Testes estatísticos'!$D$140+'Testes estatísticos'!$D$30)/2,"")</f>
        <v/>
      </c>
      <c r="AA313" s="7" t="str">
        <f>IF(26&gt;=135,('Testes estatísticos'!$D$140+'Testes estatísticos'!$D$31)/2,"")</f>
        <v/>
      </c>
      <c r="AB313" s="7" t="str">
        <f>IF(27&gt;=135,('Testes estatísticos'!$D$140+'Testes estatísticos'!$D$32)/2,"")</f>
        <v/>
      </c>
      <c r="AC313" s="7" t="str">
        <f>IF(28&gt;=135,('Testes estatísticos'!$D$140+'Testes estatísticos'!$D$33)/2,"")</f>
        <v/>
      </c>
      <c r="AD313" s="7" t="str">
        <f>IF(29&gt;=135,('Testes estatísticos'!$D$140+'Testes estatísticos'!$D$34)/2,"")</f>
        <v/>
      </c>
      <c r="AE313" s="7" t="str">
        <f>IF(30&gt;=135,('Testes estatísticos'!$D$140+'Testes estatísticos'!$D$35)/2,"")</f>
        <v/>
      </c>
      <c r="AF313" s="7" t="str">
        <f>IF(31&gt;=135,('Testes estatísticos'!$D$140+'Testes estatísticos'!$D$36)/2,"")</f>
        <v/>
      </c>
      <c r="AG313" s="7" t="str">
        <f>IF(32&gt;=135,('Testes estatísticos'!$D$140+'Testes estatísticos'!$D$37)/2,"")</f>
        <v/>
      </c>
      <c r="AH313" s="7" t="str">
        <f>IF(33&gt;=135,('Testes estatísticos'!$D$140+'Testes estatísticos'!$D$38)/2,"")</f>
        <v/>
      </c>
      <c r="AI313" s="7" t="str">
        <f>IF(34&gt;=135,('Testes estatísticos'!$D$140+'Testes estatísticos'!$D$39)/2,"")</f>
        <v/>
      </c>
      <c r="AJ313" s="7" t="str">
        <f>IF(35&gt;=135,('Testes estatísticos'!$D$140+'Testes estatísticos'!$D$40)/2,"")</f>
        <v/>
      </c>
      <c r="AK313" s="7" t="str">
        <f>IF(36&gt;=135,('Testes estatísticos'!$D$140+'Testes estatísticos'!$D$41)/2,"")</f>
        <v/>
      </c>
      <c r="AL313" s="7" t="str">
        <f>IF(37&gt;=135,('Testes estatísticos'!$D$140+'Testes estatísticos'!$D$42)/2,"")</f>
        <v/>
      </c>
      <c r="AM313" s="7" t="str">
        <f>IF(38&gt;=135,('Testes estatísticos'!$D$140+'Testes estatísticos'!$D$43)/2,"")</f>
        <v/>
      </c>
      <c r="AN313" s="7" t="str">
        <f>IF(39&gt;=135,('Testes estatísticos'!$D$140+'Testes estatísticos'!$D$44)/2,"")</f>
        <v/>
      </c>
      <c r="AO313" s="7" t="str">
        <f>IF(40&gt;=135,('Testes estatísticos'!$D$140+'Testes estatísticos'!$D$45)/2,"")</f>
        <v/>
      </c>
      <c r="AP313" s="7" t="str">
        <f>IF(41&gt;=135,('Testes estatísticos'!$D$140+'Testes estatísticos'!$D$46)/2,"")</f>
        <v/>
      </c>
      <c r="AQ313" s="7" t="str">
        <f>IF(42&gt;=135,('Testes estatísticos'!$D$140+'Testes estatísticos'!$D$47)/2,"")</f>
        <v/>
      </c>
      <c r="AR313" s="7" t="str">
        <f>IF(43&gt;=135,('Testes estatísticos'!$D$140+'Testes estatísticos'!$D$48)/2,"")</f>
        <v/>
      </c>
      <c r="AS313" s="7" t="str">
        <f>IF(44&gt;=135,('Testes estatísticos'!$D$140+'Testes estatísticos'!$D$49)/2,"")</f>
        <v/>
      </c>
      <c r="AT313" s="7" t="str">
        <f>IF(45&gt;=135,('Testes estatísticos'!$D$140+'Testes estatísticos'!$D$50)/2,"")</f>
        <v/>
      </c>
      <c r="AU313" s="7" t="str">
        <f>IF(46&gt;=135,('Testes estatísticos'!$D$140+'Testes estatísticos'!$D$51)/2,"")</f>
        <v/>
      </c>
      <c r="AV313" s="7" t="str">
        <f>IF(47&gt;=135,('Testes estatísticos'!$D$140+'Testes estatísticos'!$D$52)/2,"")</f>
        <v/>
      </c>
      <c r="AW313" s="7" t="str">
        <f>IF(48&gt;=135,('Testes estatísticos'!$D$140+'Testes estatísticos'!$D$53)/2,"")</f>
        <v/>
      </c>
      <c r="AX313" s="7" t="str">
        <f>IF(49&gt;=135,('Testes estatísticos'!$D$140+'Testes estatísticos'!$D$54)/2,"")</f>
        <v/>
      </c>
      <c r="AY313" s="7" t="str">
        <f>IF(50&gt;=135,('Testes estatísticos'!$D$140+'Testes estatísticos'!$D$55)/2,"")</f>
        <v/>
      </c>
      <c r="AZ313" s="7" t="str">
        <f>IF(51&gt;=135,('Testes estatísticos'!$D$140+'Testes estatísticos'!$D$56)/2,"")</f>
        <v/>
      </c>
      <c r="BA313" s="7" t="str">
        <f>IF(52&gt;=135,('Testes estatísticos'!$D$140+'Testes estatísticos'!$D$57)/2,"")</f>
        <v/>
      </c>
      <c r="BB313" s="7" t="str">
        <f>IF(53&gt;=135,('Testes estatísticos'!$D$140+'Testes estatísticos'!$D$58)/2,"")</f>
        <v/>
      </c>
      <c r="BC313" s="7" t="str">
        <f>IF(54&gt;=135,('Testes estatísticos'!$D$140+'Testes estatísticos'!$D$59)/2,"")</f>
        <v/>
      </c>
      <c r="BD313" s="7" t="str">
        <f>IF(55&gt;=135,('Testes estatísticos'!$D$140+'Testes estatísticos'!$D$60)/2,"")</f>
        <v/>
      </c>
      <c r="BE313" s="7" t="str">
        <f>IF(56&gt;=135,('Testes estatísticos'!$D$140+'Testes estatísticos'!$D$61)/2,"")</f>
        <v/>
      </c>
      <c r="BF313" s="7" t="str">
        <f>IF(57&gt;=135,('Testes estatísticos'!$D$140+'Testes estatísticos'!$D$62)/2,"")</f>
        <v/>
      </c>
      <c r="BG313" s="7" t="str">
        <f>IF(58&gt;=135,('Testes estatísticos'!$D$140+'Testes estatísticos'!$D$63)/2,"")</f>
        <v/>
      </c>
      <c r="BH313" s="7" t="str">
        <f>IF(59&gt;=135,('Testes estatísticos'!$D$140+'Testes estatísticos'!$D$64)/2,"")</f>
        <v/>
      </c>
      <c r="BI313" s="7" t="str">
        <f>IF(60&gt;=135,('Testes estatísticos'!$D$140+'Testes estatísticos'!$D$65)/2,"")</f>
        <v/>
      </c>
      <c r="BJ313" s="7" t="str">
        <f>IF(61&gt;=135,('Testes estatísticos'!$D$140+'Testes estatísticos'!$D$66)/2,"")</f>
        <v/>
      </c>
      <c r="BK313" s="7" t="str">
        <f>IF(62&gt;=135,('Testes estatísticos'!$D$140+'Testes estatísticos'!$D$67)/2,"")</f>
        <v/>
      </c>
      <c r="BL313" s="7" t="str">
        <f>IF(63&gt;=135,('Testes estatísticos'!$D$140+'Testes estatísticos'!$D$68)/2,"")</f>
        <v/>
      </c>
      <c r="BM313" s="7" t="str">
        <f>IF(64&gt;=135,('Testes estatísticos'!$D$140+'Testes estatísticos'!$D$69)/2,"")</f>
        <v/>
      </c>
      <c r="BN313" s="7" t="str">
        <f>IF(65&gt;=135,('Testes estatísticos'!$D$140+'Testes estatísticos'!$D$70)/2,"")</f>
        <v/>
      </c>
      <c r="BO313" s="7" t="str">
        <f>IF(66&gt;=135,('Testes estatísticos'!$D$140+'Testes estatísticos'!$D$71)/2,"")</f>
        <v/>
      </c>
      <c r="BP313" s="7" t="str">
        <f>IF(67&gt;=135,('Testes estatísticos'!$D$140+'Testes estatísticos'!$D$72)/2,"")</f>
        <v/>
      </c>
      <c r="BQ313" s="7" t="str">
        <f>IF(68&gt;=135,('Testes estatísticos'!$D$140+'Testes estatísticos'!$D$73)/2,"")</f>
        <v/>
      </c>
      <c r="BR313" s="7" t="str">
        <f>IF(69&gt;=135,('Testes estatísticos'!$D$140+'Testes estatísticos'!$D$74)/2,"")</f>
        <v/>
      </c>
      <c r="BS313" s="7" t="str">
        <f>IF(70&gt;=135,('Testes estatísticos'!$D$140+'Testes estatísticos'!$D$75)/2,"")</f>
        <v/>
      </c>
      <c r="BT313" s="7" t="str">
        <f>IF(71&gt;=135,('Testes estatísticos'!$D$140+'Testes estatísticos'!$D$76)/2,"")</f>
        <v/>
      </c>
      <c r="BU313" s="7" t="str">
        <f>IF(72&gt;=135,('Testes estatísticos'!$D$140+'Testes estatísticos'!$D$77)/2,"")</f>
        <v/>
      </c>
      <c r="BV313" s="7" t="str">
        <f>IF(73&gt;=135,('Testes estatísticos'!$D$140+'Testes estatísticos'!$D$78)/2,"")</f>
        <v/>
      </c>
      <c r="BW313" s="7" t="str">
        <f>IF(74&gt;=135,('Testes estatísticos'!$D$140+'Testes estatísticos'!$D$79)/2,"")</f>
        <v/>
      </c>
      <c r="BX313" s="7" t="str">
        <f>IF(75&gt;=135,('Testes estatísticos'!$D$140+'Testes estatísticos'!$D$80)/2,"")</f>
        <v/>
      </c>
      <c r="BY313" s="7" t="str">
        <f>IF(76&gt;=135,('Testes estatísticos'!$D$140+'Testes estatísticos'!$D$81)/2,"")</f>
        <v/>
      </c>
      <c r="BZ313" s="7" t="str">
        <f>IF(77&gt;=135,('Testes estatísticos'!$D$140+'Testes estatísticos'!$D$82)/2,"")</f>
        <v/>
      </c>
      <c r="CA313" s="7" t="str">
        <f>IF(78&gt;=135,('Testes estatísticos'!$D$140+'Testes estatísticos'!$D$83)/2,"")</f>
        <v/>
      </c>
      <c r="CB313" s="7" t="str">
        <f>IF(79&gt;=135,('Testes estatísticos'!$D$140+'Testes estatísticos'!$D$84)/2,"")</f>
        <v/>
      </c>
      <c r="CC313" s="7" t="str">
        <f>IF(80&gt;=135,('Testes estatísticos'!$D$140+'Testes estatísticos'!$D$85)/2,"")</f>
        <v/>
      </c>
      <c r="CD313" s="7" t="str">
        <f>IF(81&gt;=135,('Testes estatísticos'!$D$140+'Testes estatísticos'!$D$86)/2,"")</f>
        <v/>
      </c>
      <c r="CE313" s="7" t="str">
        <f>IF(82&gt;=135,('Testes estatísticos'!$D$140+'Testes estatísticos'!$D$87)/2,"")</f>
        <v/>
      </c>
      <c r="CF313" s="7" t="str">
        <f>IF(83&gt;=135,('Testes estatísticos'!$D$140+'Testes estatísticos'!$D$88)/2,"")</f>
        <v/>
      </c>
      <c r="CG313" s="7" t="str">
        <f>IF(84&gt;=135,('Testes estatísticos'!$D$140+'Testes estatísticos'!$D$89)/2,"")</f>
        <v/>
      </c>
      <c r="CH313" s="7" t="str">
        <f>IF(85&gt;=135,('Testes estatísticos'!$D$140+'Testes estatísticos'!$D$90)/2,"")</f>
        <v/>
      </c>
      <c r="CI313" s="7" t="str">
        <f>IF(86&gt;=135,('Testes estatísticos'!$D$140+'Testes estatísticos'!$D$91)/2,"")</f>
        <v/>
      </c>
      <c r="CJ313" s="7" t="str">
        <f>IF(87&gt;=135,('Testes estatísticos'!$D$140+'Testes estatísticos'!$D$92)/2,"")</f>
        <v/>
      </c>
      <c r="CK313" s="7" t="str">
        <f>IF(88&gt;=135,('Testes estatísticos'!$D$140+'Testes estatísticos'!$D$93)/2,"")</f>
        <v/>
      </c>
      <c r="CL313" s="7" t="str">
        <f>IF(89&gt;=135,('Testes estatísticos'!$D$140+'Testes estatísticos'!$D$94)/2,"")</f>
        <v/>
      </c>
      <c r="CM313" s="7" t="str">
        <f>IF(90&gt;=135,('Testes estatísticos'!$D$140+'Testes estatísticos'!$D$95)/2,"")</f>
        <v/>
      </c>
      <c r="CN313" s="7" t="str">
        <f>IF(91&gt;=135,('Testes estatísticos'!$D$140+'Testes estatísticos'!$D$96)/2,"")</f>
        <v/>
      </c>
      <c r="CO313" s="7" t="str">
        <f>IF(92&gt;=135,('Testes estatísticos'!$D$140+'Testes estatísticos'!$D$97)/2,"")</f>
        <v/>
      </c>
      <c r="CP313" s="7" t="str">
        <f>IF(93&gt;=135,('Testes estatísticos'!$D$140+'Testes estatísticos'!$D$98)/2,"")</f>
        <v/>
      </c>
      <c r="CQ313" s="7" t="str">
        <f>IF(94&gt;=135,('Testes estatísticos'!$D$140+'Testes estatísticos'!$D$99)/2,"")</f>
        <v/>
      </c>
      <c r="CR313" s="7" t="str">
        <f>IF(95&gt;=135,('Testes estatísticos'!$D$140+'Testes estatísticos'!$D$100)/2,"")</f>
        <v/>
      </c>
      <c r="CS313" s="7" t="str">
        <f>IF(96&gt;=135,('Testes estatísticos'!$D$140+'Testes estatísticos'!$D$101)/2,"")</f>
        <v/>
      </c>
      <c r="CT313" s="7" t="str">
        <f>IF(97&gt;=135,('Testes estatísticos'!$D$140+'Testes estatísticos'!$D$102)/2,"")</f>
        <v/>
      </c>
      <c r="CU313" s="7" t="str">
        <f>IF(98&gt;=135,('Testes estatísticos'!$D$140+'Testes estatísticos'!$D$103)/2,"")</f>
        <v/>
      </c>
      <c r="CV313" s="7" t="str">
        <f>IF(99&gt;=135,('Testes estatísticos'!$D$140+'Testes estatísticos'!$D$104)/2,"")</f>
        <v/>
      </c>
      <c r="CW313" s="7" t="str">
        <f>IF(100&gt;=135,('Testes estatísticos'!$D$140+'Testes estatísticos'!$D$105)/2,"")</f>
        <v/>
      </c>
      <c r="CX313" s="7" t="str">
        <f>IF(101&gt;=135,('Testes estatísticos'!$D$140+'Testes estatísticos'!$D$106)/2,"")</f>
        <v/>
      </c>
      <c r="CY313" s="7" t="str">
        <f>IF(102&gt;=135,('Testes estatísticos'!$D$140+'Testes estatísticos'!$D$107)/2,"")</f>
        <v/>
      </c>
      <c r="CZ313" s="7" t="str">
        <f>IF(103&gt;=135,('Testes estatísticos'!$D$140+'Testes estatísticos'!$D$108)/2,"")</f>
        <v/>
      </c>
      <c r="DA313" s="7" t="str">
        <f>IF(104&gt;=135,('Testes estatísticos'!$D$140+'Testes estatísticos'!$D$109)/2,"")</f>
        <v/>
      </c>
      <c r="DB313" s="7" t="str">
        <f>IF(105&gt;=135,('Testes estatísticos'!$D$140+'Testes estatísticos'!$D$110)/2,"")</f>
        <v/>
      </c>
      <c r="DC313" s="7" t="str">
        <f>IF(106&gt;=135,('Testes estatísticos'!$D$140+'Testes estatísticos'!$D$111)/2,"")</f>
        <v/>
      </c>
      <c r="DD313" s="7" t="str">
        <f>IF(107&gt;=135,('Testes estatísticos'!$D$140+'Testes estatísticos'!$D$112)/2,"")</f>
        <v/>
      </c>
      <c r="DE313" s="7" t="str">
        <f>IF(108&gt;=135,('Testes estatísticos'!$D$140+'Testes estatísticos'!$D$113)/2,"")</f>
        <v/>
      </c>
      <c r="DF313" s="7" t="str">
        <f>IF(109&gt;=135,('Testes estatísticos'!$D$140+'Testes estatísticos'!$D$114)/2,"")</f>
        <v/>
      </c>
      <c r="DG313" s="7" t="str">
        <f>IF(110&gt;=135,('Testes estatísticos'!$D$140+'Testes estatísticos'!$D$115)/2,"")</f>
        <v/>
      </c>
      <c r="DH313" s="7" t="str">
        <f>IF(111&gt;=135,('Testes estatísticos'!$D$140+'Testes estatísticos'!$D$116)/2,"")</f>
        <v/>
      </c>
      <c r="DI313" s="7" t="str">
        <f>IF(112&gt;=135,('Testes estatísticos'!$D$140+'Testes estatísticos'!$D$117)/2,"")</f>
        <v/>
      </c>
      <c r="DJ313" s="7" t="str">
        <f>IF(113&gt;=135,('Testes estatísticos'!$D$140+'Testes estatísticos'!$D$118)/2,"")</f>
        <v/>
      </c>
      <c r="DK313" s="7" t="str">
        <f>IF(114&gt;=135,('Testes estatísticos'!$D$140+'Testes estatísticos'!$D$119)/2,"")</f>
        <v/>
      </c>
      <c r="DL313" s="7" t="str">
        <f>IF(115&gt;=135,('Testes estatísticos'!$D$140+'Testes estatísticos'!$D$120)/2,"")</f>
        <v/>
      </c>
      <c r="DM313" s="7" t="str">
        <f>IF(116&gt;=135,('Testes estatísticos'!$D$140+'Testes estatísticos'!$D$121)/2,"")</f>
        <v/>
      </c>
      <c r="DN313" s="7" t="str">
        <f>IF(117&gt;=135,('Testes estatísticos'!$D$140+'Testes estatísticos'!$D$122)/2,"")</f>
        <v/>
      </c>
      <c r="DO313" s="7" t="str">
        <f>IF(118&gt;=135,('Testes estatísticos'!$D$140+'Testes estatísticos'!$D$123)/2,"")</f>
        <v/>
      </c>
      <c r="DP313" s="7" t="str">
        <f>IF(119&gt;=135,('Testes estatísticos'!$D$140+'Testes estatísticos'!$D$124)/2,"")</f>
        <v/>
      </c>
      <c r="DQ313" s="7" t="str">
        <f>IF(120&gt;=135,('Testes estatísticos'!$D$140+'Testes estatísticos'!$D$125)/2,"")</f>
        <v/>
      </c>
      <c r="DR313" s="7" t="str">
        <f>IF(121&gt;=135,('Testes estatísticos'!$D$140+'Testes estatísticos'!$D$126)/2,"")</f>
        <v/>
      </c>
      <c r="DS313" s="7" t="str">
        <f>IF(122&gt;=135,('Testes estatísticos'!$D$140+'Testes estatísticos'!$D$127)/2,"")</f>
        <v/>
      </c>
      <c r="DT313" s="7" t="str">
        <f>IF(123&gt;=135,('Testes estatísticos'!$D$140+'Testes estatísticos'!$D$128)/2,"")</f>
        <v/>
      </c>
      <c r="DU313" s="7" t="str">
        <f>IF(124&gt;=135,('Testes estatísticos'!$D$140+'Testes estatísticos'!$D$129)/2,"")</f>
        <v/>
      </c>
      <c r="DV313" s="7" t="str">
        <f>IF(125&gt;=135,('Testes estatísticos'!$D$140+'Testes estatísticos'!$D$130)/2,"")</f>
        <v/>
      </c>
      <c r="DW313" s="7" t="str">
        <f>IF(126&gt;=135,('Testes estatísticos'!$D$140+'Testes estatísticos'!$D$131)/2,"")</f>
        <v/>
      </c>
      <c r="DX313" s="7" t="str">
        <f>IF(127&gt;=135,('Testes estatísticos'!$D$140+'Testes estatísticos'!$D$132)/2,"")</f>
        <v/>
      </c>
      <c r="DY313" s="7" t="str">
        <f>IF(128&gt;=135,('Testes estatísticos'!$D$140+'Testes estatísticos'!$D$133)/2,"")</f>
        <v/>
      </c>
      <c r="DZ313" s="7" t="str">
        <f>IF(129&gt;=135,('Testes estatísticos'!$D$140+'Testes estatísticos'!$D$134)/2,"")</f>
        <v/>
      </c>
      <c r="EA313" s="7" t="str">
        <f>IF(130&gt;=135,('Testes estatísticos'!$D$140+'Testes estatísticos'!$D$135)/2,"")</f>
        <v/>
      </c>
      <c r="EB313" s="7" t="str">
        <f>IF(131&gt;=135,('Testes estatísticos'!$D$140+'Testes estatísticos'!$D$136)/2,"")</f>
        <v/>
      </c>
      <c r="EC313" s="7" t="str">
        <f>IF(132&gt;=135,('Testes estatísticos'!$D$140+'Testes estatísticos'!$D$137)/2,"")</f>
        <v/>
      </c>
      <c r="ED313" s="7" t="str">
        <f>IF(133&gt;=135,('Testes estatísticos'!$D$140+'Testes estatísticos'!$D$138)/2,"")</f>
        <v/>
      </c>
      <c r="EE313" s="7" t="str">
        <f>IF(134&gt;=135,('Testes estatísticos'!$D$140+'Testes estatísticos'!$D$139)/2,"")</f>
        <v/>
      </c>
      <c r="EF313" s="7">
        <f>IF(135&gt;=135,('Testes estatísticos'!$D$140+'Testes estatísticos'!$D$140)/2,"")</f>
        <v>-0.47878399999999743</v>
      </c>
      <c r="EG313" s="7">
        <f>IF(136&gt;=135,('Testes estatísticos'!$D$140+'Testes estatísticos'!$D$141)/2,"")</f>
        <v>-2.1722740000000016</v>
      </c>
      <c r="EH313" s="7">
        <f>IF(137&gt;=135,('Testes estatísticos'!$D$140+'Testes estatísticos'!$D$142)/2,"")</f>
        <v>-0.46753400000000056</v>
      </c>
      <c r="EI313" s="7">
        <f>IF(138&gt;=135,('Testes estatísticos'!$D$140+'Testes estatísticos'!$D$143)/2,"")</f>
        <v>-2.1325494999999961</v>
      </c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</row>
    <row r="314" spans="2:151" x14ac:dyDescent="0.3">
      <c r="B314" s="7" t="str">
        <f>IF(1&gt;=136,('Testes estatísticos'!$D$141+'Testes estatísticos'!$D$6)/2,"")</f>
        <v/>
      </c>
      <c r="C314" s="7" t="str">
        <f>IF(2&gt;=136,('Testes estatísticos'!$D$141+'Testes estatísticos'!$D$7)/2,"")</f>
        <v/>
      </c>
      <c r="D314" s="7" t="str">
        <f>IF(3&gt;=136,('Testes estatísticos'!$D$141+'Testes estatísticos'!$D$8)/2,"")</f>
        <v/>
      </c>
      <c r="E314" s="7" t="str">
        <f>IF(4&gt;=136,('Testes estatísticos'!$D$141+'Testes estatísticos'!$D$9)/2,"")</f>
        <v/>
      </c>
      <c r="F314" s="7" t="str">
        <f>IF(5&gt;=136,('Testes estatísticos'!$D$141+'Testes estatísticos'!$D$10)/2,"")</f>
        <v/>
      </c>
      <c r="G314" s="7" t="str">
        <f>IF(6&gt;=136,('Testes estatísticos'!$D$141+'Testes estatísticos'!$D$11)/2,"")</f>
        <v/>
      </c>
      <c r="H314" s="7" t="str">
        <f>IF(7&gt;=136,('Testes estatísticos'!$D$141+'Testes estatísticos'!$D$12)/2,"")</f>
        <v/>
      </c>
      <c r="I314" s="7" t="str">
        <f>IF(8&gt;=136,('Testes estatísticos'!$D$141+'Testes estatísticos'!$D$13)/2,"")</f>
        <v/>
      </c>
      <c r="J314" s="7" t="str">
        <f>IF(9&gt;=136,('Testes estatísticos'!$D$141+'Testes estatísticos'!$D$14)/2,"")</f>
        <v/>
      </c>
      <c r="K314" s="7" t="str">
        <f>IF(10&gt;=136,('Testes estatísticos'!$D$141+'Testes estatísticos'!$D$15)/2,"")</f>
        <v/>
      </c>
      <c r="L314" s="7" t="str">
        <f>IF(11&gt;=136,('Testes estatísticos'!$D$141+'Testes estatísticos'!$D$16)/2,"")</f>
        <v/>
      </c>
      <c r="M314" s="7" t="str">
        <f>IF(12&gt;=136,('Testes estatísticos'!$D$141+'Testes estatísticos'!$D$17)/2,"")</f>
        <v/>
      </c>
      <c r="N314" s="7" t="str">
        <f>IF(13&gt;=136,('Testes estatísticos'!$D$141+'Testes estatísticos'!$D$18)/2,"")</f>
        <v/>
      </c>
      <c r="O314" s="7" t="str">
        <f>IF(14&gt;=136,('Testes estatísticos'!$D$141+'Testes estatísticos'!$D$19)/2,"")</f>
        <v/>
      </c>
      <c r="P314" s="7" t="str">
        <f>IF(15&gt;=136,('Testes estatísticos'!$D$141+'Testes estatísticos'!$D$20)/2,"")</f>
        <v/>
      </c>
      <c r="Q314" s="7" t="str">
        <f>IF(16&gt;=136,('Testes estatísticos'!$D$141+'Testes estatísticos'!$D$21)/2,"")</f>
        <v/>
      </c>
      <c r="R314" s="7" t="str">
        <f>IF(17&gt;=136,('Testes estatísticos'!$D$141+'Testes estatísticos'!$D$22)/2,"")</f>
        <v/>
      </c>
      <c r="S314" s="7" t="str">
        <f>IF(18&gt;=136,('Testes estatísticos'!$D$141+'Testes estatísticos'!$D$23)/2,"")</f>
        <v/>
      </c>
      <c r="T314" s="7" t="str">
        <f>IF(19&gt;=136,('Testes estatísticos'!$D$141+'Testes estatísticos'!$D$24)/2,"")</f>
        <v/>
      </c>
      <c r="U314" s="7" t="str">
        <f>IF(20&gt;=136,('Testes estatísticos'!$D$141+'Testes estatísticos'!$D$25)/2,"")</f>
        <v/>
      </c>
      <c r="V314" s="7" t="str">
        <f>IF(21&gt;=136,('Testes estatísticos'!$D$141+'Testes estatísticos'!$D$26)/2,"")</f>
        <v/>
      </c>
      <c r="W314" s="7" t="str">
        <f>IF(22&gt;=136,('Testes estatísticos'!$D$141+'Testes estatísticos'!$D$27)/2,"")</f>
        <v/>
      </c>
      <c r="X314" s="7" t="str">
        <f>IF(23&gt;=136,('Testes estatísticos'!$D$141+'Testes estatísticos'!$D$28)/2,"")</f>
        <v/>
      </c>
      <c r="Y314" s="7" t="str">
        <f>IF(24&gt;=136,('Testes estatísticos'!$D$141+'Testes estatísticos'!$D$29)/2,"")</f>
        <v/>
      </c>
      <c r="Z314" s="7" t="str">
        <f>IF(25&gt;=136,('Testes estatísticos'!$D$141+'Testes estatísticos'!$D$30)/2,"")</f>
        <v/>
      </c>
      <c r="AA314" s="7" t="str">
        <f>IF(26&gt;=136,('Testes estatísticos'!$D$141+'Testes estatísticos'!$D$31)/2,"")</f>
        <v/>
      </c>
      <c r="AB314" s="7" t="str">
        <f>IF(27&gt;=136,('Testes estatísticos'!$D$141+'Testes estatísticos'!$D$32)/2,"")</f>
        <v/>
      </c>
      <c r="AC314" s="7" t="str">
        <f>IF(28&gt;=136,('Testes estatísticos'!$D$141+'Testes estatísticos'!$D$33)/2,"")</f>
        <v/>
      </c>
      <c r="AD314" s="7" t="str">
        <f>IF(29&gt;=136,('Testes estatísticos'!$D$141+'Testes estatísticos'!$D$34)/2,"")</f>
        <v/>
      </c>
      <c r="AE314" s="7" t="str">
        <f>IF(30&gt;=136,('Testes estatísticos'!$D$141+'Testes estatísticos'!$D$35)/2,"")</f>
        <v/>
      </c>
      <c r="AF314" s="7" t="str">
        <f>IF(31&gt;=136,('Testes estatísticos'!$D$141+'Testes estatísticos'!$D$36)/2,"")</f>
        <v/>
      </c>
      <c r="AG314" s="7" t="str">
        <f>IF(32&gt;=136,('Testes estatísticos'!$D$141+'Testes estatísticos'!$D$37)/2,"")</f>
        <v/>
      </c>
      <c r="AH314" s="7" t="str">
        <f>IF(33&gt;=136,('Testes estatísticos'!$D$141+'Testes estatísticos'!$D$38)/2,"")</f>
        <v/>
      </c>
      <c r="AI314" s="7" t="str">
        <f>IF(34&gt;=136,('Testes estatísticos'!$D$141+'Testes estatísticos'!$D$39)/2,"")</f>
        <v/>
      </c>
      <c r="AJ314" s="7" t="str">
        <f>IF(35&gt;=136,('Testes estatísticos'!$D$141+'Testes estatísticos'!$D$40)/2,"")</f>
        <v/>
      </c>
      <c r="AK314" s="7" t="str">
        <f>IF(36&gt;=136,('Testes estatísticos'!$D$141+'Testes estatísticos'!$D$41)/2,"")</f>
        <v/>
      </c>
      <c r="AL314" s="7" t="str">
        <f>IF(37&gt;=136,('Testes estatísticos'!$D$141+'Testes estatísticos'!$D$42)/2,"")</f>
        <v/>
      </c>
      <c r="AM314" s="7" t="str">
        <f>IF(38&gt;=136,('Testes estatísticos'!$D$141+'Testes estatísticos'!$D$43)/2,"")</f>
        <v/>
      </c>
      <c r="AN314" s="7" t="str">
        <f>IF(39&gt;=136,('Testes estatísticos'!$D$141+'Testes estatísticos'!$D$44)/2,"")</f>
        <v/>
      </c>
      <c r="AO314" s="7" t="str">
        <f>IF(40&gt;=136,('Testes estatísticos'!$D$141+'Testes estatísticos'!$D$45)/2,"")</f>
        <v/>
      </c>
      <c r="AP314" s="7" t="str">
        <f>IF(41&gt;=136,('Testes estatísticos'!$D$141+'Testes estatísticos'!$D$46)/2,"")</f>
        <v/>
      </c>
      <c r="AQ314" s="7" t="str">
        <f>IF(42&gt;=136,('Testes estatísticos'!$D$141+'Testes estatísticos'!$D$47)/2,"")</f>
        <v/>
      </c>
      <c r="AR314" s="7" t="str">
        <f>IF(43&gt;=136,('Testes estatísticos'!$D$141+'Testes estatísticos'!$D$48)/2,"")</f>
        <v/>
      </c>
      <c r="AS314" s="7" t="str">
        <f>IF(44&gt;=136,('Testes estatísticos'!$D$141+'Testes estatísticos'!$D$49)/2,"")</f>
        <v/>
      </c>
      <c r="AT314" s="7" t="str">
        <f>IF(45&gt;=136,('Testes estatísticos'!$D$141+'Testes estatísticos'!$D$50)/2,"")</f>
        <v/>
      </c>
      <c r="AU314" s="7" t="str">
        <f>IF(46&gt;=136,('Testes estatísticos'!$D$141+'Testes estatísticos'!$D$51)/2,"")</f>
        <v/>
      </c>
      <c r="AV314" s="7" t="str">
        <f>IF(47&gt;=136,('Testes estatísticos'!$D$141+'Testes estatísticos'!$D$52)/2,"")</f>
        <v/>
      </c>
      <c r="AW314" s="7" t="str">
        <f>IF(48&gt;=136,('Testes estatísticos'!$D$141+'Testes estatísticos'!$D$53)/2,"")</f>
        <v/>
      </c>
      <c r="AX314" s="7" t="str">
        <f>IF(49&gt;=136,('Testes estatísticos'!$D$141+'Testes estatísticos'!$D$54)/2,"")</f>
        <v/>
      </c>
      <c r="AY314" s="7" t="str">
        <f>IF(50&gt;=136,('Testes estatísticos'!$D$141+'Testes estatísticos'!$D$55)/2,"")</f>
        <v/>
      </c>
      <c r="AZ314" s="7" t="str">
        <f>IF(51&gt;=136,('Testes estatísticos'!$D$141+'Testes estatísticos'!$D$56)/2,"")</f>
        <v/>
      </c>
      <c r="BA314" s="7" t="str">
        <f>IF(52&gt;=136,('Testes estatísticos'!$D$141+'Testes estatísticos'!$D$57)/2,"")</f>
        <v/>
      </c>
      <c r="BB314" s="7" t="str">
        <f>IF(53&gt;=136,('Testes estatísticos'!$D$141+'Testes estatísticos'!$D$58)/2,"")</f>
        <v/>
      </c>
      <c r="BC314" s="7" t="str">
        <f>IF(54&gt;=136,('Testes estatísticos'!$D$141+'Testes estatísticos'!$D$59)/2,"")</f>
        <v/>
      </c>
      <c r="BD314" s="7" t="str">
        <f>IF(55&gt;=136,('Testes estatísticos'!$D$141+'Testes estatísticos'!$D$60)/2,"")</f>
        <v/>
      </c>
      <c r="BE314" s="7" t="str">
        <f>IF(56&gt;=136,('Testes estatísticos'!$D$141+'Testes estatísticos'!$D$61)/2,"")</f>
        <v/>
      </c>
      <c r="BF314" s="7" t="str">
        <f>IF(57&gt;=136,('Testes estatísticos'!$D$141+'Testes estatísticos'!$D$62)/2,"")</f>
        <v/>
      </c>
      <c r="BG314" s="7" t="str">
        <f>IF(58&gt;=136,('Testes estatísticos'!$D$141+'Testes estatísticos'!$D$63)/2,"")</f>
        <v/>
      </c>
      <c r="BH314" s="7" t="str">
        <f>IF(59&gt;=136,('Testes estatísticos'!$D$141+'Testes estatísticos'!$D$64)/2,"")</f>
        <v/>
      </c>
      <c r="BI314" s="7" t="str">
        <f>IF(60&gt;=136,('Testes estatísticos'!$D$141+'Testes estatísticos'!$D$65)/2,"")</f>
        <v/>
      </c>
      <c r="BJ314" s="7" t="str">
        <f>IF(61&gt;=136,('Testes estatísticos'!$D$141+'Testes estatísticos'!$D$66)/2,"")</f>
        <v/>
      </c>
      <c r="BK314" s="7" t="str">
        <f>IF(62&gt;=136,('Testes estatísticos'!$D$141+'Testes estatísticos'!$D$67)/2,"")</f>
        <v/>
      </c>
      <c r="BL314" s="7" t="str">
        <f>IF(63&gt;=136,('Testes estatísticos'!$D$141+'Testes estatísticos'!$D$68)/2,"")</f>
        <v/>
      </c>
      <c r="BM314" s="7" t="str">
        <f>IF(64&gt;=136,('Testes estatísticos'!$D$141+'Testes estatísticos'!$D$69)/2,"")</f>
        <v/>
      </c>
      <c r="BN314" s="7" t="str">
        <f>IF(65&gt;=136,('Testes estatísticos'!$D$141+'Testes estatísticos'!$D$70)/2,"")</f>
        <v/>
      </c>
      <c r="BO314" s="7" t="str">
        <f>IF(66&gt;=136,('Testes estatísticos'!$D$141+'Testes estatísticos'!$D$71)/2,"")</f>
        <v/>
      </c>
      <c r="BP314" s="7" t="str">
        <f>IF(67&gt;=136,('Testes estatísticos'!$D$141+'Testes estatísticos'!$D$72)/2,"")</f>
        <v/>
      </c>
      <c r="BQ314" s="7" t="str">
        <f>IF(68&gt;=136,('Testes estatísticos'!$D$141+'Testes estatísticos'!$D$73)/2,"")</f>
        <v/>
      </c>
      <c r="BR314" s="7" t="str">
        <f>IF(69&gt;=136,('Testes estatísticos'!$D$141+'Testes estatísticos'!$D$74)/2,"")</f>
        <v/>
      </c>
      <c r="BS314" s="7" t="str">
        <f>IF(70&gt;=136,('Testes estatísticos'!$D$141+'Testes estatísticos'!$D$75)/2,"")</f>
        <v/>
      </c>
      <c r="BT314" s="7" t="str">
        <f>IF(71&gt;=136,('Testes estatísticos'!$D$141+'Testes estatísticos'!$D$76)/2,"")</f>
        <v/>
      </c>
      <c r="BU314" s="7" t="str">
        <f>IF(72&gt;=136,('Testes estatísticos'!$D$141+'Testes estatísticos'!$D$77)/2,"")</f>
        <v/>
      </c>
      <c r="BV314" s="7" t="str">
        <f>IF(73&gt;=136,('Testes estatísticos'!$D$141+'Testes estatísticos'!$D$78)/2,"")</f>
        <v/>
      </c>
      <c r="BW314" s="7" t="str">
        <f>IF(74&gt;=136,('Testes estatísticos'!$D$141+'Testes estatísticos'!$D$79)/2,"")</f>
        <v/>
      </c>
      <c r="BX314" s="7" t="str">
        <f>IF(75&gt;=136,('Testes estatísticos'!$D$141+'Testes estatísticos'!$D$80)/2,"")</f>
        <v/>
      </c>
      <c r="BY314" s="7" t="str">
        <f>IF(76&gt;=136,('Testes estatísticos'!$D$141+'Testes estatísticos'!$D$81)/2,"")</f>
        <v/>
      </c>
      <c r="BZ314" s="7" t="str">
        <f>IF(77&gt;=136,('Testes estatísticos'!$D$141+'Testes estatísticos'!$D$82)/2,"")</f>
        <v/>
      </c>
      <c r="CA314" s="7" t="str">
        <f>IF(78&gt;=136,('Testes estatísticos'!$D$141+'Testes estatísticos'!$D$83)/2,"")</f>
        <v/>
      </c>
      <c r="CB314" s="7" t="str">
        <f>IF(79&gt;=136,('Testes estatísticos'!$D$141+'Testes estatísticos'!$D$84)/2,"")</f>
        <v/>
      </c>
      <c r="CC314" s="7" t="str">
        <f>IF(80&gt;=136,('Testes estatísticos'!$D$141+'Testes estatísticos'!$D$85)/2,"")</f>
        <v/>
      </c>
      <c r="CD314" s="7" t="str">
        <f>IF(81&gt;=136,('Testes estatísticos'!$D$141+'Testes estatísticos'!$D$86)/2,"")</f>
        <v/>
      </c>
      <c r="CE314" s="7" t="str">
        <f>IF(82&gt;=136,('Testes estatísticos'!$D$141+'Testes estatísticos'!$D$87)/2,"")</f>
        <v/>
      </c>
      <c r="CF314" s="7" t="str">
        <f>IF(83&gt;=136,('Testes estatísticos'!$D$141+'Testes estatísticos'!$D$88)/2,"")</f>
        <v/>
      </c>
      <c r="CG314" s="7" t="str">
        <f>IF(84&gt;=136,('Testes estatísticos'!$D$141+'Testes estatísticos'!$D$89)/2,"")</f>
        <v/>
      </c>
      <c r="CH314" s="7" t="str">
        <f>IF(85&gt;=136,('Testes estatísticos'!$D$141+'Testes estatísticos'!$D$90)/2,"")</f>
        <v/>
      </c>
      <c r="CI314" s="7" t="str">
        <f>IF(86&gt;=136,('Testes estatísticos'!$D$141+'Testes estatísticos'!$D$91)/2,"")</f>
        <v/>
      </c>
      <c r="CJ314" s="7" t="str">
        <f>IF(87&gt;=136,('Testes estatísticos'!$D$141+'Testes estatísticos'!$D$92)/2,"")</f>
        <v/>
      </c>
      <c r="CK314" s="7" t="str">
        <f>IF(88&gt;=136,('Testes estatísticos'!$D$141+'Testes estatísticos'!$D$93)/2,"")</f>
        <v/>
      </c>
      <c r="CL314" s="7" t="str">
        <f>IF(89&gt;=136,('Testes estatísticos'!$D$141+'Testes estatísticos'!$D$94)/2,"")</f>
        <v/>
      </c>
      <c r="CM314" s="7" t="str">
        <f>IF(90&gt;=136,('Testes estatísticos'!$D$141+'Testes estatísticos'!$D$95)/2,"")</f>
        <v/>
      </c>
      <c r="CN314" s="7" t="str">
        <f>IF(91&gt;=136,('Testes estatísticos'!$D$141+'Testes estatísticos'!$D$96)/2,"")</f>
        <v/>
      </c>
      <c r="CO314" s="7" t="str">
        <f>IF(92&gt;=136,('Testes estatísticos'!$D$141+'Testes estatísticos'!$D$97)/2,"")</f>
        <v/>
      </c>
      <c r="CP314" s="7" t="str">
        <f>IF(93&gt;=136,('Testes estatísticos'!$D$141+'Testes estatísticos'!$D$98)/2,"")</f>
        <v/>
      </c>
      <c r="CQ314" s="7" t="str">
        <f>IF(94&gt;=136,('Testes estatísticos'!$D$141+'Testes estatísticos'!$D$99)/2,"")</f>
        <v/>
      </c>
      <c r="CR314" s="7" t="str">
        <f>IF(95&gt;=136,('Testes estatísticos'!$D$141+'Testes estatísticos'!$D$100)/2,"")</f>
        <v/>
      </c>
      <c r="CS314" s="7" t="str">
        <f>IF(96&gt;=136,('Testes estatísticos'!$D$141+'Testes estatísticos'!$D$101)/2,"")</f>
        <v/>
      </c>
      <c r="CT314" s="7" t="str">
        <f>IF(97&gt;=136,('Testes estatísticos'!$D$141+'Testes estatísticos'!$D$102)/2,"")</f>
        <v/>
      </c>
      <c r="CU314" s="7" t="str">
        <f>IF(98&gt;=136,('Testes estatísticos'!$D$141+'Testes estatísticos'!$D$103)/2,"")</f>
        <v/>
      </c>
      <c r="CV314" s="7" t="str">
        <f>IF(99&gt;=136,('Testes estatísticos'!$D$141+'Testes estatísticos'!$D$104)/2,"")</f>
        <v/>
      </c>
      <c r="CW314" s="7" t="str">
        <f>IF(100&gt;=136,('Testes estatísticos'!$D$141+'Testes estatísticos'!$D$105)/2,"")</f>
        <v/>
      </c>
      <c r="CX314" s="7" t="str">
        <f>IF(101&gt;=136,('Testes estatísticos'!$D$141+'Testes estatísticos'!$D$106)/2,"")</f>
        <v/>
      </c>
      <c r="CY314" s="7" t="str">
        <f>IF(102&gt;=136,('Testes estatísticos'!$D$141+'Testes estatísticos'!$D$107)/2,"")</f>
        <v/>
      </c>
      <c r="CZ314" s="7" t="str">
        <f>IF(103&gt;=136,('Testes estatísticos'!$D$141+'Testes estatísticos'!$D$108)/2,"")</f>
        <v/>
      </c>
      <c r="DA314" s="7" t="str">
        <f>IF(104&gt;=136,('Testes estatísticos'!$D$141+'Testes estatísticos'!$D$109)/2,"")</f>
        <v/>
      </c>
      <c r="DB314" s="7" t="str">
        <f>IF(105&gt;=136,('Testes estatísticos'!$D$141+'Testes estatísticos'!$D$110)/2,"")</f>
        <v/>
      </c>
      <c r="DC314" s="7" t="str">
        <f>IF(106&gt;=136,('Testes estatísticos'!$D$141+'Testes estatísticos'!$D$111)/2,"")</f>
        <v/>
      </c>
      <c r="DD314" s="7" t="str">
        <f>IF(107&gt;=136,('Testes estatísticos'!$D$141+'Testes estatísticos'!$D$112)/2,"")</f>
        <v/>
      </c>
      <c r="DE314" s="7" t="str">
        <f>IF(108&gt;=136,('Testes estatísticos'!$D$141+'Testes estatísticos'!$D$113)/2,"")</f>
        <v/>
      </c>
      <c r="DF314" s="7" t="str">
        <f>IF(109&gt;=136,('Testes estatísticos'!$D$141+'Testes estatísticos'!$D$114)/2,"")</f>
        <v/>
      </c>
      <c r="DG314" s="7" t="str">
        <f>IF(110&gt;=136,('Testes estatísticos'!$D$141+'Testes estatísticos'!$D$115)/2,"")</f>
        <v/>
      </c>
      <c r="DH314" s="7" t="str">
        <f>IF(111&gt;=136,('Testes estatísticos'!$D$141+'Testes estatísticos'!$D$116)/2,"")</f>
        <v/>
      </c>
      <c r="DI314" s="7" t="str">
        <f>IF(112&gt;=136,('Testes estatísticos'!$D$141+'Testes estatísticos'!$D$117)/2,"")</f>
        <v/>
      </c>
      <c r="DJ314" s="7" t="str">
        <f>IF(113&gt;=136,('Testes estatísticos'!$D$141+'Testes estatísticos'!$D$118)/2,"")</f>
        <v/>
      </c>
      <c r="DK314" s="7" t="str">
        <f>IF(114&gt;=136,('Testes estatísticos'!$D$141+'Testes estatísticos'!$D$119)/2,"")</f>
        <v/>
      </c>
      <c r="DL314" s="7" t="str">
        <f>IF(115&gt;=136,('Testes estatísticos'!$D$141+'Testes estatísticos'!$D$120)/2,"")</f>
        <v/>
      </c>
      <c r="DM314" s="7" t="str">
        <f>IF(116&gt;=136,('Testes estatísticos'!$D$141+'Testes estatísticos'!$D$121)/2,"")</f>
        <v/>
      </c>
      <c r="DN314" s="7" t="str">
        <f>IF(117&gt;=136,('Testes estatísticos'!$D$141+'Testes estatísticos'!$D$122)/2,"")</f>
        <v/>
      </c>
      <c r="DO314" s="7" t="str">
        <f>IF(118&gt;=136,('Testes estatísticos'!$D$141+'Testes estatísticos'!$D$123)/2,"")</f>
        <v/>
      </c>
      <c r="DP314" s="7" t="str">
        <f>IF(119&gt;=136,('Testes estatísticos'!$D$141+'Testes estatísticos'!$D$124)/2,"")</f>
        <v/>
      </c>
      <c r="DQ314" s="7" t="str">
        <f>IF(120&gt;=136,('Testes estatísticos'!$D$141+'Testes estatísticos'!$D$125)/2,"")</f>
        <v/>
      </c>
      <c r="DR314" s="7" t="str">
        <f>IF(121&gt;=136,('Testes estatísticos'!$D$141+'Testes estatísticos'!$D$126)/2,"")</f>
        <v/>
      </c>
      <c r="DS314" s="7" t="str">
        <f>IF(122&gt;=136,('Testes estatísticos'!$D$141+'Testes estatísticos'!$D$127)/2,"")</f>
        <v/>
      </c>
      <c r="DT314" s="7" t="str">
        <f>IF(123&gt;=136,('Testes estatísticos'!$D$141+'Testes estatísticos'!$D$128)/2,"")</f>
        <v/>
      </c>
      <c r="DU314" s="7" t="str">
        <f>IF(124&gt;=136,('Testes estatísticos'!$D$141+'Testes estatísticos'!$D$129)/2,"")</f>
        <v/>
      </c>
      <c r="DV314" s="7" t="str">
        <f>IF(125&gt;=136,('Testes estatísticos'!$D$141+'Testes estatísticos'!$D$130)/2,"")</f>
        <v/>
      </c>
      <c r="DW314" s="7" t="str">
        <f>IF(126&gt;=136,('Testes estatísticos'!$D$141+'Testes estatísticos'!$D$131)/2,"")</f>
        <v/>
      </c>
      <c r="DX314" s="7" t="str">
        <f>IF(127&gt;=136,('Testes estatísticos'!$D$141+'Testes estatísticos'!$D$132)/2,"")</f>
        <v/>
      </c>
      <c r="DY314" s="7" t="str">
        <f>IF(128&gt;=136,('Testes estatísticos'!$D$141+'Testes estatísticos'!$D$133)/2,"")</f>
        <v/>
      </c>
      <c r="DZ314" s="7" t="str">
        <f>IF(129&gt;=136,('Testes estatísticos'!$D$141+'Testes estatísticos'!$D$134)/2,"")</f>
        <v/>
      </c>
      <c r="EA314" s="7" t="str">
        <f>IF(130&gt;=136,('Testes estatísticos'!$D$141+'Testes estatísticos'!$D$135)/2,"")</f>
        <v/>
      </c>
      <c r="EB314" s="7" t="str">
        <f>IF(131&gt;=136,('Testes estatísticos'!$D$141+'Testes estatísticos'!$D$136)/2,"")</f>
        <v/>
      </c>
      <c r="EC314" s="7" t="str">
        <f>IF(132&gt;=136,('Testes estatísticos'!$D$141+'Testes estatísticos'!$D$137)/2,"")</f>
        <v/>
      </c>
      <c r="ED314" s="7" t="str">
        <f>IF(133&gt;=136,('Testes estatísticos'!$D$141+'Testes estatísticos'!$D$138)/2,"")</f>
        <v/>
      </c>
      <c r="EE314" s="7" t="str">
        <f>IF(134&gt;=136,('Testes estatísticos'!$D$141+'Testes estatísticos'!$D$139)/2,"")</f>
        <v/>
      </c>
      <c r="EF314" s="7" t="str">
        <f>IF(135&gt;=136,('Testes estatísticos'!$D$141+'Testes estatísticos'!$D$140)/2,"")</f>
        <v/>
      </c>
      <c r="EG314" s="7">
        <f>IF(136&gt;=136,('Testes estatísticos'!$D$141+'Testes estatísticos'!$D$141)/2,"")</f>
        <v>-3.8657640000000058</v>
      </c>
      <c r="EH314" s="7">
        <f>IF(137&gt;=136,('Testes estatísticos'!$D$141+'Testes estatísticos'!$D$142)/2,"")</f>
        <v>-2.1610240000000047</v>
      </c>
      <c r="EI314" s="7">
        <f>IF(138&gt;=136,('Testes estatísticos'!$D$141+'Testes estatísticos'!$D$143)/2,"")</f>
        <v>-3.8260395000000003</v>
      </c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</row>
    <row r="315" spans="2:151" x14ac:dyDescent="0.3">
      <c r="B315" s="7" t="str">
        <f>IF(1&gt;=137,('Testes estatísticos'!$D$142+'Testes estatísticos'!$D$6)/2,"")</f>
        <v/>
      </c>
      <c r="C315" s="7" t="str">
        <f>IF(2&gt;=137,('Testes estatísticos'!$D$142+'Testes estatísticos'!$D$7)/2,"")</f>
        <v/>
      </c>
      <c r="D315" s="7" t="str">
        <f>IF(3&gt;=137,('Testes estatísticos'!$D$142+'Testes estatísticos'!$D$8)/2,"")</f>
        <v/>
      </c>
      <c r="E315" s="7" t="str">
        <f>IF(4&gt;=137,('Testes estatísticos'!$D$142+'Testes estatísticos'!$D$9)/2,"")</f>
        <v/>
      </c>
      <c r="F315" s="7" t="str">
        <f>IF(5&gt;=137,('Testes estatísticos'!$D$142+'Testes estatísticos'!$D$10)/2,"")</f>
        <v/>
      </c>
      <c r="G315" s="7" t="str">
        <f>IF(6&gt;=137,('Testes estatísticos'!$D$142+'Testes estatísticos'!$D$11)/2,"")</f>
        <v/>
      </c>
      <c r="H315" s="7" t="str">
        <f>IF(7&gt;=137,('Testes estatísticos'!$D$142+'Testes estatísticos'!$D$12)/2,"")</f>
        <v/>
      </c>
      <c r="I315" s="7" t="str">
        <f>IF(8&gt;=137,('Testes estatísticos'!$D$142+'Testes estatísticos'!$D$13)/2,"")</f>
        <v/>
      </c>
      <c r="J315" s="7" t="str">
        <f>IF(9&gt;=137,('Testes estatísticos'!$D$142+'Testes estatísticos'!$D$14)/2,"")</f>
        <v/>
      </c>
      <c r="K315" s="7" t="str">
        <f>IF(10&gt;=137,('Testes estatísticos'!$D$142+'Testes estatísticos'!$D$15)/2,"")</f>
        <v/>
      </c>
      <c r="L315" s="7" t="str">
        <f>IF(11&gt;=137,('Testes estatísticos'!$D$142+'Testes estatísticos'!$D$16)/2,"")</f>
        <v/>
      </c>
      <c r="M315" s="7" t="str">
        <f>IF(12&gt;=137,('Testes estatísticos'!$D$142+'Testes estatísticos'!$D$17)/2,"")</f>
        <v/>
      </c>
      <c r="N315" s="7" t="str">
        <f>IF(13&gt;=137,('Testes estatísticos'!$D$142+'Testes estatísticos'!$D$18)/2,"")</f>
        <v/>
      </c>
      <c r="O315" s="7" t="str">
        <f>IF(14&gt;=137,('Testes estatísticos'!$D$142+'Testes estatísticos'!$D$19)/2,"")</f>
        <v/>
      </c>
      <c r="P315" s="7" t="str">
        <f>IF(15&gt;=137,('Testes estatísticos'!$D$142+'Testes estatísticos'!$D$20)/2,"")</f>
        <v/>
      </c>
      <c r="Q315" s="7" t="str">
        <f>IF(16&gt;=137,('Testes estatísticos'!$D$142+'Testes estatísticos'!$D$21)/2,"")</f>
        <v/>
      </c>
      <c r="R315" s="7" t="str">
        <f>IF(17&gt;=137,('Testes estatísticos'!$D$142+'Testes estatísticos'!$D$22)/2,"")</f>
        <v/>
      </c>
      <c r="S315" s="7" t="str">
        <f>IF(18&gt;=137,('Testes estatísticos'!$D$142+'Testes estatísticos'!$D$23)/2,"")</f>
        <v/>
      </c>
      <c r="T315" s="7" t="str">
        <f>IF(19&gt;=137,('Testes estatísticos'!$D$142+'Testes estatísticos'!$D$24)/2,"")</f>
        <v/>
      </c>
      <c r="U315" s="7" t="str">
        <f>IF(20&gt;=137,('Testes estatísticos'!$D$142+'Testes estatísticos'!$D$25)/2,"")</f>
        <v/>
      </c>
      <c r="V315" s="7" t="str">
        <f>IF(21&gt;=137,('Testes estatísticos'!$D$142+'Testes estatísticos'!$D$26)/2,"")</f>
        <v/>
      </c>
      <c r="W315" s="7" t="str">
        <f>IF(22&gt;=137,('Testes estatísticos'!$D$142+'Testes estatísticos'!$D$27)/2,"")</f>
        <v/>
      </c>
      <c r="X315" s="7" t="str">
        <f>IF(23&gt;=137,('Testes estatísticos'!$D$142+'Testes estatísticos'!$D$28)/2,"")</f>
        <v/>
      </c>
      <c r="Y315" s="7" t="str">
        <f>IF(24&gt;=137,('Testes estatísticos'!$D$142+'Testes estatísticos'!$D$29)/2,"")</f>
        <v/>
      </c>
      <c r="Z315" s="7" t="str">
        <f>IF(25&gt;=137,('Testes estatísticos'!$D$142+'Testes estatísticos'!$D$30)/2,"")</f>
        <v/>
      </c>
      <c r="AA315" s="7" t="str">
        <f>IF(26&gt;=137,('Testes estatísticos'!$D$142+'Testes estatísticos'!$D$31)/2,"")</f>
        <v/>
      </c>
      <c r="AB315" s="7" t="str">
        <f>IF(27&gt;=137,('Testes estatísticos'!$D$142+'Testes estatísticos'!$D$32)/2,"")</f>
        <v/>
      </c>
      <c r="AC315" s="7" t="str">
        <f>IF(28&gt;=137,('Testes estatísticos'!$D$142+'Testes estatísticos'!$D$33)/2,"")</f>
        <v/>
      </c>
      <c r="AD315" s="7" t="str">
        <f>IF(29&gt;=137,('Testes estatísticos'!$D$142+'Testes estatísticos'!$D$34)/2,"")</f>
        <v/>
      </c>
      <c r="AE315" s="7" t="str">
        <f>IF(30&gt;=137,('Testes estatísticos'!$D$142+'Testes estatísticos'!$D$35)/2,"")</f>
        <v/>
      </c>
      <c r="AF315" s="7" t="str">
        <f>IF(31&gt;=137,('Testes estatísticos'!$D$142+'Testes estatísticos'!$D$36)/2,"")</f>
        <v/>
      </c>
      <c r="AG315" s="7" t="str">
        <f>IF(32&gt;=137,('Testes estatísticos'!$D$142+'Testes estatísticos'!$D$37)/2,"")</f>
        <v/>
      </c>
      <c r="AH315" s="7" t="str">
        <f>IF(33&gt;=137,('Testes estatísticos'!$D$142+'Testes estatísticos'!$D$38)/2,"")</f>
        <v/>
      </c>
      <c r="AI315" s="7" t="str">
        <f>IF(34&gt;=137,('Testes estatísticos'!$D$142+'Testes estatísticos'!$D$39)/2,"")</f>
        <v/>
      </c>
      <c r="AJ315" s="7" t="str">
        <f>IF(35&gt;=137,('Testes estatísticos'!$D$142+'Testes estatísticos'!$D$40)/2,"")</f>
        <v/>
      </c>
      <c r="AK315" s="7" t="str">
        <f>IF(36&gt;=137,('Testes estatísticos'!$D$142+'Testes estatísticos'!$D$41)/2,"")</f>
        <v/>
      </c>
      <c r="AL315" s="7" t="str">
        <f>IF(37&gt;=137,('Testes estatísticos'!$D$142+'Testes estatísticos'!$D$42)/2,"")</f>
        <v/>
      </c>
      <c r="AM315" s="7" t="str">
        <f>IF(38&gt;=137,('Testes estatísticos'!$D$142+'Testes estatísticos'!$D$43)/2,"")</f>
        <v/>
      </c>
      <c r="AN315" s="7" t="str">
        <f>IF(39&gt;=137,('Testes estatísticos'!$D$142+'Testes estatísticos'!$D$44)/2,"")</f>
        <v/>
      </c>
      <c r="AO315" s="7" t="str">
        <f>IF(40&gt;=137,('Testes estatísticos'!$D$142+'Testes estatísticos'!$D$45)/2,"")</f>
        <v/>
      </c>
      <c r="AP315" s="7" t="str">
        <f>IF(41&gt;=137,('Testes estatísticos'!$D$142+'Testes estatísticos'!$D$46)/2,"")</f>
        <v/>
      </c>
      <c r="AQ315" s="7" t="str">
        <f>IF(42&gt;=137,('Testes estatísticos'!$D$142+'Testes estatísticos'!$D$47)/2,"")</f>
        <v/>
      </c>
      <c r="AR315" s="7" t="str">
        <f>IF(43&gt;=137,('Testes estatísticos'!$D$142+'Testes estatísticos'!$D$48)/2,"")</f>
        <v/>
      </c>
      <c r="AS315" s="7" t="str">
        <f>IF(44&gt;=137,('Testes estatísticos'!$D$142+'Testes estatísticos'!$D$49)/2,"")</f>
        <v/>
      </c>
      <c r="AT315" s="7" t="str">
        <f>IF(45&gt;=137,('Testes estatísticos'!$D$142+'Testes estatísticos'!$D$50)/2,"")</f>
        <v/>
      </c>
      <c r="AU315" s="7" t="str">
        <f>IF(46&gt;=137,('Testes estatísticos'!$D$142+'Testes estatísticos'!$D$51)/2,"")</f>
        <v/>
      </c>
      <c r="AV315" s="7" t="str">
        <f>IF(47&gt;=137,('Testes estatísticos'!$D$142+'Testes estatísticos'!$D$52)/2,"")</f>
        <v/>
      </c>
      <c r="AW315" s="7" t="str">
        <f>IF(48&gt;=137,('Testes estatísticos'!$D$142+'Testes estatísticos'!$D$53)/2,"")</f>
        <v/>
      </c>
      <c r="AX315" s="7" t="str">
        <f>IF(49&gt;=137,('Testes estatísticos'!$D$142+'Testes estatísticos'!$D$54)/2,"")</f>
        <v/>
      </c>
      <c r="AY315" s="7" t="str">
        <f>IF(50&gt;=137,('Testes estatísticos'!$D$142+'Testes estatísticos'!$D$55)/2,"")</f>
        <v/>
      </c>
      <c r="AZ315" s="7" t="str">
        <f>IF(51&gt;=137,('Testes estatísticos'!$D$142+'Testes estatísticos'!$D$56)/2,"")</f>
        <v/>
      </c>
      <c r="BA315" s="7" t="str">
        <f>IF(52&gt;=137,('Testes estatísticos'!$D$142+'Testes estatísticos'!$D$57)/2,"")</f>
        <v/>
      </c>
      <c r="BB315" s="7" t="str">
        <f>IF(53&gt;=137,('Testes estatísticos'!$D$142+'Testes estatísticos'!$D$58)/2,"")</f>
        <v/>
      </c>
      <c r="BC315" s="7" t="str">
        <f>IF(54&gt;=137,('Testes estatísticos'!$D$142+'Testes estatísticos'!$D$59)/2,"")</f>
        <v/>
      </c>
      <c r="BD315" s="7" t="str">
        <f>IF(55&gt;=137,('Testes estatísticos'!$D$142+'Testes estatísticos'!$D$60)/2,"")</f>
        <v/>
      </c>
      <c r="BE315" s="7" t="str">
        <f>IF(56&gt;=137,('Testes estatísticos'!$D$142+'Testes estatísticos'!$D$61)/2,"")</f>
        <v/>
      </c>
      <c r="BF315" s="7" t="str">
        <f>IF(57&gt;=137,('Testes estatísticos'!$D$142+'Testes estatísticos'!$D$62)/2,"")</f>
        <v/>
      </c>
      <c r="BG315" s="7" t="str">
        <f>IF(58&gt;=137,('Testes estatísticos'!$D$142+'Testes estatísticos'!$D$63)/2,"")</f>
        <v/>
      </c>
      <c r="BH315" s="7" t="str">
        <f>IF(59&gt;=137,('Testes estatísticos'!$D$142+'Testes estatísticos'!$D$64)/2,"")</f>
        <v/>
      </c>
      <c r="BI315" s="7" t="str">
        <f>IF(60&gt;=137,('Testes estatísticos'!$D$142+'Testes estatísticos'!$D$65)/2,"")</f>
        <v/>
      </c>
      <c r="BJ315" s="7" t="str">
        <f>IF(61&gt;=137,('Testes estatísticos'!$D$142+'Testes estatísticos'!$D$66)/2,"")</f>
        <v/>
      </c>
      <c r="BK315" s="7" t="str">
        <f>IF(62&gt;=137,('Testes estatísticos'!$D$142+'Testes estatísticos'!$D$67)/2,"")</f>
        <v/>
      </c>
      <c r="BL315" s="7" t="str">
        <f>IF(63&gt;=137,('Testes estatísticos'!$D$142+'Testes estatísticos'!$D$68)/2,"")</f>
        <v/>
      </c>
      <c r="BM315" s="7" t="str">
        <f>IF(64&gt;=137,('Testes estatísticos'!$D$142+'Testes estatísticos'!$D$69)/2,"")</f>
        <v/>
      </c>
      <c r="BN315" s="7" t="str">
        <f>IF(65&gt;=137,('Testes estatísticos'!$D$142+'Testes estatísticos'!$D$70)/2,"")</f>
        <v/>
      </c>
      <c r="BO315" s="7" t="str">
        <f>IF(66&gt;=137,('Testes estatísticos'!$D$142+'Testes estatísticos'!$D$71)/2,"")</f>
        <v/>
      </c>
      <c r="BP315" s="7" t="str">
        <f>IF(67&gt;=137,('Testes estatísticos'!$D$142+'Testes estatísticos'!$D$72)/2,"")</f>
        <v/>
      </c>
      <c r="BQ315" s="7" t="str">
        <f>IF(68&gt;=137,('Testes estatísticos'!$D$142+'Testes estatísticos'!$D$73)/2,"")</f>
        <v/>
      </c>
      <c r="BR315" s="7" t="str">
        <f>IF(69&gt;=137,('Testes estatísticos'!$D$142+'Testes estatísticos'!$D$74)/2,"")</f>
        <v/>
      </c>
      <c r="BS315" s="7" t="str">
        <f>IF(70&gt;=137,('Testes estatísticos'!$D$142+'Testes estatísticos'!$D$75)/2,"")</f>
        <v/>
      </c>
      <c r="BT315" s="7" t="str">
        <f>IF(71&gt;=137,('Testes estatísticos'!$D$142+'Testes estatísticos'!$D$76)/2,"")</f>
        <v/>
      </c>
      <c r="BU315" s="7" t="str">
        <f>IF(72&gt;=137,('Testes estatísticos'!$D$142+'Testes estatísticos'!$D$77)/2,"")</f>
        <v/>
      </c>
      <c r="BV315" s="7" t="str">
        <f>IF(73&gt;=137,('Testes estatísticos'!$D$142+'Testes estatísticos'!$D$78)/2,"")</f>
        <v/>
      </c>
      <c r="BW315" s="7" t="str">
        <f>IF(74&gt;=137,('Testes estatísticos'!$D$142+'Testes estatísticos'!$D$79)/2,"")</f>
        <v/>
      </c>
      <c r="BX315" s="7" t="str">
        <f>IF(75&gt;=137,('Testes estatísticos'!$D$142+'Testes estatísticos'!$D$80)/2,"")</f>
        <v/>
      </c>
      <c r="BY315" s="7" t="str">
        <f>IF(76&gt;=137,('Testes estatísticos'!$D$142+'Testes estatísticos'!$D$81)/2,"")</f>
        <v/>
      </c>
      <c r="BZ315" s="7" t="str">
        <f>IF(77&gt;=137,('Testes estatísticos'!$D$142+'Testes estatísticos'!$D$82)/2,"")</f>
        <v/>
      </c>
      <c r="CA315" s="7" t="str">
        <f>IF(78&gt;=137,('Testes estatísticos'!$D$142+'Testes estatísticos'!$D$83)/2,"")</f>
        <v/>
      </c>
      <c r="CB315" s="7" t="str">
        <f>IF(79&gt;=137,('Testes estatísticos'!$D$142+'Testes estatísticos'!$D$84)/2,"")</f>
        <v/>
      </c>
      <c r="CC315" s="7" t="str">
        <f>IF(80&gt;=137,('Testes estatísticos'!$D$142+'Testes estatísticos'!$D$85)/2,"")</f>
        <v/>
      </c>
      <c r="CD315" s="7" t="str">
        <f>IF(81&gt;=137,('Testes estatísticos'!$D$142+'Testes estatísticos'!$D$86)/2,"")</f>
        <v/>
      </c>
      <c r="CE315" s="7" t="str">
        <f>IF(82&gt;=137,('Testes estatísticos'!$D$142+'Testes estatísticos'!$D$87)/2,"")</f>
        <v/>
      </c>
      <c r="CF315" s="7" t="str">
        <f>IF(83&gt;=137,('Testes estatísticos'!$D$142+'Testes estatísticos'!$D$88)/2,"")</f>
        <v/>
      </c>
      <c r="CG315" s="7" t="str">
        <f>IF(84&gt;=137,('Testes estatísticos'!$D$142+'Testes estatísticos'!$D$89)/2,"")</f>
        <v/>
      </c>
      <c r="CH315" s="7" t="str">
        <f>IF(85&gt;=137,('Testes estatísticos'!$D$142+'Testes estatísticos'!$D$90)/2,"")</f>
        <v/>
      </c>
      <c r="CI315" s="7" t="str">
        <f>IF(86&gt;=137,('Testes estatísticos'!$D$142+'Testes estatísticos'!$D$91)/2,"")</f>
        <v/>
      </c>
      <c r="CJ315" s="7" t="str">
        <f>IF(87&gt;=137,('Testes estatísticos'!$D$142+'Testes estatísticos'!$D$92)/2,"")</f>
        <v/>
      </c>
      <c r="CK315" s="7" t="str">
        <f>IF(88&gt;=137,('Testes estatísticos'!$D$142+'Testes estatísticos'!$D$93)/2,"")</f>
        <v/>
      </c>
      <c r="CL315" s="7" t="str">
        <f>IF(89&gt;=137,('Testes estatísticos'!$D$142+'Testes estatísticos'!$D$94)/2,"")</f>
        <v/>
      </c>
      <c r="CM315" s="7" t="str">
        <f>IF(90&gt;=137,('Testes estatísticos'!$D$142+'Testes estatísticos'!$D$95)/2,"")</f>
        <v/>
      </c>
      <c r="CN315" s="7" t="str">
        <f>IF(91&gt;=137,('Testes estatísticos'!$D$142+'Testes estatísticos'!$D$96)/2,"")</f>
        <v/>
      </c>
      <c r="CO315" s="7" t="str">
        <f>IF(92&gt;=137,('Testes estatísticos'!$D$142+'Testes estatísticos'!$D$97)/2,"")</f>
        <v/>
      </c>
      <c r="CP315" s="7" t="str">
        <f>IF(93&gt;=137,('Testes estatísticos'!$D$142+'Testes estatísticos'!$D$98)/2,"")</f>
        <v/>
      </c>
      <c r="CQ315" s="7" t="str">
        <f>IF(94&gt;=137,('Testes estatísticos'!$D$142+'Testes estatísticos'!$D$99)/2,"")</f>
        <v/>
      </c>
      <c r="CR315" s="7" t="str">
        <f>IF(95&gt;=137,('Testes estatísticos'!$D$142+'Testes estatísticos'!$D$100)/2,"")</f>
        <v/>
      </c>
      <c r="CS315" s="7" t="str">
        <f>IF(96&gt;=137,('Testes estatísticos'!$D$142+'Testes estatísticos'!$D$101)/2,"")</f>
        <v/>
      </c>
      <c r="CT315" s="7" t="str">
        <f>IF(97&gt;=137,('Testes estatísticos'!$D$142+'Testes estatísticos'!$D$102)/2,"")</f>
        <v/>
      </c>
      <c r="CU315" s="7" t="str">
        <f>IF(98&gt;=137,('Testes estatísticos'!$D$142+'Testes estatísticos'!$D$103)/2,"")</f>
        <v/>
      </c>
      <c r="CV315" s="7" t="str">
        <f>IF(99&gt;=137,('Testes estatísticos'!$D$142+'Testes estatísticos'!$D$104)/2,"")</f>
        <v/>
      </c>
      <c r="CW315" s="7" t="str">
        <f>IF(100&gt;=137,('Testes estatísticos'!$D$142+'Testes estatísticos'!$D$105)/2,"")</f>
        <v/>
      </c>
      <c r="CX315" s="7" t="str">
        <f>IF(101&gt;=137,('Testes estatísticos'!$D$142+'Testes estatísticos'!$D$106)/2,"")</f>
        <v/>
      </c>
      <c r="CY315" s="7" t="str">
        <f>IF(102&gt;=137,('Testes estatísticos'!$D$142+'Testes estatísticos'!$D$107)/2,"")</f>
        <v/>
      </c>
      <c r="CZ315" s="7" t="str">
        <f>IF(103&gt;=137,('Testes estatísticos'!$D$142+'Testes estatísticos'!$D$108)/2,"")</f>
        <v/>
      </c>
      <c r="DA315" s="7" t="str">
        <f>IF(104&gt;=137,('Testes estatísticos'!$D$142+'Testes estatísticos'!$D$109)/2,"")</f>
        <v/>
      </c>
      <c r="DB315" s="7" t="str">
        <f>IF(105&gt;=137,('Testes estatísticos'!$D$142+'Testes estatísticos'!$D$110)/2,"")</f>
        <v/>
      </c>
      <c r="DC315" s="7" t="str">
        <f>IF(106&gt;=137,('Testes estatísticos'!$D$142+'Testes estatísticos'!$D$111)/2,"")</f>
        <v/>
      </c>
      <c r="DD315" s="7" t="str">
        <f>IF(107&gt;=137,('Testes estatísticos'!$D$142+'Testes estatísticos'!$D$112)/2,"")</f>
        <v/>
      </c>
      <c r="DE315" s="7" t="str">
        <f>IF(108&gt;=137,('Testes estatísticos'!$D$142+'Testes estatísticos'!$D$113)/2,"")</f>
        <v/>
      </c>
      <c r="DF315" s="7" t="str">
        <f>IF(109&gt;=137,('Testes estatísticos'!$D$142+'Testes estatísticos'!$D$114)/2,"")</f>
        <v/>
      </c>
      <c r="DG315" s="7" t="str">
        <f>IF(110&gt;=137,('Testes estatísticos'!$D$142+'Testes estatísticos'!$D$115)/2,"")</f>
        <v/>
      </c>
      <c r="DH315" s="7" t="str">
        <f>IF(111&gt;=137,('Testes estatísticos'!$D$142+'Testes estatísticos'!$D$116)/2,"")</f>
        <v/>
      </c>
      <c r="DI315" s="7" t="str">
        <f>IF(112&gt;=137,('Testes estatísticos'!$D$142+'Testes estatísticos'!$D$117)/2,"")</f>
        <v/>
      </c>
      <c r="DJ315" s="7" t="str">
        <f>IF(113&gt;=137,('Testes estatísticos'!$D$142+'Testes estatísticos'!$D$118)/2,"")</f>
        <v/>
      </c>
      <c r="DK315" s="7" t="str">
        <f>IF(114&gt;=137,('Testes estatísticos'!$D$142+'Testes estatísticos'!$D$119)/2,"")</f>
        <v/>
      </c>
      <c r="DL315" s="7" t="str">
        <f>IF(115&gt;=137,('Testes estatísticos'!$D$142+'Testes estatísticos'!$D$120)/2,"")</f>
        <v/>
      </c>
      <c r="DM315" s="7" t="str">
        <f>IF(116&gt;=137,('Testes estatísticos'!$D$142+'Testes estatísticos'!$D$121)/2,"")</f>
        <v/>
      </c>
      <c r="DN315" s="7" t="str">
        <f>IF(117&gt;=137,('Testes estatísticos'!$D$142+'Testes estatísticos'!$D$122)/2,"")</f>
        <v/>
      </c>
      <c r="DO315" s="7" t="str">
        <f>IF(118&gt;=137,('Testes estatísticos'!$D$142+'Testes estatísticos'!$D$123)/2,"")</f>
        <v/>
      </c>
      <c r="DP315" s="7" t="str">
        <f>IF(119&gt;=137,('Testes estatísticos'!$D$142+'Testes estatísticos'!$D$124)/2,"")</f>
        <v/>
      </c>
      <c r="DQ315" s="7" t="str">
        <f>IF(120&gt;=137,('Testes estatísticos'!$D$142+'Testes estatísticos'!$D$125)/2,"")</f>
        <v/>
      </c>
      <c r="DR315" s="7" t="str">
        <f>IF(121&gt;=137,('Testes estatísticos'!$D$142+'Testes estatísticos'!$D$126)/2,"")</f>
        <v/>
      </c>
      <c r="DS315" s="7" t="str">
        <f>IF(122&gt;=137,('Testes estatísticos'!$D$142+'Testes estatísticos'!$D$127)/2,"")</f>
        <v/>
      </c>
      <c r="DT315" s="7" t="str">
        <f>IF(123&gt;=137,('Testes estatísticos'!$D$142+'Testes estatísticos'!$D$128)/2,"")</f>
        <v/>
      </c>
      <c r="DU315" s="7" t="str">
        <f>IF(124&gt;=137,('Testes estatísticos'!$D$142+'Testes estatísticos'!$D$129)/2,"")</f>
        <v/>
      </c>
      <c r="DV315" s="7" t="str">
        <f>IF(125&gt;=137,('Testes estatísticos'!$D$142+'Testes estatísticos'!$D$130)/2,"")</f>
        <v/>
      </c>
      <c r="DW315" s="7" t="str">
        <f>IF(126&gt;=137,('Testes estatísticos'!$D$142+'Testes estatísticos'!$D$131)/2,"")</f>
        <v/>
      </c>
      <c r="DX315" s="7" t="str">
        <f>IF(127&gt;=137,('Testes estatísticos'!$D$142+'Testes estatísticos'!$D$132)/2,"")</f>
        <v/>
      </c>
      <c r="DY315" s="7" t="str">
        <f>IF(128&gt;=137,('Testes estatísticos'!$D$142+'Testes estatísticos'!$D$133)/2,"")</f>
        <v/>
      </c>
      <c r="DZ315" s="7" t="str">
        <f>IF(129&gt;=137,('Testes estatísticos'!$D$142+'Testes estatísticos'!$D$134)/2,"")</f>
        <v/>
      </c>
      <c r="EA315" s="7" t="str">
        <f>IF(130&gt;=137,('Testes estatísticos'!$D$142+'Testes estatísticos'!$D$135)/2,"")</f>
        <v/>
      </c>
      <c r="EB315" s="7" t="str">
        <f>IF(131&gt;=137,('Testes estatísticos'!$D$142+'Testes estatísticos'!$D$136)/2,"")</f>
        <v/>
      </c>
      <c r="EC315" s="7" t="str">
        <f>IF(132&gt;=137,('Testes estatísticos'!$D$142+'Testes estatísticos'!$D$137)/2,"")</f>
        <v/>
      </c>
      <c r="ED315" s="7" t="str">
        <f>IF(133&gt;=137,('Testes estatísticos'!$D$142+'Testes estatísticos'!$D$138)/2,"")</f>
        <v/>
      </c>
      <c r="EE315" s="7" t="str">
        <f>IF(134&gt;=137,('Testes estatísticos'!$D$142+'Testes estatísticos'!$D$139)/2,"")</f>
        <v/>
      </c>
      <c r="EF315" s="7" t="str">
        <f>IF(135&gt;=137,('Testes estatísticos'!$D$142+'Testes estatísticos'!$D$140)/2,"")</f>
        <v/>
      </c>
      <c r="EG315" s="7" t="str">
        <f>IF(136&gt;=137,('Testes estatísticos'!$D$142+'Testes estatísticos'!$D$141)/2,"")</f>
        <v/>
      </c>
      <c r="EH315" s="7">
        <f>IF(137&gt;=137,('Testes estatísticos'!$D$142+'Testes estatísticos'!$D$142)/2,"")</f>
        <v>-0.45628400000000369</v>
      </c>
      <c r="EI315" s="7">
        <f>IF(138&gt;=137,('Testes estatísticos'!$D$142+'Testes estatísticos'!$D$143)/2,"")</f>
        <v>-2.1212994999999992</v>
      </c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</row>
    <row r="316" spans="2:151" x14ac:dyDescent="0.3">
      <c r="B316" s="7" t="str">
        <f>IF(1&gt;=138,('Testes estatísticos'!$D$143+'Testes estatísticos'!$D$6)/2,"")</f>
        <v/>
      </c>
      <c r="C316" s="7" t="str">
        <f>IF(2&gt;=138,('Testes estatísticos'!$D$143+'Testes estatísticos'!$D$7)/2,"")</f>
        <v/>
      </c>
      <c r="D316" s="7" t="str">
        <f>IF(3&gt;=138,('Testes estatísticos'!$D$143+'Testes estatísticos'!$D$8)/2,"")</f>
        <v/>
      </c>
      <c r="E316" s="7" t="str">
        <f>IF(4&gt;=138,('Testes estatísticos'!$D$143+'Testes estatísticos'!$D$9)/2,"")</f>
        <v/>
      </c>
      <c r="F316" s="7" t="str">
        <f>IF(5&gt;=138,('Testes estatísticos'!$D$143+'Testes estatísticos'!$D$10)/2,"")</f>
        <v/>
      </c>
      <c r="G316" s="7" t="str">
        <f>IF(6&gt;=138,('Testes estatísticos'!$D$143+'Testes estatísticos'!$D$11)/2,"")</f>
        <v/>
      </c>
      <c r="H316" s="7" t="str">
        <f>IF(7&gt;=138,('Testes estatísticos'!$D$143+'Testes estatísticos'!$D$12)/2,"")</f>
        <v/>
      </c>
      <c r="I316" s="7" t="str">
        <f>IF(8&gt;=138,('Testes estatísticos'!$D$143+'Testes estatísticos'!$D$13)/2,"")</f>
        <v/>
      </c>
      <c r="J316" s="7" t="str">
        <f>IF(9&gt;=138,('Testes estatísticos'!$D$143+'Testes estatísticos'!$D$14)/2,"")</f>
        <v/>
      </c>
      <c r="K316" s="7" t="str">
        <f>IF(10&gt;=138,('Testes estatísticos'!$D$143+'Testes estatísticos'!$D$15)/2,"")</f>
        <v/>
      </c>
      <c r="L316" s="7" t="str">
        <f>IF(11&gt;=138,('Testes estatísticos'!$D$143+'Testes estatísticos'!$D$16)/2,"")</f>
        <v/>
      </c>
      <c r="M316" s="7" t="str">
        <f>IF(12&gt;=138,('Testes estatísticos'!$D$143+'Testes estatísticos'!$D$17)/2,"")</f>
        <v/>
      </c>
      <c r="N316" s="7" t="str">
        <f>IF(13&gt;=138,('Testes estatísticos'!$D$143+'Testes estatísticos'!$D$18)/2,"")</f>
        <v/>
      </c>
      <c r="O316" s="7" t="str">
        <f>IF(14&gt;=138,('Testes estatísticos'!$D$143+'Testes estatísticos'!$D$19)/2,"")</f>
        <v/>
      </c>
      <c r="P316" s="7" t="str">
        <f>IF(15&gt;=138,('Testes estatísticos'!$D$143+'Testes estatísticos'!$D$20)/2,"")</f>
        <v/>
      </c>
      <c r="Q316" s="7" t="str">
        <f>IF(16&gt;=138,('Testes estatísticos'!$D$143+'Testes estatísticos'!$D$21)/2,"")</f>
        <v/>
      </c>
      <c r="R316" s="7" t="str">
        <f>IF(17&gt;=138,('Testes estatísticos'!$D$143+'Testes estatísticos'!$D$22)/2,"")</f>
        <v/>
      </c>
      <c r="S316" s="7" t="str">
        <f>IF(18&gt;=138,('Testes estatísticos'!$D$143+'Testes estatísticos'!$D$23)/2,"")</f>
        <v/>
      </c>
      <c r="T316" s="7" t="str">
        <f>IF(19&gt;=138,('Testes estatísticos'!$D$143+'Testes estatísticos'!$D$24)/2,"")</f>
        <v/>
      </c>
      <c r="U316" s="7" t="str">
        <f>IF(20&gt;=138,('Testes estatísticos'!$D$143+'Testes estatísticos'!$D$25)/2,"")</f>
        <v/>
      </c>
      <c r="V316" s="7" t="str">
        <f>IF(21&gt;=138,('Testes estatísticos'!$D$143+'Testes estatísticos'!$D$26)/2,"")</f>
        <v/>
      </c>
      <c r="W316" s="7" t="str">
        <f>IF(22&gt;=138,('Testes estatísticos'!$D$143+'Testes estatísticos'!$D$27)/2,"")</f>
        <v/>
      </c>
      <c r="X316" s="7" t="str">
        <f>IF(23&gt;=138,('Testes estatísticos'!$D$143+'Testes estatísticos'!$D$28)/2,"")</f>
        <v/>
      </c>
      <c r="Y316" s="7" t="str">
        <f>IF(24&gt;=138,('Testes estatísticos'!$D$143+'Testes estatísticos'!$D$29)/2,"")</f>
        <v/>
      </c>
      <c r="Z316" s="7" t="str">
        <f>IF(25&gt;=138,('Testes estatísticos'!$D$143+'Testes estatísticos'!$D$30)/2,"")</f>
        <v/>
      </c>
      <c r="AA316" s="7" t="str">
        <f>IF(26&gt;=138,('Testes estatísticos'!$D$143+'Testes estatísticos'!$D$31)/2,"")</f>
        <v/>
      </c>
      <c r="AB316" s="7" t="str">
        <f>IF(27&gt;=138,('Testes estatísticos'!$D$143+'Testes estatísticos'!$D$32)/2,"")</f>
        <v/>
      </c>
      <c r="AC316" s="7" t="str">
        <f>IF(28&gt;=138,('Testes estatísticos'!$D$143+'Testes estatísticos'!$D$33)/2,"")</f>
        <v/>
      </c>
      <c r="AD316" s="7" t="str">
        <f>IF(29&gt;=138,('Testes estatísticos'!$D$143+'Testes estatísticos'!$D$34)/2,"")</f>
        <v/>
      </c>
      <c r="AE316" s="7" t="str">
        <f>IF(30&gt;=138,('Testes estatísticos'!$D$143+'Testes estatísticos'!$D$35)/2,"")</f>
        <v/>
      </c>
      <c r="AF316" s="7" t="str">
        <f>IF(31&gt;=138,('Testes estatísticos'!$D$143+'Testes estatísticos'!$D$36)/2,"")</f>
        <v/>
      </c>
      <c r="AG316" s="7" t="str">
        <f>IF(32&gt;=138,('Testes estatísticos'!$D$143+'Testes estatísticos'!$D$37)/2,"")</f>
        <v/>
      </c>
      <c r="AH316" s="7" t="str">
        <f>IF(33&gt;=138,('Testes estatísticos'!$D$143+'Testes estatísticos'!$D$38)/2,"")</f>
        <v/>
      </c>
      <c r="AI316" s="7" t="str">
        <f>IF(34&gt;=138,('Testes estatísticos'!$D$143+'Testes estatísticos'!$D$39)/2,"")</f>
        <v/>
      </c>
      <c r="AJ316" s="7" t="str">
        <f>IF(35&gt;=138,('Testes estatísticos'!$D$143+'Testes estatísticos'!$D$40)/2,"")</f>
        <v/>
      </c>
      <c r="AK316" s="7" t="str">
        <f>IF(36&gt;=138,('Testes estatísticos'!$D$143+'Testes estatísticos'!$D$41)/2,"")</f>
        <v/>
      </c>
      <c r="AL316" s="7" t="str">
        <f>IF(37&gt;=138,('Testes estatísticos'!$D$143+'Testes estatísticos'!$D$42)/2,"")</f>
        <v/>
      </c>
      <c r="AM316" s="7" t="str">
        <f>IF(38&gt;=138,('Testes estatísticos'!$D$143+'Testes estatísticos'!$D$43)/2,"")</f>
        <v/>
      </c>
      <c r="AN316" s="7" t="str">
        <f>IF(39&gt;=138,('Testes estatísticos'!$D$143+'Testes estatísticos'!$D$44)/2,"")</f>
        <v/>
      </c>
      <c r="AO316" s="7" t="str">
        <f>IF(40&gt;=138,('Testes estatísticos'!$D$143+'Testes estatísticos'!$D$45)/2,"")</f>
        <v/>
      </c>
      <c r="AP316" s="7" t="str">
        <f>IF(41&gt;=138,('Testes estatísticos'!$D$143+'Testes estatísticos'!$D$46)/2,"")</f>
        <v/>
      </c>
      <c r="AQ316" s="7" t="str">
        <f>IF(42&gt;=138,('Testes estatísticos'!$D$143+'Testes estatísticos'!$D$47)/2,"")</f>
        <v/>
      </c>
      <c r="AR316" s="7" t="str">
        <f>IF(43&gt;=138,('Testes estatísticos'!$D$143+'Testes estatísticos'!$D$48)/2,"")</f>
        <v/>
      </c>
      <c r="AS316" s="7" t="str">
        <f>IF(44&gt;=138,('Testes estatísticos'!$D$143+'Testes estatísticos'!$D$49)/2,"")</f>
        <v/>
      </c>
      <c r="AT316" s="7" t="str">
        <f>IF(45&gt;=138,('Testes estatísticos'!$D$143+'Testes estatísticos'!$D$50)/2,"")</f>
        <v/>
      </c>
      <c r="AU316" s="7" t="str">
        <f>IF(46&gt;=138,('Testes estatísticos'!$D$143+'Testes estatísticos'!$D$51)/2,"")</f>
        <v/>
      </c>
      <c r="AV316" s="7" t="str">
        <f>IF(47&gt;=138,('Testes estatísticos'!$D$143+'Testes estatísticos'!$D$52)/2,"")</f>
        <v/>
      </c>
      <c r="AW316" s="7" t="str">
        <f>IF(48&gt;=138,('Testes estatísticos'!$D$143+'Testes estatísticos'!$D$53)/2,"")</f>
        <v/>
      </c>
      <c r="AX316" s="7" t="str">
        <f>IF(49&gt;=138,('Testes estatísticos'!$D$143+'Testes estatísticos'!$D$54)/2,"")</f>
        <v/>
      </c>
      <c r="AY316" s="7" t="str">
        <f>IF(50&gt;=138,('Testes estatísticos'!$D$143+'Testes estatísticos'!$D$55)/2,"")</f>
        <v/>
      </c>
      <c r="AZ316" s="7" t="str">
        <f>IF(51&gt;=138,('Testes estatísticos'!$D$143+'Testes estatísticos'!$D$56)/2,"")</f>
        <v/>
      </c>
      <c r="BA316" s="7" t="str">
        <f>IF(52&gt;=138,('Testes estatísticos'!$D$143+'Testes estatísticos'!$D$57)/2,"")</f>
        <v/>
      </c>
      <c r="BB316" s="7" t="str">
        <f>IF(53&gt;=138,('Testes estatísticos'!$D$143+'Testes estatísticos'!$D$58)/2,"")</f>
        <v/>
      </c>
      <c r="BC316" s="7" t="str">
        <f>IF(54&gt;=138,('Testes estatísticos'!$D$143+'Testes estatísticos'!$D$59)/2,"")</f>
        <v/>
      </c>
      <c r="BD316" s="7" t="str">
        <f>IF(55&gt;=138,('Testes estatísticos'!$D$143+'Testes estatísticos'!$D$60)/2,"")</f>
        <v/>
      </c>
      <c r="BE316" s="7" t="str">
        <f>IF(56&gt;=138,('Testes estatísticos'!$D$143+'Testes estatísticos'!$D$61)/2,"")</f>
        <v/>
      </c>
      <c r="BF316" s="7" t="str">
        <f>IF(57&gt;=138,('Testes estatísticos'!$D$143+'Testes estatísticos'!$D$62)/2,"")</f>
        <v/>
      </c>
      <c r="BG316" s="7" t="str">
        <f>IF(58&gt;=138,('Testes estatísticos'!$D$143+'Testes estatísticos'!$D$63)/2,"")</f>
        <v/>
      </c>
      <c r="BH316" s="7" t="str">
        <f>IF(59&gt;=138,('Testes estatísticos'!$D$143+'Testes estatísticos'!$D$64)/2,"")</f>
        <v/>
      </c>
      <c r="BI316" s="7" t="str">
        <f>IF(60&gt;=138,('Testes estatísticos'!$D$143+'Testes estatísticos'!$D$65)/2,"")</f>
        <v/>
      </c>
      <c r="BJ316" s="7" t="str">
        <f>IF(61&gt;=138,('Testes estatísticos'!$D$143+'Testes estatísticos'!$D$66)/2,"")</f>
        <v/>
      </c>
      <c r="BK316" s="7" t="str">
        <f>IF(62&gt;=138,('Testes estatísticos'!$D$143+'Testes estatísticos'!$D$67)/2,"")</f>
        <v/>
      </c>
      <c r="BL316" s="7" t="str">
        <f>IF(63&gt;=138,('Testes estatísticos'!$D$143+'Testes estatísticos'!$D$68)/2,"")</f>
        <v/>
      </c>
      <c r="BM316" s="7" t="str">
        <f>IF(64&gt;=138,('Testes estatísticos'!$D$143+'Testes estatísticos'!$D$69)/2,"")</f>
        <v/>
      </c>
      <c r="BN316" s="7" t="str">
        <f>IF(65&gt;=138,('Testes estatísticos'!$D$143+'Testes estatísticos'!$D$70)/2,"")</f>
        <v/>
      </c>
      <c r="BO316" s="7" t="str">
        <f>IF(66&gt;=138,('Testes estatísticos'!$D$143+'Testes estatísticos'!$D$71)/2,"")</f>
        <v/>
      </c>
      <c r="BP316" s="7" t="str">
        <f>IF(67&gt;=138,('Testes estatísticos'!$D$143+'Testes estatísticos'!$D$72)/2,"")</f>
        <v/>
      </c>
      <c r="BQ316" s="7" t="str">
        <f>IF(68&gt;=138,('Testes estatísticos'!$D$143+'Testes estatísticos'!$D$73)/2,"")</f>
        <v/>
      </c>
      <c r="BR316" s="7" t="str">
        <f>IF(69&gt;=138,('Testes estatísticos'!$D$143+'Testes estatísticos'!$D$74)/2,"")</f>
        <v/>
      </c>
      <c r="BS316" s="7" t="str">
        <f>IF(70&gt;=138,('Testes estatísticos'!$D$143+'Testes estatísticos'!$D$75)/2,"")</f>
        <v/>
      </c>
      <c r="BT316" s="7" t="str">
        <f>IF(71&gt;=138,('Testes estatísticos'!$D$143+'Testes estatísticos'!$D$76)/2,"")</f>
        <v/>
      </c>
      <c r="BU316" s="7" t="str">
        <f>IF(72&gt;=138,('Testes estatísticos'!$D$143+'Testes estatísticos'!$D$77)/2,"")</f>
        <v/>
      </c>
      <c r="BV316" s="7" t="str">
        <f>IF(73&gt;=138,('Testes estatísticos'!$D$143+'Testes estatísticos'!$D$78)/2,"")</f>
        <v/>
      </c>
      <c r="BW316" s="7" t="str">
        <f>IF(74&gt;=138,('Testes estatísticos'!$D$143+'Testes estatísticos'!$D$79)/2,"")</f>
        <v/>
      </c>
      <c r="BX316" s="7" t="str">
        <f>IF(75&gt;=138,('Testes estatísticos'!$D$143+'Testes estatísticos'!$D$80)/2,"")</f>
        <v/>
      </c>
      <c r="BY316" s="7" t="str">
        <f>IF(76&gt;=138,('Testes estatísticos'!$D$143+'Testes estatísticos'!$D$81)/2,"")</f>
        <v/>
      </c>
      <c r="BZ316" s="7" t="str">
        <f>IF(77&gt;=138,('Testes estatísticos'!$D$143+'Testes estatísticos'!$D$82)/2,"")</f>
        <v/>
      </c>
      <c r="CA316" s="7" t="str">
        <f>IF(78&gt;=138,('Testes estatísticos'!$D$143+'Testes estatísticos'!$D$83)/2,"")</f>
        <v/>
      </c>
      <c r="CB316" s="7" t="str">
        <f>IF(79&gt;=138,('Testes estatísticos'!$D$143+'Testes estatísticos'!$D$84)/2,"")</f>
        <v/>
      </c>
      <c r="CC316" s="7" t="str">
        <f>IF(80&gt;=138,('Testes estatísticos'!$D$143+'Testes estatísticos'!$D$85)/2,"")</f>
        <v/>
      </c>
      <c r="CD316" s="7" t="str">
        <f>IF(81&gt;=138,('Testes estatísticos'!$D$143+'Testes estatísticos'!$D$86)/2,"")</f>
        <v/>
      </c>
      <c r="CE316" s="7" t="str">
        <f>IF(82&gt;=138,('Testes estatísticos'!$D$143+'Testes estatísticos'!$D$87)/2,"")</f>
        <v/>
      </c>
      <c r="CF316" s="7" t="str">
        <f>IF(83&gt;=138,('Testes estatísticos'!$D$143+'Testes estatísticos'!$D$88)/2,"")</f>
        <v/>
      </c>
      <c r="CG316" s="7" t="str">
        <f>IF(84&gt;=138,('Testes estatísticos'!$D$143+'Testes estatísticos'!$D$89)/2,"")</f>
        <v/>
      </c>
      <c r="CH316" s="7" t="str">
        <f>IF(85&gt;=138,('Testes estatísticos'!$D$143+'Testes estatísticos'!$D$90)/2,"")</f>
        <v/>
      </c>
      <c r="CI316" s="7" t="str">
        <f>IF(86&gt;=138,('Testes estatísticos'!$D$143+'Testes estatísticos'!$D$91)/2,"")</f>
        <v/>
      </c>
      <c r="CJ316" s="7" t="str">
        <f>IF(87&gt;=138,('Testes estatísticos'!$D$143+'Testes estatísticos'!$D$92)/2,"")</f>
        <v/>
      </c>
      <c r="CK316" s="7" t="str">
        <f>IF(88&gt;=138,('Testes estatísticos'!$D$143+'Testes estatísticos'!$D$93)/2,"")</f>
        <v/>
      </c>
      <c r="CL316" s="7" t="str">
        <f>IF(89&gt;=138,('Testes estatísticos'!$D$143+'Testes estatísticos'!$D$94)/2,"")</f>
        <v/>
      </c>
      <c r="CM316" s="7" t="str">
        <f>IF(90&gt;=138,('Testes estatísticos'!$D$143+'Testes estatísticos'!$D$95)/2,"")</f>
        <v/>
      </c>
      <c r="CN316" s="7" t="str">
        <f>IF(91&gt;=138,('Testes estatísticos'!$D$143+'Testes estatísticos'!$D$96)/2,"")</f>
        <v/>
      </c>
      <c r="CO316" s="7" t="str">
        <f>IF(92&gt;=138,('Testes estatísticos'!$D$143+'Testes estatísticos'!$D$97)/2,"")</f>
        <v/>
      </c>
      <c r="CP316" s="7" t="str">
        <f>IF(93&gt;=138,('Testes estatísticos'!$D$143+'Testes estatísticos'!$D$98)/2,"")</f>
        <v/>
      </c>
      <c r="CQ316" s="7" t="str">
        <f>IF(94&gt;=138,('Testes estatísticos'!$D$143+'Testes estatísticos'!$D$99)/2,"")</f>
        <v/>
      </c>
      <c r="CR316" s="7" t="str">
        <f>IF(95&gt;=138,('Testes estatísticos'!$D$143+'Testes estatísticos'!$D$100)/2,"")</f>
        <v/>
      </c>
      <c r="CS316" s="7" t="str">
        <f>IF(96&gt;=138,('Testes estatísticos'!$D$143+'Testes estatísticos'!$D$101)/2,"")</f>
        <v/>
      </c>
      <c r="CT316" s="7" t="str">
        <f>IF(97&gt;=138,('Testes estatísticos'!$D$143+'Testes estatísticos'!$D$102)/2,"")</f>
        <v/>
      </c>
      <c r="CU316" s="7" t="str">
        <f>IF(98&gt;=138,('Testes estatísticos'!$D$143+'Testes estatísticos'!$D$103)/2,"")</f>
        <v/>
      </c>
      <c r="CV316" s="7" t="str">
        <f>IF(99&gt;=138,('Testes estatísticos'!$D$143+'Testes estatísticos'!$D$104)/2,"")</f>
        <v/>
      </c>
      <c r="CW316" s="7" t="str">
        <f>IF(100&gt;=138,('Testes estatísticos'!$D$143+'Testes estatísticos'!$D$105)/2,"")</f>
        <v/>
      </c>
      <c r="CX316" s="7" t="str">
        <f>IF(101&gt;=138,('Testes estatísticos'!$D$143+'Testes estatísticos'!$D$106)/2,"")</f>
        <v/>
      </c>
      <c r="CY316" s="7" t="str">
        <f>IF(102&gt;=138,('Testes estatísticos'!$D$143+'Testes estatísticos'!$D$107)/2,"")</f>
        <v/>
      </c>
      <c r="CZ316" s="7" t="str">
        <f>IF(103&gt;=138,('Testes estatísticos'!$D$143+'Testes estatísticos'!$D$108)/2,"")</f>
        <v/>
      </c>
      <c r="DA316" s="7" t="str">
        <f>IF(104&gt;=138,('Testes estatísticos'!$D$143+'Testes estatísticos'!$D$109)/2,"")</f>
        <v/>
      </c>
      <c r="DB316" s="7" t="str">
        <f>IF(105&gt;=138,('Testes estatísticos'!$D$143+'Testes estatísticos'!$D$110)/2,"")</f>
        <v/>
      </c>
      <c r="DC316" s="7" t="str">
        <f>IF(106&gt;=138,('Testes estatísticos'!$D$143+'Testes estatísticos'!$D$111)/2,"")</f>
        <v/>
      </c>
      <c r="DD316" s="7" t="str">
        <f>IF(107&gt;=138,('Testes estatísticos'!$D$143+'Testes estatísticos'!$D$112)/2,"")</f>
        <v/>
      </c>
      <c r="DE316" s="7" t="str">
        <f>IF(108&gt;=138,('Testes estatísticos'!$D$143+'Testes estatísticos'!$D$113)/2,"")</f>
        <v/>
      </c>
      <c r="DF316" s="7" t="str">
        <f>IF(109&gt;=138,('Testes estatísticos'!$D$143+'Testes estatísticos'!$D$114)/2,"")</f>
        <v/>
      </c>
      <c r="DG316" s="7" t="str">
        <f>IF(110&gt;=138,('Testes estatísticos'!$D$143+'Testes estatísticos'!$D$115)/2,"")</f>
        <v/>
      </c>
      <c r="DH316" s="7" t="str">
        <f>IF(111&gt;=138,('Testes estatísticos'!$D$143+'Testes estatísticos'!$D$116)/2,"")</f>
        <v/>
      </c>
      <c r="DI316" s="7" t="str">
        <f>IF(112&gt;=138,('Testes estatísticos'!$D$143+'Testes estatísticos'!$D$117)/2,"")</f>
        <v/>
      </c>
      <c r="DJ316" s="7" t="str">
        <f>IF(113&gt;=138,('Testes estatísticos'!$D$143+'Testes estatísticos'!$D$118)/2,"")</f>
        <v/>
      </c>
      <c r="DK316" s="7" t="str">
        <f>IF(114&gt;=138,('Testes estatísticos'!$D$143+'Testes estatísticos'!$D$119)/2,"")</f>
        <v/>
      </c>
      <c r="DL316" s="7" t="str">
        <f>IF(115&gt;=138,('Testes estatísticos'!$D$143+'Testes estatísticos'!$D$120)/2,"")</f>
        <v/>
      </c>
      <c r="DM316" s="7" t="str">
        <f>IF(116&gt;=138,('Testes estatísticos'!$D$143+'Testes estatísticos'!$D$121)/2,"")</f>
        <v/>
      </c>
      <c r="DN316" s="7" t="str">
        <f>IF(117&gt;=138,('Testes estatísticos'!$D$143+'Testes estatísticos'!$D$122)/2,"")</f>
        <v/>
      </c>
      <c r="DO316" s="7" t="str">
        <f>IF(118&gt;=138,('Testes estatísticos'!$D$143+'Testes estatísticos'!$D$123)/2,"")</f>
        <v/>
      </c>
      <c r="DP316" s="7" t="str">
        <f>IF(119&gt;=138,('Testes estatísticos'!$D$143+'Testes estatísticos'!$D$124)/2,"")</f>
        <v/>
      </c>
      <c r="DQ316" s="7" t="str">
        <f>IF(120&gt;=138,('Testes estatísticos'!$D$143+'Testes estatísticos'!$D$125)/2,"")</f>
        <v/>
      </c>
      <c r="DR316" s="7" t="str">
        <f>IF(121&gt;=138,('Testes estatísticos'!$D$143+'Testes estatísticos'!$D$126)/2,"")</f>
        <v/>
      </c>
      <c r="DS316" s="7" t="str">
        <f>IF(122&gt;=138,('Testes estatísticos'!$D$143+'Testes estatísticos'!$D$127)/2,"")</f>
        <v/>
      </c>
      <c r="DT316" s="7" t="str">
        <f>IF(123&gt;=138,('Testes estatísticos'!$D$143+'Testes estatísticos'!$D$128)/2,"")</f>
        <v/>
      </c>
      <c r="DU316" s="7" t="str">
        <f>IF(124&gt;=138,('Testes estatísticos'!$D$143+'Testes estatísticos'!$D$129)/2,"")</f>
        <v/>
      </c>
      <c r="DV316" s="7" t="str">
        <f>IF(125&gt;=138,('Testes estatísticos'!$D$143+'Testes estatísticos'!$D$130)/2,"")</f>
        <v/>
      </c>
      <c r="DW316" s="7" t="str">
        <f>IF(126&gt;=138,('Testes estatísticos'!$D$143+'Testes estatísticos'!$D$131)/2,"")</f>
        <v/>
      </c>
      <c r="DX316" s="7" t="str">
        <f>IF(127&gt;=138,('Testes estatísticos'!$D$143+'Testes estatísticos'!$D$132)/2,"")</f>
        <v/>
      </c>
      <c r="DY316" s="7" t="str">
        <f>IF(128&gt;=138,('Testes estatísticos'!$D$143+'Testes estatísticos'!$D$133)/2,"")</f>
        <v/>
      </c>
      <c r="DZ316" s="7" t="str">
        <f>IF(129&gt;=138,('Testes estatísticos'!$D$143+'Testes estatísticos'!$D$134)/2,"")</f>
        <v/>
      </c>
      <c r="EA316" s="7" t="str">
        <f>IF(130&gt;=138,('Testes estatísticos'!$D$143+'Testes estatísticos'!$D$135)/2,"")</f>
        <v/>
      </c>
      <c r="EB316" s="7" t="str">
        <f>IF(131&gt;=138,('Testes estatísticos'!$D$143+'Testes estatísticos'!$D$136)/2,"")</f>
        <v/>
      </c>
      <c r="EC316" s="7" t="str">
        <f>IF(132&gt;=138,('Testes estatísticos'!$D$143+'Testes estatísticos'!$D$137)/2,"")</f>
        <v/>
      </c>
      <c r="ED316" s="7" t="str">
        <f>IF(133&gt;=138,('Testes estatísticos'!$D$143+'Testes estatísticos'!$D$138)/2,"")</f>
        <v/>
      </c>
      <c r="EE316" s="7" t="str">
        <f>IF(134&gt;=138,('Testes estatísticos'!$D$143+'Testes estatísticos'!$D$139)/2,"")</f>
        <v/>
      </c>
      <c r="EF316" s="7" t="str">
        <f>IF(135&gt;=138,('Testes estatísticos'!$D$143+'Testes estatísticos'!$D$140)/2,"")</f>
        <v/>
      </c>
      <c r="EG316" s="7" t="str">
        <f>IF(136&gt;=138,('Testes estatísticos'!$D$143+'Testes estatísticos'!$D$141)/2,"")</f>
        <v/>
      </c>
      <c r="EH316" s="7" t="str">
        <f>IF(137&gt;=138,('Testes estatísticos'!$D$143+'Testes estatísticos'!$D$142)/2,"")</f>
        <v/>
      </c>
      <c r="EI316" s="7">
        <f>IF(138&gt;=138,('Testes estatísticos'!$D$143+'Testes estatísticos'!$D$143)/2,"")</f>
        <v>-3.7863149999999948</v>
      </c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</row>
    <row r="317" spans="2:151" x14ac:dyDescent="0.3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</row>
    <row r="318" spans="2:151" x14ac:dyDescent="0.3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</row>
    <row r="319" spans="2:151" x14ac:dyDescent="0.3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</row>
    <row r="320" spans="2:151" x14ac:dyDescent="0.3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</row>
    <row r="321" spans="2:151" x14ac:dyDescent="0.3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</row>
    <row r="322" spans="2:151" x14ac:dyDescent="0.3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</row>
    <row r="323" spans="2:151" x14ac:dyDescent="0.3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</row>
    <row r="324" spans="2:151" x14ac:dyDescent="0.3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</row>
    <row r="325" spans="2:151" x14ac:dyDescent="0.3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</row>
    <row r="326" spans="2:151" x14ac:dyDescent="0.3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</row>
    <row r="327" spans="2:151" x14ac:dyDescent="0.3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</row>
    <row r="328" spans="2:151" x14ac:dyDescent="0.3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</row>
    <row r="329" spans="2:151" x14ac:dyDescent="0.3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</row>
    <row r="330" spans="2:151" x14ac:dyDescent="0.3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</row>
    <row r="331" spans="2:151" x14ac:dyDescent="0.3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</row>
    <row r="332" spans="2:151" x14ac:dyDescent="0.3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</row>
    <row r="333" spans="2:151" x14ac:dyDescent="0.3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</row>
    <row r="334" spans="2:151" x14ac:dyDescent="0.3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</row>
    <row r="335" spans="2:151" x14ac:dyDescent="0.3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</row>
    <row r="336" spans="2:151" x14ac:dyDescent="0.3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</row>
    <row r="337" spans="2:151" x14ac:dyDescent="0.3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</row>
    <row r="338" spans="2:151" x14ac:dyDescent="0.3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</row>
    <row r="339" spans="2:151" x14ac:dyDescent="0.3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</row>
    <row r="340" spans="2:151" x14ac:dyDescent="0.3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topLeftCell="K62" zoomScale="80" zoomScaleNormal="83" workbookViewId="0">
      <selection activeCell="L87" sqref="L87"/>
    </sheetView>
  </sheetViews>
  <sheetFormatPr defaultColWidth="8.6640625" defaultRowHeight="14.4" x14ac:dyDescent="0.3"/>
  <cols>
    <col min="1" max="1" width="28" customWidth="1"/>
    <col min="2" max="2" width="14.88671875" customWidth="1"/>
    <col min="3" max="3" width="15" customWidth="1"/>
    <col min="4" max="4" width="10" customWidth="1"/>
    <col min="5" max="6" width="13" customWidth="1"/>
    <col min="7" max="8" width="17" customWidth="1"/>
    <col min="9" max="10" width="15" customWidth="1"/>
    <col min="11" max="11" width="12" customWidth="1"/>
  </cols>
  <sheetData>
    <row r="1" spans="1:11" ht="15" customHeight="1" x14ac:dyDescent="0.3">
      <c r="A1" s="45" t="s">
        <v>346</v>
      </c>
      <c r="B1" s="46"/>
      <c r="C1" s="46"/>
      <c r="D1" s="46"/>
      <c r="E1" s="46"/>
      <c r="F1" s="46"/>
      <c r="G1" s="46"/>
      <c r="H1" s="46"/>
      <c r="I1" s="46"/>
      <c r="J1" s="46"/>
    </row>
    <row r="3" spans="1:11" x14ac:dyDescent="0.3">
      <c r="A3" s="3" t="s">
        <v>347</v>
      </c>
    </row>
    <row r="4" spans="1:11" x14ac:dyDescent="0.3">
      <c r="A4" s="36" t="s">
        <v>18</v>
      </c>
      <c r="B4" s="36" t="s">
        <v>348</v>
      </c>
      <c r="C4" s="36" t="s">
        <v>19</v>
      </c>
      <c r="D4" s="36" t="s">
        <v>20</v>
      </c>
      <c r="E4" s="36" t="s">
        <v>349</v>
      </c>
      <c r="F4" s="36" t="s">
        <v>350</v>
      </c>
      <c r="G4" s="36" t="s">
        <v>19</v>
      </c>
      <c r="H4" s="36" t="s">
        <v>20</v>
      </c>
      <c r="I4" s="36" t="s">
        <v>51</v>
      </c>
      <c r="J4" s="36" t="s">
        <v>52</v>
      </c>
      <c r="K4" s="36" t="s">
        <v>351</v>
      </c>
    </row>
    <row r="5" spans="1:11" x14ac:dyDescent="0.3">
      <c r="A5" s="21" t="s">
        <v>26</v>
      </c>
      <c r="B5" s="22">
        <v>18</v>
      </c>
      <c r="C5" s="23">
        <v>50.268834388888877</v>
      </c>
      <c r="D5" s="23">
        <v>47.949944444444448</v>
      </c>
      <c r="E5" s="23">
        <v>1.5749344985125291</v>
      </c>
      <c r="F5" s="23">
        <v>1.592835870522781</v>
      </c>
      <c r="G5" s="23">
        <v>3.2150282222222222</v>
      </c>
      <c r="H5" s="23">
        <v>1.0680000000000001</v>
      </c>
      <c r="I5" s="22">
        <v>0</v>
      </c>
      <c r="J5" s="22">
        <v>2</v>
      </c>
      <c r="K5" s="23">
        <v>4.6129773499522182</v>
      </c>
    </row>
    <row r="6" spans="1:11" x14ac:dyDescent="0.3">
      <c r="A6" s="21" t="s">
        <v>42</v>
      </c>
      <c r="B6" s="22">
        <v>20</v>
      </c>
      <c r="C6" s="23">
        <v>46.273133799999997</v>
      </c>
      <c r="D6" s="23">
        <v>43.814483749999987</v>
      </c>
      <c r="E6" s="23">
        <v>0.8905423079065633</v>
      </c>
      <c r="F6" s="23">
        <v>0.87371646472238851</v>
      </c>
      <c r="G6" s="23">
        <v>3.236733549999999</v>
      </c>
      <c r="H6" s="23">
        <v>1.0624219500000001</v>
      </c>
      <c r="I6" s="22">
        <v>0</v>
      </c>
      <c r="J6" s="22">
        <v>0</v>
      </c>
      <c r="K6" s="23">
        <v>5.3133424259240529</v>
      </c>
    </row>
    <row r="7" spans="1:11" x14ac:dyDescent="0.3">
      <c r="A7" s="21" t="s">
        <v>56</v>
      </c>
      <c r="B7" s="22">
        <v>17</v>
      </c>
      <c r="C7" s="23">
        <v>48.124389647058827</v>
      </c>
      <c r="D7" s="23">
        <v>46.989981470588241</v>
      </c>
      <c r="E7" s="23">
        <v>1.2090030885614671</v>
      </c>
      <c r="F7" s="23">
        <v>2.128576213028242</v>
      </c>
      <c r="G7" s="23">
        <v>3.2202913529411759</v>
      </c>
      <c r="H7" s="23">
        <v>1.0632631176470591</v>
      </c>
      <c r="I7" s="22">
        <v>1</v>
      </c>
      <c r="J7" s="22">
        <v>2</v>
      </c>
      <c r="K7" s="23">
        <v>2.3572416913549712</v>
      </c>
    </row>
    <row r="8" spans="1:11" x14ac:dyDescent="0.3">
      <c r="A8" s="21" t="s">
        <v>78</v>
      </c>
      <c r="B8" s="22">
        <v>15</v>
      </c>
      <c r="C8" s="23">
        <v>50.620336000000002</v>
      </c>
      <c r="D8" s="23">
        <v>49.261626600000007</v>
      </c>
      <c r="E8" s="23">
        <v>1.4626124884339899</v>
      </c>
      <c r="F8" s="23">
        <v>1.760122266106747</v>
      </c>
      <c r="G8" s="23">
        <v>3.3401474000000002</v>
      </c>
      <c r="H8" s="23">
        <v>1.0834946000000001</v>
      </c>
      <c r="I8" s="22">
        <v>3</v>
      </c>
      <c r="J8" s="22">
        <v>1</v>
      </c>
      <c r="K8" s="23">
        <v>2.68411770320923</v>
      </c>
    </row>
    <row r="9" spans="1:11" x14ac:dyDescent="0.3">
      <c r="A9" s="21" t="s">
        <v>87</v>
      </c>
      <c r="B9" s="22">
        <v>20</v>
      </c>
      <c r="C9" s="23">
        <v>50.888971599999998</v>
      </c>
      <c r="D9" s="23">
        <v>47.742952849999988</v>
      </c>
      <c r="E9" s="23">
        <v>0.72756686322716035</v>
      </c>
      <c r="F9" s="23">
        <v>1.3869845859174319</v>
      </c>
      <c r="G9" s="23">
        <v>3.3792034499999999</v>
      </c>
      <c r="H9" s="23">
        <v>1.0413424</v>
      </c>
      <c r="I9" s="22">
        <v>0</v>
      </c>
      <c r="J9" s="22">
        <v>0</v>
      </c>
      <c r="K9" s="23">
        <v>6.1821228668727963</v>
      </c>
    </row>
    <row r="10" spans="1:11" x14ac:dyDescent="0.3">
      <c r="A10" s="21" t="s">
        <v>88</v>
      </c>
      <c r="B10" s="22">
        <v>15</v>
      </c>
      <c r="C10" s="23">
        <v>51.017659266666662</v>
      </c>
      <c r="D10" s="23">
        <v>47.479287533333327</v>
      </c>
      <c r="E10" s="23">
        <v>0.15228057940181169</v>
      </c>
      <c r="F10" s="23">
        <v>0.63353667998418084</v>
      </c>
      <c r="G10" s="23">
        <v>3.380523933333333</v>
      </c>
      <c r="H10" s="23">
        <v>1.066238866666666</v>
      </c>
      <c r="I10" s="22">
        <v>0</v>
      </c>
      <c r="J10" s="22">
        <v>0</v>
      </c>
      <c r="K10" s="23">
        <v>6.935582275224446</v>
      </c>
    </row>
    <row r="11" spans="1:11" x14ac:dyDescent="0.3">
      <c r="A11" s="21" t="s">
        <v>89</v>
      </c>
      <c r="B11" s="22">
        <v>16</v>
      </c>
      <c r="C11" s="23">
        <v>47.863755249999997</v>
      </c>
      <c r="D11" s="23">
        <v>46.578390874999997</v>
      </c>
      <c r="E11" s="23">
        <v>1.487260038790454</v>
      </c>
      <c r="F11" s="23">
        <v>1.806021871420928</v>
      </c>
      <c r="G11" s="23">
        <v>3.2454141875000002</v>
      </c>
      <c r="H11" s="23">
        <v>1.0506336249999999</v>
      </c>
      <c r="I11" s="22">
        <v>0</v>
      </c>
      <c r="J11" s="22">
        <v>0</v>
      </c>
      <c r="K11" s="23">
        <v>2.6854649583726369</v>
      </c>
    </row>
    <row r="12" spans="1:11" x14ac:dyDescent="0.3">
      <c r="A12" s="21" t="s">
        <v>90</v>
      </c>
      <c r="B12" s="22">
        <v>17</v>
      </c>
      <c r="C12" s="23">
        <v>50.658225823529413</v>
      </c>
      <c r="D12" s="23">
        <v>46.94442688235295</v>
      </c>
      <c r="E12" s="23">
        <v>2.0549397382011372</v>
      </c>
      <c r="F12" s="23">
        <v>1.3456807983059169</v>
      </c>
      <c r="G12" s="23">
        <v>3.1533081764705879</v>
      </c>
      <c r="H12" s="23">
        <v>1.0637319999999999</v>
      </c>
      <c r="I12" s="22">
        <v>0</v>
      </c>
      <c r="J12" s="22">
        <v>0</v>
      </c>
      <c r="K12" s="23">
        <v>7.3310876581301461</v>
      </c>
    </row>
    <row r="57" spans="1:4" x14ac:dyDescent="0.3">
      <c r="A57" s="3" t="s">
        <v>352</v>
      </c>
    </row>
    <row r="58" spans="1:4" x14ac:dyDescent="0.3">
      <c r="A58" s="36" t="s">
        <v>207</v>
      </c>
      <c r="B58" s="36" t="s">
        <v>19</v>
      </c>
      <c r="C58" s="36" t="s">
        <v>20</v>
      </c>
      <c r="D58" s="36" t="s">
        <v>353</v>
      </c>
    </row>
    <row r="59" spans="1:4" x14ac:dyDescent="0.3">
      <c r="A59" s="21" t="s">
        <v>354</v>
      </c>
      <c r="B59" s="23">
        <v>49.404171036231887</v>
      </c>
      <c r="C59" s="23">
        <v>47.010874202898549</v>
      </c>
      <c r="D59" s="21" t="s">
        <v>355</v>
      </c>
    </row>
    <row r="60" spans="1:4" x14ac:dyDescent="0.3">
      <c r="A60" s="21" t="s">
        <v>356</v>
      </c>
      <c r="B60" s="23">
        <v>49.471097499999999</v>
      </c>
      <c r="C60" s="23">
        <v>46.771963</v>
      </c>
      <c r="D60" s="21" t="s">
        <v>355</v>
      </c>
    </row>
    <row r="61" spans="1:4" x14ac:dyDescent="0.3">
      <c r="A61" s="21" t="s">
        <v>97</v>
      </c>
      <c r="B61" s="23">
        <v>3.023320936169223</v>
      </c>
      <c r="C61" s="23">
        <v>3.2383157683221988</v>
      </c>
      <c r="D61" s="21" t="s">
        <v>355</v>
      </c>
    </row>
    <row r="62" spans="1:4" x14ac:dyDescent="0.3">
      <c r="A62" s="21" t="s">
        <v>357</v>
      </c>
      <c r="B62" s="23">
        <v>3.2701241811594199</v>
      </c>
      <c r="C62" s="23">
        <v>1.061698144927536</v>
      </c>
      <c r="D62" s="21" t="s">
        <v>355</v>
      </c>
    </row>
    <row r="63" spans="1:4" x14ac:dyDescent="0.3">
      <c r="A63" s="21" t="s">
        <v>358</v>
      </c>
      <c r="B63" s="23">
        <v>97.278911564625844</v>
      </c>
      <c r="C63" s="23">
        <v>96.598639455782319</v>
      </c>
      <c r="D63" s="21" t="s">
        <v>359</v>
      </c>
    </row>
    <row r="64" spans="1:4" x14ac:dyDescent="0.3">
      <c r="A64" s="21" t="s">
        <v>360</v>
      </c>
      <c r="B64" s="23"/>
      <c r="C64" s="23">
        <v>7.1639999999999997</v>
      </c>
      <c r="D64" s="21" t="s">
        <v>355</v>
      </c>
    </row>
    <row r="65" spans="1:1" x14ac:dyDescent="0.3">
      <c r="A65" s="37" t="s">
        <v>361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zoomScale="26" zoomScaleNormal="63" workbookViewId="0">
      <selection activeCell="K53" sqref="K53"/>
    </sheetView>
  </sheetViews>
  <sheetFormatPr defaultColWidth="8.6640625" defaultRowHeight="14.4" x14ac:dyDescent="0.3"/>
  <cols>
    <col min="1" max="1" width="18" customWidth="1"/>
    <col min="2" max="5" width="16" customWidth="1"/>
  </cols>
  <sheetData>
    <row r="1" spans="1:8" ht="15" customHeight="1" x14ac:dyDescent="0.3">
      <c r="A1" s="45" t="s">
        <v>362</v>
      </c>
      <c r="B1" s="46"/>
      <c r="C1" s="46"/>
      <c r="D1" s="46"/>
      <c r="E1" s="46"/>
      <c r="F1" s="46"/>
      <c r="G1" s="46"/>
      <c r="H1" s="46"/>
    </row>
    <row r="3" spans="1:8" x14ac:dyDescent="0.3">
      <c r="A3" s="36" t="s">
        <v>363</v>
      </c>
      <c r="B3" s="36" t="s">
        <v>19</v>
      </c>
      <c r="C3" s="36" t="s">
        <v>20</v>
      </c>
      <c r="D3" s="36" t="s">
        <v>19</v>
      </c>
      <c r="E3" s="36" t="s">
        <v>20</v>
      </c>
    </row>
    <row r="4" spans="1:8" x14ac:dyDescent="0.3">
      <c r="A4" s="21" t="s">
        <v>364</v>
      </c>
      <c r="B4" s="23">
        <v>0.45168520000000001</v>
      </c>
      <c r="C4" s="23">
        <v>0.4516</v>
      </c>
      <c r="D4" s="23">
        <v>0.45297225000000002</v>
      </c>
      <c r="E4" s="23">
        <v>0.45259254999999998</v>
      </c>
    </row>
    <row r="5" spans="1:8" x14ac:dyDescent="0.3">
      <c r="A5" s="21" t="s">
        <v>365</v>
      </c>
      <c r="B5" s="23">
        <v>2.2344000000000001E-3</v>
      </c>
      <c r="C5" s="23">
        <v>2.0500000000000002E-3</v>
      </c>
      <c r="D5" s="23">
        <v>2.2924999999999998E-3</v>
      </c>
      <c r="E5" s="23">
        <v>1.99935E-3</v>
      </c>
    </row>
    <row r="6" spans="1:8" x14ac:dyDescent="0.3">
      <c r="A6" s="21" t="s">
        <v>366</v>
      </c>
      <c r="B6" s="23">
        <v>16.48271055</v>
      </c>
      <c r="C6" s="23">
        <v>16.398150000000001</v>
      </c>
      <c r="D6" s="23">
        <v>17.959899700000001</v>
      </c>
      <c r="E6" s="23">
        <v>18.153145299999998</v>
      </c>
    </row>
    <row r="7" spans="1:8" x14ac:dyDescent="0.3">
      <c r="A7" s="21" t="s">
        <v>367</v>
      </c>
      <c r="B7" s="23">
        <v>3.9830500000000001E-3</v>
      </c>
      <c r="C7" s="23">
        <v>4.4999999999999997E-3</v>
      </c>
      <c r="D7" s="23">
        <v>4.1462499999999998E-3</v>
      </c>
      <c r="E7" s="23">
        <v>4.2614999999999997E-3</v>
      </c>
    </row>
    <row r="8" spans="1:8" x14ac:dyDescent="0.3">
      <c r="A8" s="21" t="s">
        <v>368</v>
      </c>
      <c r="B8" s="23">
        <v>1.8711000000000001E-3</v>
      </c>
      <c r="C8" s="23">
        <v>1.9499999999999999E-3</v>
      </c>
      <c r="D8" s="23">
        <v>2.2304E-3</v>
      </c>
      <c r="E8" s="23">
        <v>2.0709999999999999E-3</v>
      </c>
    </row>
    <row r="9" spans="1:8" x14ac:dyDescent="0.3">
      <c r="A9" s="21" t="s">
        <v>369</v>
      </c>
      <c r="B9" s="23">
        <v>16.764286049999999</v>
      </c>
      <c r="C9" s="23">
        <v>15.4213</v>
      </c>
      <c r="D9" s="23">
        <v>15.5532424</v>
      </c>
      <c r="E9" s="23">
        <v>15.115048699999999</v>
      </c>
    </row>
    <row r="10" spans="1:8" x14ac:dyDescent="0.3">
      <c r="A10" s="21" t="s">
        <v>370</v>
      </c>
      <c r="B10" s="23">
        <v>4.26305E-3</v>
      </c>
      <c r="C10" s="23">
        <v>4.1578947368421104E-3</v>
      </c>
      <c r="D10" s="23">
        <v>5.2540499999999997E-3</v>
      </c>
      <c r="E10" s="23">
        <v>5.9147499999999999E-3</v>
      </c>
    </row>
    <row r="11" spans="1:8" x14ac:dyDescent="0.3">
      <c r="A11" s="21" t="s">
        <v>371</v>
      </c>
      <c r="B11" s="23">
        <v>13.7229271</v>
      </c>
      <c r="C11" s="23">
        <v>13.571</v>
      </c>
      <c r="D11" s="23">
        <v>13.5287925</v>
      </c>
      <c r="E11" s="23">
        <v>12.965722599999999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0"/>
  <sheetViews>
    <sheetView topLeftCell="A43" zoomScale="45" zoomScaleNormal="100" workbookViewId="0">
      <selection activeCell="I61" sqref="I61"/>
    </sheetView>
  </sheetViews>
  <sheetFormatPr defaultColWidth="8.6640625" defaultRowHeight="14.4" x14ac:dyDescent="0.3"/>
  <cols>
    <col min="1" max="1" width="24" customWidth="1"/>
    <col min="2" max="2" width="8" customWidth="1"/>
    <col min="3" max="3" width="11" customWidth="1"/>
    <col min="4" max="4" width="15" customWidth="1"/>
    <col min="5" max="5" width="10" customWidth="1"/>
  </cols>
  <sheetData>
    <row r="1" spans="1:7" ht="15" customHeight="1" x14ac:dyDescent="0.3">
      <c r="A1" s="45" t="s">
        <v>372</v>
      </c>
      <c r="B1" s="46"/>
      <c r="C1" s="46"/>
      <c r="D1" s="46"/>
      <c r="E1" s="46"/>
      <c r="F1" s="46"/>
      <c r="G1" s="46"/>
    </row>
    <row r="3" spans="1:7" ht="27" customHeight="1" x14ac:dyDescent="0.3">
      <c r="A3" s="36" t="s">
        <v>373</v>
      </c>
      <c r="B3" s="36" t="s">
        <v>374</v>
      </c>
      <c r="C3" s="36" t="s">
        <v>49</v>
      </c>
      <c r="D3" s="36" t="s">
        <v>50</v>
      </c>
      <c r="E3" s="36" t="s">
        <v>375</v>
      </c>
    </row>
    <row r="4" spans="1:7" x14ac:dyDescent="0.3">
      <c r="A4" s="21" t="s">
        <v>376</v>
      </c>
      <c r="B4" s="21">
        <v>100</v>
      </c>
      <c r="C4" s="21">
        <v>100</v>
      </c>
      <c r="D4" s="21">
        <v>0</v>
      </c>
      <c r="E4" s="23">
        <v>100</v>
      </c>
    </row>
    <row r="5" spans="1:7" x14ac:dyDescent="0.3">
      <c r="A5" s="21" t="s">
        <v>377</v>
      </c>
      <c r="B5" s="21">
        <v>200</v>
      </c>
      <c r="C5" s="21">
        <v>200</v>
      </c>
      <c r="D5" s="21">
        <v>0</v>
      </c>
      <c r="E5" s="23">
        <v>100</v>
      </c>
    </row>
    <row r="6" spans="1:7" x14ac:dyDescent="0.3">
      <c r="A6" s="21" t="s">
        <v>378</v>
      </c>
      <c r="B6" s="21">
        <v>200</v>
      </c>
      <c r="C6" s="21">
        <v>196</v>
      </c>
      <c r="D6" s="21">
        <v>4</v>
      </c>
      <c r="E6" s="23">
        <v>98</v>
      </c>
    </row>
    <row r="7" spans="1:7" x14ac:dyDescent="0.3">
      <c r="A7" s="21" t="s">
        <v>379</v>
      </c>
      <c r="B7" s="21">
        <v>100</v>
      </c>
      <c r="C7" s="21">
        <v>100</v>
      </c>
      <c r="D7" s="21">
        <v>0</v>
      </c>
      <c r="E7" s="23">
        <v>100</v>
      </c>
    </row>
    <row r="8" spans="1:7" x14ac:dyDescent="0.3">
      <c r="A8" s="21" t="s">
        <v>380</v>
      </c>
      <c r="B8" s="21">
        <v>100</v>
      </c>
      <c r="C8" s="21">
        <v>100</v>
      </c>
      <c r="D8" s="21">
        <v>0</v>
      </c>
      <c r="E8" s="23">
        <v>100</v>
      </c>
    </row>
    <row r="9" spans="1:7" x14ac:dyDescent="0.3">
      <c r="A9" s="21" t="s">
        <v>381</v>
      </c>
      <c r="B9" s="21">
        <v>100</v>
      </c>
      <c r="C9" s="21">
        <v>98</v>
      </c>
      <c r="D9" s="21">
        <v>2</v>
      </c>
      <c r="E9" s="23">
        <v>98</v>
      </c>
    </row>
    <row r="10" spans="1:7" x14ac:dyDescent="0.3">
      <c r="A10" s="21" t="s">
        <v>382</v>
      </c>
      <c r="B10" s="21">
        <v>100</v>
      </c>
      <c r="C10" s="21">
        <v>100</v>
      </c>
      <c r="D10" s="21">
        <v>0</v>
      </c>
      <c r="E10" s="23">
        <v>100</v>
      </c>
    </row>
    <row r="33" spans="1:4" x14ac:dyDescent="0.3">
      <c r="A33" s="3" t="s">
        <v>383</v>
      </c>
    </row>
    <row r="34" spans="1:4" x14ac:dyDescent="0.3">
      <c r="A34" s="36" t="s">
        <v>384</v>
      </c>
      <c r="B34" s="36" t="s">
        <v>385</v>
      </c>
      <c r="C34" s="36" t="s">
        <v>49</v>
      </c>
      <c r="D34" s="36" t="s">
        <v>375</v>
      </c>
    </row>
    <row r="35" spans="1:4" x14ac:dyDescent="0.3">
      <c r="A35" s="21" t="s">
        <v>386</v>
      </c>
      <c r="B35" s="21">
        <v>900</v>
      </c>
      <c r="C35" s="21">
        <v>894</v>
      </c>
      <c r="D35" s="23">
        <v>99.33</v>
      </c>
    </row>
    <row r="36" spans="1:4" x14ac:dyDescent="0.3">
      <c r="A36" s="21" t="s">
        <v>387</v>
      </c>
      <c r="B36" s="21">
        <v>100</v>
      </c>
      <c r="C36" s="21">
        <v>94</v>
      </c>
      <c r="D36" s="23">
        <v>94</v>
      </c>
    </row>
    <row r="59" spans="1:5" x14ac:dyDescent="0.3">
      <c r="A59" s="3" t="s">
        <v>388</v>
      </c>
    </row>
    <row r="60" spans="1:5" x14ac:dyDescent="0.3">
      <c r="A60" s="36" t="s">
        <v>207</v>
      </c>
      <c r="B60" s="36" t="s">
        <v>62</v>
      </c>
      <c r="C60" s="36" t="s">
        <v>95</v>
      </c>
      <c r="D60" s="36" t="s">
        <v>97</v>
      </c>
      <c r="E60" s="36" t="s">
        <v>353</v>
      </c>
    </row>
    <row r="61" spans="1:5" x14ac:dyDescent="0.3">
      <c r="A61" s="21" t="s">
        <v>389</v>
      </c>
      <c r="B61" s="21">
        <v>100</v>
      </c>
      <c r="C61" s="23">
        <v>152.39099999999999</v>
      </c>
      <c r="D61" s="23">
        <v>14.625999999999999</v>
      </c>
      <c r="E61" s="21" t="s">
        <v>390</v>
      </c>
    </row>
    <row r="62" spans="1:5" x14ac:dyDescent="0.3">
      <c r="A62" s="21" t="s">
        <v>391</v>
      </c>
      <c r="B62" s="21">
        <v>200</v>
      </c>
      <c r="C62" s="23">
        <v>2.0249999999999999</v>
      </c>
      <c r="D62" s="23">
        <v>0.64300000000000002</v>
      </c>
      <c r="E62" s="21" t="s">
        <v>390</v>
      </c>
    </row>
    <row r="63" spans="1:5" x14ac:dyDescent="0.3">
      <c r="A63" s="21" t="s">
        <v>392</v>
      </c>
      <c r="B63" s="21">
        <v>200</v>
      </c>
      <c r="C63" s="23">
        <v>1.536</v>
      </c>
      <c r="D63" s="23">
        <v>7.5999999999999998E-2</v>
      </c>
      <c r="E63" s="21" t="s">
        <v>355</v>
      </c>
    </row>
    <row r="64" spans="1:5" x14ac:dyDescent="0.3">
      <c r="A64" s="21" t="s">
        <v>393</v>
      </c>
      <c r="B64" s="21">
        <v>200</v>
      </c>
      <c r="C64" s="23">
        <v>10.335000000000001</v>
      </c>
      <c r="D64" s="23">
        <v>1.3340000000000001</v>
      </c>
      <c r="E64" s="21" t="s">
        <v>355</v>
      </c>
    </row>
    <row r="65" spans="1:5" x14ac:dyDescent="0.3">
      <c r="A65" s="21" t="s">
        <v>394</v>
      </c>
      <c r="B65" s="21">
        <v>200</v>
      </c>
      <c r="C65" s="23">
        <v>11.871</v>
      </c>
      <c r="D65" s="23">
        <v>1.335</v>
      </c>
      <c r="E65" s="21" t="s">
        <v>355</v>
      </c>
    </row>
    <row r="66" spans="1:5" x14ac:dyDescent="0.3">
      <c r="A66" s="21" t="s">
        <v>395</v>
      </c>
      <c r="B66" s="21">
        <v>100</v>
      </c>
      <c r="C66" s="23">
        <v>6.7000000000000004E-2</v>
      </c>
      <c r="D66" s="23">
        <v>0.14599999999999999</v>
      </c>
      <c r="E66" s="21" t="s">
        <v>355</v>
      </c>
    </row>
    <row r="67" spans="1:5" x14ac:dyDescent="0.3">
      <c r="A67" s="21" t="s">
        <v>396</v>
      </c>
      <c r="B67" s="21">
        <v>100</v>
      </c>
      <c r="C67" s="23">
        <v>7.8209999999999997</v>
      </c>
      <c r="D67" s="23">
        <v>0.70899999999999996</v>
      </c>
      <c r="E67" s="21" t="s">
        <v>355</v>
      </c>
    </row>
    <row r="68" spans="1:5" x14ac:dyDescent="0.3">
      <c r="A68" s="21" t="s">
        <v>397</v>
      </c>
      <c r="B68" s="21">
        <v>100</v>
      </c>
      <c r="C68" s="23">
        <v>7.8879999999999999</v>
      </c>
      <c r="D68" s="23">
        <v>0.67700000000000005</v>
      </c>
      <c r="E68" s="21" t="s">
        <v>355</v>
      </c>
    </row>
    <row r="70" spans="1:5" x14ac:dyDescent="0.3">
      <c r="A70" s="18" t="s">
        <v>398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topLeftCell="A25" zoomScale="30" zoomScaleNormal="61" workbookViewId="0">
      <selection activeCell="D45" sqref="D45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9" customWidth="1"/>
    <col min="4" max="4" width="12" customWidth="1"/>
    <col min="5" max="5" width="14" customWidth="1"/>
  </cols>
  <sheetData>
    <row r="1" spans="1:7" ht="15" customHeight="1" x14ac:dyDescent="0.3">
      <c r="A1" s="45" t="s">
        <v>399</v>
      </c>
      <c r="B1" s="46"/>
      <c r="C1" s="46"/>
      <c r="D1" s="46"/>
      <c r="E1" s="46"/>
      <c r="F1" s="46"/>
      <c r="G1" s="46"/>
    </row>
    <row r="3" spans="1:7" x14ac:dyDescent="0.3">
      <c r="A3" s="36" t="s">
        <v>400</v>
      </c>
      <c r="B3" s="36" t="s">
        <v>401</v>
      </c>
      <c r="C3" s="36" t="s">
        <v>402</v>
      </c>
      <c r="D3" s="36" t="s">
        <v>403</v>
      </c>
      <c r="E3" s="36" t="s">
        <v>404</v>
      </c>
    </row>
    <row r="4" spans="1:7" x14ac:dyDescent="0.3">
      <c r="A4" s="21" t="s">
        <v>405</v>
      </c>
      <c r="B4" s="23">
        <v>5.8470588235294203</v>
      </c>
      <c r="C4" s="23">
        <v>0.40588235294119701</v>
      </c>
      <c r="D4" s="23">
        <v>12.186063640849101</v>
      </c>
      <c r="E4" s="23">
        <v>0.233105631193505</v>
      </c>
    </row>
    <row r="5" spans="1:7" x14ac:dyDescent="0.3">
      <c r="A5" s="21" t="s">
        <v>406</v>
      </c>
      <c r="B5" s="23">
        <v>3.8764705882352799</v>
      </c>
      <c r="C5" s="23">
        <v>0.429411764705874</v>
      </c>
      <c r="D5" s="23">
        <v>6.3775513925570202</v>
      </c>
      <c r="E5" s="23">
        <v>0.239177512222504</v>
      </c>
    </row>
    <row r="6" spans="1:7" x14ac:dyDescent="0.3">
      <c r="A6" s="21" t="s">
        <v>407</v>
      </c>
      <c r="B6" s="23">
        <v>46.823529411764703</v>
      </c>
      <c r="C6" s="23">
        <v>0.57294117647058695</v>
      </c>
      <c r="D6" s="23">
        <v>10.7867122778308</v>
      </c>
      <c r="E6" s="23">
        <v>0.45765386355140603</v>
      </c>
    </row>
    <row r="7" spans="1:7" x14ac:dyDescent="0.3">
      <c r="A7" s="21" t="s">
        <v>408</v>
      </c>
      <c r="B7" s="23">
        <v>50.284818567646703</v>
      </c>
      <c r="C7" s="23">
        <v>0.932426987857227</v>
      </c>
      <c r="D7" s="23">
        <v>0.830638591709003</v>
      </c>
      <c r="E7" s="23">
        <v>0.34200315325335201</v>
      </c>
    </row>
    <row r="31" spans="1:2" x14ac:dyDescent="0.3">
      <c r="A31" s="3" t="s">
        <v>409</v>
      </c>
    </row>
    <row r="32" spans="1:2" x14ac:dyDescent="0.3">
      <c r="A32" s="36" t="s">
        <v>410</v>
      </c>
      <c r="B32" s="36" t="s">
        <v>411</v>
      </c>
    </row>
    <row r="33" spans="1:2" x14ac:dyDescent="0.3">
      <c r="A33" s="21" t="s">
        <v>412</v>
      </c>
      <c r="B33" s="21">
        <v>3</v>
      </c>
    </row>
    <row r="34" spans="1:2" x14ac:dyDescent="0.3">
      <c r="A34" s="21" t="s">
        <v>413</v>
      </c>
      <c r="B34" s="21">
        <v>3</v>
      </c>
    </row>
    <row r="35" spans="1:2" x14ac:dyDescent="0.3">
      <c r="A35" s="21" t="s">
        <v>414</v>
      </c>
      <c r="B35" s="21">
        <v>2</v>
      </c>
    </row>
    <row r="36" spans="1:2" x14ac:dyDescent="0.3">
      <c r="A36" s="21" t="s">
        <v>415</v>
      </c>
      <c r="B36" s="21">
        <v>17</v>
      </c>
    </row>
    <row r="37" spans="1:2" x14ac:dyDescent="0.3">
      <c r="A37" s="21" t="s">
        <v>416</v>
      </c>
      <c r="B37" s="21">
        <v>23</v>
      </c>
    </row>
    <row r="38" spans="1:2" x14ac:dyDescent="0.3">
      <c r="A38" s="21" t="s">
        <v>417</v>
      </c>
      <c r="B38" s="21">
        <v>19</v>
      </c>
    </row>
    <row r="39" spans="1:2" x14ac:dyDescent="0.3">
      <c r="A39" s="21" t="s">
        <v>418</v>
      </c>
      <c r="B39" s="21">
        <v>24</v>
      </c>
    </row>
    <row r="40" spans="1:2" x14ac:dyDescent="0.3">
      <c r="A40" s="21" t="s">
        <v>419</v>
      </c>
      <c r="B40" s="21">
        <v>20</v>
      </c>
    </row>
    <row r="41" spans="1:2" x14ac:dyDescent="0.3">
      <c r="A41" s="21" t="s">
        <v>420</v>
      </c>
      <c r="B41" s="21">
        <v>29</v>
      </c>
    </row>
    <row r="42" spans="1:2" x14ac:dyDescent="0.3">
      <c r="A42" s="21" t="s">
        <v>421</v>
      </c>
      <c r="B42" s="21">
        <v>26</v>
      </c>
    </row>
    <row r="43" spans="1:2" x14ac:dyDescent="0.3">
      <c r="A43" s="21" t="s">
        <v>422</v>
      </c>
      <c r="B43" s="21">
        <v>11</v>
      </c>
    </row>
    <row r="44" spans="1:2" x14ac:dyDescent="0.3">
      <c r="A44" s="21" t="s">
        <v>423</v>
      </c>
      <c r="B44" s="21">
        <v>8</v>
      </c>
    </row>
    <row r="45" spans="1:2" x14ac:dyDescent="0.3">
      <c r="A45" s="21" t="s">
        <v>424</v>
      </c>
      <c r="B45" s="21">
        <v>10</v>
      </c>
    </row>
    <row r="46" spans="1:2" x14ac:dyDescent="0.3">
      <c r="A46" s="21" t="s">
        <v>425</v>
      </c>
      <c r="B46" s="21">
        <v>2</v>
      </c>
    </row>
    <row r="47" spans="1:2" x14ac:dyDescent="0.3">
      <c r="A47" s="21" t="s">
        <v>426</v>
      </c>
      <c r="B47" s="21">
        <v>2</v>
      </c>
    </row>
    <row r="48" spans="1:2" x14ac:dyDescent="0.3">
      <c r="A48" s="21" t="s">
        <v>427</v>
      </c>
      <c r="B48" s="21"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0"/>
  <sheetViews>
    <sheetView topLeftCell="A90" zoomScale="59" zoomScaleNormal="75" workbookViewId="0">
      <selection activeCell="Y41" sqref="Y41"/>
    </sheetView>
  </sheetViews>
  <sheetFormatPr defaultColWidth="8.6640625" defaultRowHeight="14.4" x14ac:dyDescent="0.3"/>
  <cols>
    <col min="1" max="1" width="13" customWidth="1"/>
    <col min="2" max="3" width="20" customWidth="1"/>
    <col min="4" max="4" width="17" customWidth="1"/>
    <col min="5" max="5" width="9" customWidth="1"/>
    <col min="6" max="6" width="12" customWidth="1"/>
    <col min="7" max="7" width="9" customWidth="1"/>
    <col min="8" max="8" width="15" customWidth="1"/>
    <col min="9" max="10" width="9" customWidth="1"/>
  </cols>
  <sheetData>
    <row r="1" spans="1:10" ht="15" customHeight="1" x14ac:dyDescent="0.3">
      <c r="A1" s="45" t="s">
        <v>428</v>
      </c>
      <c r="B1" s="46"/>
      <c r="C1" s="46"/>
      <c r="D1" s="46"/>
      <c r="E1" s="46"/>
      <c r="F1" s="46"/>
      <c r="G1" s="46"/>
      <c r="H1" s="46"/>
      <c r="I1" s="46"/>
      <c r="J1" s="46"/>
    </row>
    <row r="3" spans="1:10" x14ac:dyDescent="0.3">
      <c r="A3" s="3" t="s">
        <v>429</v>
      </c>
    </row>
    <row r="4" spans="1:10" ht="27" customHeight="1" x14ac:dyDescent="0.3">
      <c r="A4" s="36" t="s">
        <v>430</v>
      </c>
      <c r="B4" s="36" t="s">
        <v>49</v>
      </c>
      <c r="C4" s="36" t="s">
        <v>375</v>
      </c>
      <c r="D4" s="36" t="s">
        <v>431</v>
      </c>
      <c r="E4" s="36" t="s">
        <v>432</v>
      </c>
      <c r="F4" s="36" t="s">
        <v>433</v>
      </c>
      <c r="G4" s="36" t="s">
        <v>432</v>
      </c>
      <c r="H4" s="36" t="s">
        <v>216</v>
      </c>
      <c r="I4" s="36" t="s">
        <v>432</v>
      </c>
      <c r="J4" s="36" t="s">
        <v>434</v>
      </c>
    </row>
    <row r="5" spans="1:10" x14ac:dyDescent="0.3">
      <c r="A5" s="21" t="s">
        <v>435</v>
      </c>
      <c r="B5" s="21">
        <v>49</v>
      </c>
      <c r="C5" s="23">
        <v>98</v>
      </c>
      <c r="D5" s="23">
        <v>4.0238387755101996</v>
      </c>
      <c r="E5" s="23">
        <v>0.57740394829512798</v>
      </c>
      <c r="F5" s="23">
        <v>33.322922448979597</v>
      </c>
      <c r="G5" s="23">
        <v>4.4533854727922701</v>
      </c>
      <c r="H5" s="23">
        <v>3.88442857142857</v>
      </c>
      <c r="I5" s="23">
        <v>0.97922683871852001</v>
      </c>
      <c r="J5" s="23">
        <v>45.346938775510203</v>
      </c>
    </row>
    <row r="6" spans="1:10" x14ac:dyDescent="0.3">
      <c r="A6" s="21" t="s">
        <v>436</v>
      </c>
      <c r="B6" s="21">
        <v>50</v>
      </c>
      <c r="C6" s="23">
        <v>100</v>
      </c>
      <c r="D6" s="23">
        <v>3.7800600000000002</v>
      </c>
      <c r="E6" s="23">
        <v>0.36629116387744598</v>
      </c>
      <c r="F6" s="23">
        <v>35.246473999999999</v>
      </c>
      <c r="G6" s="23">
        <v>4.0171377563882498</v>
      </c>
      <c r="H6" s="23">
        <v>4.3655720000000002</v>
      </c>
      <c r="I6" s="23">
        <v>1.30431108456627</v>
      </c>
      <c r="J6" s="23">
        <v>44.22</v>
      </c>
    </row>
    <row r="7" spans="1:10" x14ac:dyDescent="0.3">
      <c r="A7" s="21" t="s">
        <v>437</v>
      </c>
      <c r="B7" s="21">
        <v>50</v>
      </c>
      <c r="C7" s="23">
        <v>100</v>
      </c>
      <c r="D7" s="23">
        <v>4.0564460000000002</v>
      </c>
      <c r="E7" s="23">
        <v>0.49598556644980202</v>
      </c>
      <c r="F7" s="23">
        <v>34.565199999999997</v>
      </c>
      <c r="G7" s="23">
        <v>4.4262295057937502</v>
      </c>
      <c r="H7" s="23">
        <v>4.6664067999999999</v>
      </c>
      <c r="I7" s="23">
        <v>1.2217024892295001</v>
      </c>
      <c r="J7" s="23">
        <v>46.86</v>
      </c>
    </row>
    <row r="10" spans="1:10" x14ac:dyDescent="0.3">
      <c r="A10" s="3" t="s">
        <v>438</v>
      </c>
    </row>
    <row r="11" spans="1:10" ht="27" customHeight="1" x14ac:dyDescent="0.3">
      <c r="A11" s="36" t="s">
        <v>430</v>
      </c>
      <c r="B11" s="36" t="s">
        <v>49</v>
      </c>
      <c r="C11" s="36" t="s">
        <v>375</v>
      </c>
      <c r="D11" s="36" t="s">
        <v>431</v>
      </c>
      <c r="E11" s="36" t="s">
        <v>432</v>
      </c>
      <c r="F11" s="36" t="s">
        <v>433</v>
      </c>
      <c r="G11" s="36" t="s">
        <v>432</v>
      </c>
      <c r="H11" s="36" t="s">
        <v>216</v>
      </c>
      <c r="I11" s="36" t="s">
        <v>432</v>
      </c>
      <c r="J11" s="36" t="s">
        <v>434</v>
      </c>
    </row>
    <row r="12" spans="1:10" x14ac:dyDescent="0.3">
      <c r="A12" s="21" t="s">
        <v>435</v>
      </c>
      <c r="B12" s="21">
        <v>85</v>
      </c>
      <c r="C12" s="23">
        <v>100</v>
      </c>
      <c r="D12" s="23">
        <v>9.1132341176470594E-2</v>
      </c>
      <c r="E12" s="23">
        <v>2.1408744703393299E-2</v>
      </c>
      <c r="F12" s="23">
        <v>3.8778369058823499</v>
      </c>
      <c r="G12" s="23">
        <v>0.722582452692896</v>
      </c>
      <c r="H12" s="23">
        <v>2.2710602705882401</v>
      </c>
      <c r="I12" s="23">
        <v>1.0131788550632399</v>
      </c>
      <c r="J12" s="23">
        <v>39.188235294117703</v>
      </c>
    </row>
    <row r="13" spans="1:10" x14ac:dyDescent="0.3">
      <c r="A13" s="21" t="s">
        <v>436</v>
      </c>
      <c r="B13" s="21">
        <v>82</v>
      </c>
      <c r="C13" s="23">
        <v>96.47</v>
      </c>
      <c r="D13" s="23">
        <v>8.8657865853658493E-2</v>
      </c>
      <c r="E13" s="23">
        <v>1.6430275311416501E-2</v>
      </c>
      <c r="F13" s="23">
        <v>3.8276770365853698</v>
      </c>
      <c r="G13" s="23">
        <v>0.88462111375846697</v>
      </c>
      <c r="H13" s="23">
        <v>2.2051470243902398</v>
      </c>
      <c r="I13" s="23">
        <v>1.14617665629667</v>
      </c>
      <c r="J13" s="23">
        <v>39</v>
      </c>
    </row>
    <row r="14" spans="1:10" x14ac:dyDescent="0.3">
      <c r="A14" s="21" t="s">
        <v>437</v>
      </c>
      <c r="B14" s="21">
        <v>79</v>
      </c>
      <c r="C14" s="23">
        <v>92.94</v>
      </c>
      <c r="D14" s="23">
        <v>9.1157316455696205E-2</v>
      </c>
      <c r="E14" s="23">
        <v>2.2355876579883499E-2</v>
      </c>
      <c r="F14" s="23">
        <v>3.92000683544304</v>
      </c>
      <c r="G14" s="23">
        <v>0.943699029254078</v>
      </c>
      <c r="H14" s="23">
        <v>2.4807807974683498</v>
      </c>
      <c r="I14" s="23">
        <v>1.1550408610011</v>
      </c>
      <c r="J14" s="23">
        <v>40.164556962025301</v>
      </c>
    </row>
    <row r="58" spans="1:3" x14ac:dyDescent="0.3">
      <c r="A58" s="3" t="s">
        <v>439</v>
      </c>
    </row>
    <row r="59" spans="1:3" x14ac:dyDescent="0.3">
      <c r="A59" s="36" t="s">
        <v>430</v>
      </c>
      <c r="B59" s="36" t="s">
        <v>440</v>
      </c>
      <c r="C59" s="36" t="s">
        <v>441</v>
      </c>
    </row>
    <row r="60" spans="1:3" x14ac:dyDescent="0.3">
      <c r="A60" s="21" t="s">
        <v>435</v>
      </c>
      <c r="B60" s="23">
        <v>98</v>
      </c>
      <c r="C60" s="23">
        <v>100</v>
      </c>
    </row>
    <row r="61" spans="1:3" x14ac:dyDescent="0.3">
      <c r="A61" s="21" t="s">
        <v>436</v>
      </c>
      <c r="B61" s="23">
        <v>100</v>
      </c>
      <c r="C61" s="23">
        <v>96.47</v>
      </c>
    </row>
    <row r="62" spans="1:3" x14ac:dyDescent="0.3">
      <c r="A62" s="21" t="s">
        <v>437</v>
      </c>
      <c r="B62" s="23">
        <v>100</v>
      </c>
      <c r="C62" s="23">
        <v>92.94</v>
      </c>
    </row>
    <row r="66" spans="1:3" x14ac:dyDescent="0.3">
      <c r="A66" s="38" t="s">
        <v>442</v>
      </c>
    </row>
    <row r="67" spans="1:3" x14ac:dyDescent="0.3">
      <c r="A67" s="36" t="s">
        <v>430</v>
      </c>
      <c r="B67" s="36" t="s">
        <v>310</v>
      </c>
      <c r="C67" s="36" t="s">
        <v>319</v>
      </c>
    </row>
    <row r="68" spans="1:3" x14ac:dyDescent="0.3">
      <c r="A68" s="21" t="str">
        <f>A5</f>
        <v>RRTConnect</v>
      </c>
      <c r="B68" s="39">
        <f>J5</f>
        <v>45.346938775510203</v>
      </c>
      <c r="C68" s="39">
        <f>J12</f>
        <v>39.188235294117703</v>
      </c>
    </row>
    <row r="69" spans="1:3" x14ac:dyDescent="0.3">
      <c r="A69" s="21" t="str">
        <f>A6</f>
        <v>RRTstar</v>
      </c>
      <c r="B69" s="39">
        <f>J6</f>
        <v>44.22</v>
      </c>
      <c r="C69" s="39">
        <f>J13</f>
        <v>39</v>
      </c>
    </row>
    <row r="70" spans="1:3" x14ac:dyDescent="0.3">
      <c r="A70" s="21" t="str">
        <f>A7</f>
        <v>PRMstar</v>
      </c>
      <c r="B70" s="39">
        <f>J7</f>
        <v>46.86</v>
      </c>
      <c r="C70" s="39">
        <f>J14</f>
        <v>40.164556962025301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"/>
  <sheetViews>
    <sheetView topLeftCell="A19" zoomScale="64" zoomScaleNormal="71" workbookViewId="0">
      <selection activeCell="K44" sqref="K44"/>
    </sheetView>
  </sheetViews>
  <sheetFormatPr defaultColWidth="8.6640625" defaultRowHeight="14.4" x14ac:dyDescent="0.3"/>
  <cols>
    <col min="1" max="1" width="14" customWidth="1"/>
    <col min="2" max="2" width="7" customWidth="1"/>
    <col min="3" max="3" width="13" customWidth="1"/>
    <col min="4" max="4" width="14" customWidth="1"/>
    <col min="5" max="7" width="11" customWidth="1"/>
  </cols>
  <sheetData>
    <row r="1" spans="1:6" ht="15" customHeight="1" x14ac:dyDescent="0.3">
      <c r="A1" s="45" t="s">
        <v>443</v>
      </c>
      <c r="B1" s="46"/>
      <c r="C1" s="46"/>
      <c r="D1" s="46"/>
      <c r="E1" s="46"/>
      <c r="F1" s="46"/>
    </row>
    <row r="3" spans="1:6" ht="27" customHeight="1" x14ac:dyDescent="0.3">
      <c r="A3" s="36" t="s">
        <v>444</v>
      </c>
      <c r="B3" s="36" t="s">
        <v>445</v>
      </c>
      <c r="C3" s="36" t="s">
        <v>446</v>
      </c>
    </row>
    <row r="4" spans="1:6" x14ac:dyDescent="0.3">
      <c r="A4" s="21" t="s">
        <v>447</v>
      </c>
      <c r="B4" s="21" t="s">
        <v>448</v>
      </c>
      <c r="C4" s="23">
        <v>549.42470000000003</v>
      </c>
    </row>
    <row r="5" spans="1:6" x14ac:dyDescent="0.3">
      <c r="A5" s="21" t="s">
        <v>449</v>
      </c>
      <c r="B5" s="21" t="s">
        <v>448</v>
      </c>
      <c r="C5" s="23">
        <v>570.35720000000003</v>
      </c>
    </row>
    <row r="6" spans="1:6" x14ac:dyDescent="0.3">
      <c r="A6" s="21" t="s">
        <v>450</v>
      </c>
      <c r="B6" s="21" t="s">
        <v>448</v>
      </c>
      <c r="C6" s="23">
        <v>2017.57</v>
      </c>
    </row>
    <row r="7" spans="1:6" x14ac:dyDescent="0.3">
      <c r="A7" s="21" t="s">
        <v>451</v>
      </c>
      <c r="B7" s="21" t="s">
        <v>448</v>
      </c>
      <c r="C7" s="23">
        <v>334.91160000000002</v>
      </c>
    </row>
    <row r="8" spans="1:6" x14ac:dyDescent="0.3">
      <c r="A8" s="21" t="s">
        <v>452</v>
      </c>
      <c r="B8" s="21" t="s">
        <v>448</v>
      </c>
      <c r="C8" s="23">
        <v>335.12220000000002</v>
      </c>
    </row>
    <row r="9" spans="1:6" x14ac:dyDescent="0.3">
      <c r="A9" s="21" t="s">
        <v>88</v>
      </c>
      <c r="B9" s="21" t="s">
        <v>453</v>
      </c>
      <c r="C9" s="23">
        <v>110.07729999999999</v>
      </c>
    </row>
    <row r="10" spans="1:6" x14ac:dyDescent="0.3">
      <c r="A10" s="21" t="s">
        <v>88</v>
      </c>
      <c r="B10" s="21" t="s">
        <v>453</v>
      </c>
      <c r="C10" s="23">
        <v>42.056199999999997</v>
      </c>
    </row>
    <row r="11" spans="1:6" x14ac:dyDescent="0.3">
      <c r="A11" s="21" t="s">
        <v>87</v>
      </c>
      <c r="B11" s="21" t="s">
        <v>453</v>
      </c>
      <c r="C11" s="23">
        <v>253.92619999999999</v>
      </c>
    </row>
    <row r="12" spans="1:6" x14ac:dyDescent="0.3">
      <c r="A12" s="21" t="s">
        <v>87</v>
      </c>
      <c r="B12" s="21" t="s">
        <v>453</v>
      </c>
      <c r="C12" s="23">
        <v>76.151399999999995</v>
      </c>
    </row>
    <row r="13" spans="1:6" x14ac:dyDescent="0.3">
      <c r="A13" s="21" t="s">
        <v>89</v>
      </c>
      <c r="B13" s="21" t="s">
        <v>453</v>
      </c>
      <c r="C13" s="23">
        <v>226.33920000000001</v>
      </c>
    </row>
    <row r="14" spans="1:6" x14ac:dyDescent="0.3">
      <c r="A14" s="21" t="s">
        <v>89</v>
      </c>
      <c r="B14" s="21" t="s">
        <v>453</v>
      </c>
      <c r="C14" s="23">
        <v>145.37639999999999</v>
      </c>
    </row>
    <row r="15" spans="1:6" x14ac:dyDescent="0.3">
      <c r="A15" s="21" t="s">
        <v>90</v>
      </c>
      <c r="B15" s="21" t="s">
        <v>453</v>
      </c>
      <c r="C15" s="23">
        <v>250.27789999999999</v>
      </c>
    </row>
    <row r="16" spans="1:6" x14ac:dyDescent="0.3">
      <c r="A16" s="21" t="s">
        <v>90</v>
      </c>
      <c r="B16" s="21" t="s">
        <v>453</v>
      </c>
      <c r="C16" s="23">
        <v>202.28819999999999</v>
      </c>
    </row>
    <row r="17" spans="1:7" x14ac:dyDescent="0.3">
      <c r="A17" s="21" t="s">
        <v>454</v>
      </c>
      <c r="B17" s="21" t="s">
        <v>453</v>
      </c>
      <c r="C17" s="23">
        <v>341.16910000000001</v>
      </c>
    </row>
    <row r="18" spans="1:7" x14ac:dyDescent="0.3">
      <c r="A18" s="21" t="s">
        <v>454</v>
      </c>
      <c r="B18" s="21" t="s">
        <v>453</v>
      </c>
      <c r="C18" s="23">
        <v>216.982</v>
      </c>
    </row>
    <row r="19" spans="1:7" x14ac:dyDescent="0.3">
      <c r="A19" s="21" t="s">
        <v>454</v>
      </c>
      <c r="B19" s="21" t="s">
        <v>453</v>
      </c>
      <c r="C19" s="23">
        <v>300.11219999999997</v>
      </c>
    </row>
    <row r="20" spans="1:7" x14ac:dyDescent="0.3">
      <c r="A20" s="21" t="s">
        <v>455</v>
      </c>
      <c r="B20" s="21" t="s">
        <v>453</v>
      </c>
      <c r="C20" s="23">
        <v>147.44970000000001</v>
      </c>
    </row>
    <row r="21" spans="1:7" x14ac:dyDescent="0.3">
      <c r="A21" s="21" t="s">
        <v>455</v>
      </c>
      <c r="B21" s="21" t="s">
        <v>453</v>
      </c>
      <c r="C21" s="23">
        <v>98.072500000000005</v>
      </c>
    </row>
    <row r="22" spans="1:7" x14ac:dyDescent="0.3">
      <c r="A22" s="21" t="s">
        <v>455</v>
      </c>
      <c r="B22" s="21" t="s">
        <v>453</v>
      </c>
      <c r="C22" s="23">
        <v>177.09270000000001</v>
      </c>
    </row>
    <row r="23" spans="1:7" x14ac:dyDescent="0.3">
      <c r="A23" s="21" t="s">
        <v>456</v>
      </c>
      <c r="B23" s="21" t="s">
        <v>453</v>
      </c>
      <c r="C23" s="23">
        <v>180.71279999999999</v>
      </c>
    </row>
    <row r="26" spans="1:7" x14ac:dyDescent="0.3">
      <c r="A26" s="3" t="s">
        <v>457</v>
      </c>
    </row>
    <row r="27" spans="1:7" x14ac:dyDescent="0.3">
      <c r="A27" s="36" t="s">
        <v>445</v>
      </c>
      <c r="B27" s="36" t="s">
        <v>62</v>
      </c>
      <c r="C27" s="36" t="s">
        <v>458</v>
      </c>
      <c r="D27" s="36" t="s">
        <v>459</v>
      </c>
      <c r="E27" s="36" t="s">
        <v>460</v>
      </c>
      <c r="F27" s="36" t="s">
        <v>98</v>
      </c>
      <c r="G27" s="36" t="s">
        <v>99</v>
      </c>
    </row>
    <row r="28" spans="1:7" x14ac:dyDescent="0.3">
      <c r="A28" s="21" t="s">
        <v>453</v>
      </c>
      <c r="B28" s="21">
        <v>15</v>
      </c>
      <c r="C28" s="23">
        <v>184.53891999999999</v>
      </c>
      <c r="D28" s="23">
        <v>180.71279999999999</v>
      </c>
      <c r="E28" s="23">
        <v>83.747414234284605</v>
      </c>
      <c r="F28" s="23">
        <v>42.056199999999997</v>
      </c>
      <c r="G28" s="23">
        <v>341.16910000000001</v>
      </c>
    </row>
    <row r="29" spans="1:7" x14ac:dyDescent="0.3">
      <c r="A29" s="21" t="s">
        <v>448</v>
      </c>
      <c r="B29" s="21">
        <v>5</v>
      </c>
      <c r="C29" s="23">
        <v>761.47713999999996</v>
      </c>
      <c r="D29" s="23">
        <v>549.42470000000003</v>
      </c>
      <c r="E29" s="23">
        <v>711.16085319996898</v>
      </c>
      <c r="F29" s="23">
        <v>334.91160000000002</v>
      </c>
      <c r="G29" s="23">
        <v>2017.57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topLeftCell="A11" zoomScale="76" zoomScaleNormal="90" workbookViewId="0">
      <selection activeCell="J24" sqref="J24"/>
    </sheetView>
  </sheetViews>
  <sheetFormatPr defaultColWidth="8.6640625" defaultRowHeight="14.4" x14ac:dyDescent="0.3"/>
  <cols>
    <col min="1" max="1" width="26" customWidth="1"/>
    <col min="2" max="2" width="12" customWidth="1"/>
    <col min="3" max="3" width="22" customWidth="1"/>
    <col min="4" max="4" width="9" customWidth="1"/>
  </cols>
  <sheetData>
    <row r="1" spans="1:5" ht="15" customHeight="1" x14ac:dyDescent="0.3">
      <c r="A1" s="45" t="s">
        <v>0</v>
      </c>
      <c r="B1" s="46"/>
      <c r="C1" s="46"/>
      <c r="D1" s="46"/>
      <c r="E1" s="46"/>
    </row>
    <row r="3" spans="1:5" x14ac:dyDescent="0.3">
      <c r="A3" s="36" t="s">
        <v>1</v>
      </c>
      <c r="B3" s="36" t="s">
        <v>2</v>
      </c>
      <c r="C3" s="36" t="s">
        <v>3</v>
      </c>
      <c r="D3" s="36" t="s">
        <v>4</v>
      </c>
    </row>
    <row r="4" spans="1:5" x14ac:dyDescent="0.3">
      <c r="A4" s="21" t="s">
        <v>5</v>
      </c>
      <c r="B4" s="21">
        <v>5</v>
      </c>
      <c r="C4" s="21">
        <v>0</v>
      </c>
      <c r="D4" s="21">
        <v>5</v>
      </c>
    </row>
    <row r="5" spans="1:5" x14ac:dyDescent="0.3">
      <c r="A5" s="21" t="s">
        <v>6</v>
      </c>
      <c r="B5" s="21">
        <v>8</v>
      </c>
      <c r="C5" s="21">
        <v>0</v>
      </c>
      <c r="D5" s="21">
        <v>8</v>
      </c>
    </row>
    <row r="6" spans="1:5" x14ac:dyDescent="0.3">
      <c r="A6" s="21" t="s">
        <v>7</v>
      </c>
      <c r="B6" s="21">
        <v>2</v>
      </c>
      <c r="C6" s="21">
        <v>0</v>
      </c>
      <c r="D6" s="21">
        <v>2</v>
      </c>
    </row>
    <row r="7" spans="1:5" x14ac:dyDescent="0.3">
      <c r="A7" s="21" t="s">
        <v>8</v>
      </c>
      <c r="B7" s="21">
        <v>15</v>
      </c>
      <c r="C7" s="21">
        <v>0</v>
      </c>
      <c r="D7" s="21">
        <v>15</v>
      </c>
    </row>
    <row r="8" spans="1:5" x14ac:dyDescent="0.3">
      <c r="A8" s="21" t="s">
        <v>9</v>
      </c>
      <c r="B8" s="21">
        <v>6</v>
      </c>
      <c r="C8" s="21">
        <v>0</v>
      </c>
      <c r="D8" s="21">
        <v>6</v>
      </c>
    </row>
    <row r="9" spans="1:5" x14ac:dyDescent="0.3">
      <c r="A9" s="21" t="s">
        <v>10</v>
      </c>
      <c r="B9" s="21">
        <v>1</v>
      </c>
      <c r="C9" s="21">
        <v>0</v>
      </c>
      <c r="D9" s="21">
        <v>1</v>
      </c>
    </row>
    <row r="10" spans="1:5" x14ac:dyDescent="0.3">
      <c r="A10" s="21" t="s">
        <v>11</v>
      </c>
      <c r="B10" s="21">
        <v>1</v>
      </c>
      <c r="C10" s="21">
        <v>1</v>
      </c>
      <c r="D10" s="21">
        <v>2</v>
      </c>
    </row>
    <row r="11" spans="1:5" x14ac:dyDescent="0.3">
      <c r="A11" s="21" t="s">
        <v>12</v>
      </c>
      <c r="B11" s="21">
        <v>2</v>
      </c>
      <c r="C11" s="21">
        <v>0</v>
      </c>
      <c r="D11" s="21">
        <v>2</v>
      </c>
    </row>
    <row r="12" spans="1:5" x14ac:dyDescent="0.3">
      <c r="A12" s="21" t="s">
        <v>13</v>
      </c>
      <c r="B12" s="21">
        <v>19</v>
      </c>
      <c r="C12" s="21">
        <v>0</v>
      </c>
      <c r="D12" s="21">
        <v>19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3"/>
  <sheetViews>
    <sheetView showGridLines="0" zoomScale="53" zoomScaleNormal="100" workbookViewId="0"/>
  </sheetViews>
  <sheetFormatPr defaultColWidth="8.6640625" defaultRowHeight="14.4" x14ac:dyDescent="0.3"/>
  <cols>
    <col min="1" max="1" width="30" customWidth="1"/>
    <col min="2" max="3" width="22" customWidth="1"/>
    <col min="4" max="4" width="26" customWidth="1"/>
    <col min="5" max="5" width="30" customWidth="1"/>
  </cols>
  <sheetData>
    <row r="1" spans="1:5" ht="15" customHeight="1" x14ac:dyDescent="0.3">
      <c r="A1" s="1" t="s">
        <v>461</v>
      </c>
    </row>
    <row r="2" spans="1:5" x14ac:dyDescent="0.3">
      <c r="A2" s="18" t="s">
        <v>462</v>
      </c>
    </row>
    <row r="3" spans="1:5" ht="25.5" customHeight="1" x14ac:dyDescent="0.3">
      <c r="A3" s="20" t="s">
        <v>117</v>
      </c>
      <c r="B3" s="20" t="s">
        <v>120</v>
      </c>
      <c r="C3" s="20" t="s">
        <v>121</v>
      </c>
      <c r="D3" s="20" t="s">
        <v>118</v>
      </c>
      <c r="E3" s="20" t="s">
        <v>119</v>
      </c>
    </row>
    <row r="4" spans="1:5" x14ac:dyDescent="0.3">
      <c r="A4" s="7">
        <v>0.92736184954957601</v>
      </c>
      <c r="B4" s="7">
        <v>110.07729999999999</v>
      </c>
      <c r="C4" s="7">
        <v>549.42470000000003</v>
      </c>
      <c r="D4" s="7">
        <v>50.501683140267701</v>
      </c>
      <c r="E4" s="7">
        <v>1.4456832294800901</v>
      </c>
    </row>
    <row r="5" spans="1:5" x14ac:dyDescent="0.3">
      <c r="A5" s="7">
        <v>1.0954451150103599</v>
      </c>
      <c r="B5" s="7">
        <v>42.056199999999997</v>
      </c>
      <c r="C5" s="7">
        <v>570.35720000000003</v>
      </c>
      <c r="D5" s="7">
        <v>52.0048074700792</v>
      </c>
      <c r="E5" s="7">
        <v>1.00995049383623</v>
      </c>
    </row>
    <row r="6" spans="1:5" x14ac:dyDescent="0.3">
      <c r="A6" s="7">
        <v>0.60000000000004505</v>
      </c>
      <c r="B6" s="7">
        <v>253.92619999999999</v>
      </c>
      <c r="C6" s="7">
        <v>2017.57</v>
      </c>
      <c r="D6" s="7">
        <v>50.509900019699103</v>
      </c>
      <c r="E6" s="7">
        <v>1.58429795177549</v>
      </c>
    </row>
    <row r="7" spans="1:5" x14ac:dyDescent="0.3">
      <c r="A7" s="7">
        <v>0.76157731058645295</v>
      </c>
      <c r="B7" s="7">
        <v>76.151399999999995</v>
      </c>
      <c r="C7" s="7">
        <v>334.91160000000002</v>
      </c>
      <c r="D7" s="7">
        <v>50.912768535997003</v>
      </c>
      <c r="E7" s="7">
        <v>1.1445523142259699</v>
      </c>
    </row>
    <row r="8" spans="1:5" x14ac:dyDescent="0.3">
      <c r="A8" s="7">
        <v>1.1045361017187201</v>
      </c>
      <c r="B8" s="7">
        <v>226.33920000000001</v>
      </c>
      <c r="C8" s="7">
        <v>335.12220000000002</v>
      </c>
      <c r="D8" s="7">
        <v>50.709959574032403</v>
      </c>
      <c r="E8" s="7">
        <v>1.4456832294800901</v>
      </c>
    </row>
    <row r="9" spans="1:5" x14ac:dyDescent="0.3">
      <c r="A9" s="7">
        <v>0.80622577482982805</v>
      </c>
      <c r="B9" s="7">
        <v>145.37639999999999</v>
      </c>
      <c r="D9" s="7">
        <v>50.7036487838893</v>
      </c>
      <c r="E9" s="7">
        <v>0.81240384046356096</v>
      </c>
    </row>
    <row r="10" spans="1:5" x14ac:dyDescent="0.3">
      <c r="A10" s="7">
        <v>0.64031242374323205</v>
      </c>
      <c r="B10" s="7">
        <v>250.27789999999999</v>
      </c>
      <c r="D10" s="7">
        <v>49.701307829875098</v>
      </c>
      <c r="E10" s="7">
        <v>1.02956301409872</v>
      </c>
    </row>
    <row r="11" spans="1:5" x14ac:dyDescent="0.3">
      <c r="A11" s="7">
        <v>1.1045361017186499</v>
      </c>
      <c r="B11" s="7">
        <v>202.28819999999999</v>
      </c>
      <c r="D11" s="7">
        <v>50.200199202792</v>
      </c>
      <c r="E11" s="7">
        <v>0.81240384046357195</v>
      </c>
    </row>
    <row r="12" spans="1:5" x14ac:dyDescent="0.3">
      <c r="A12" s="7">
        <v>1.23693168768531</v>
      </c>
      <c r="B12" s="7">
        <v>341.16910000000001</v>
      </c>
      <c r="D12" s="7">
        <v>49.874843358150002</v>
      </c>
      <c r="E12" s="7">
        <v>0.98994949366116802</v>
      </c>
    </row>
    <row r="13" spans="1:5" x14ac:dyDescent="0.3">
      <c r="A13" s="7">
        <v>1.1045361017186499</v>
      </c>
      <c r="B13" s="7">
        <v>216.982</v>
      </c>
      <c r="D13" s="7">
        <v>49.1066186985013</v>
      </c>
      <c r="E13" s="7">
        <v>0.51146847410183005</v>
      </c>
    </row>
    <row r="14" spans="1:5" x14ac:dyDescent="0.3">
      <c r="A14" s="7">
        <v>0.64031242374332697</v>
      </c>
      <c r="B14" s="7">
        <v>300.11219999999997</v>
      </c>
      <c r="D14" s="7">
        <v>49.917732320288799</v>
      </c>
      <c r="E14" s="7">
        <v>0.70710678118664605</v>
      </c>
    </row>
    <row r="15" spans="1:5" x14ac:dyDescent="0.3">
      <c r="A15" s="7">
        <v>0.86602540378437498</v>
      </c>
      <c r="B15" s="7">
        <v>147.44970000000001</v>
      </c>
      <c r="D15" s="7">
        <v>50.5445348183164</v>
      </c>
      <c r="E15" s="7">
        <v>1.0862780491200099</v>
      </c>
    </row>
    <row r="16" spans="1:5" x14ac:dyDescent="0.3">
      <c r="A16" s="7">
        <v>0.60827625302975497</v>
      </c>
      <c r="B16" s="7">
        <v>98.072500000000005</v>
      </c>
      <c r="D16" s="7">
        <v>49.598991925239801</v>
      </c>
      <c r="E16" s="7">
        <v>0.64807406984071703</v>
      </c>
    </row>
    <row r="17" spans="1:5" x14ac:dyDescent="0.3">
      <c r="A17" s="7">
        <v>0.57445626465377797</v>
      </c>
      <c r="B17" s="7">
        <v>177.09270000000001</v>
      </c>
      <c r="D17" s="7">
        <v>50.4179531516304</v>
      </c>
      <c r="E17" s="7">
        <v>0.67823299831251105</v>
      </c>
    </row>
    <row r="18" spans="1:5" x14ac:dyDescent="0.3">
      <c r="A18" s="7">
        <v>1.2449899597988601</v>
      </c>
      <c r="B18" s="7">
        <v>180.71279999999999</v>
      </c>
      <c r="D18" s="7">
        <v>49.627008775464198</v>
      </c>
      <c r="E18" s="7">
        <v>0.87749643873922301</v>
      </c>
    </row>
    <row r="19" spans="1:5" x14ac:dyDescent="0.3">
      <c r="A19" s="7">
        <v>1.2727922061357599</v>
      </c>
      <c r="D19" s="7">
        <v>48.805122681948099</v>
      </c>
      <c r="E19" s="7">
        <v>0.76811457478699297</v>
      </c>
    </row>
    <row r="20" spans="1:5" x14ac:dyDescent="0.3">
      <c r="A20" s="7">
        <v>0.90553851381375206</v>
      </c>
      <c r="D20" s="7">
        <v>51.704835363822603</v>
      </c>
      <c r="E20" s="7">
        <v>0.30000000000004101</v>
      </c>
    </row>
    <row r="21" spans="1:5" x14ac:dyDescent="0.3">
      <c r="A21" s="7">
        <v>1.67630546142403</v>
      </c>
    </row>
    <row r="22" spans="1:5" x14ac:dyDescent="0.3">
      <c r="A22" s="7">
        <v>0.92736184954957901</v>
      </c>
    </row>
    <row r="23" spans="1:5" x14ac:dyDescent="0.3">
      <c r="A23" s="7">
        <v>0.244948974278314</v>
      </c>
    </row>
    <row r="24" spans="1:5" x14ac:dyDescent="0.3">
      <c r="A24" s="7">
        <v>0</v>
      </c>
    </row>
    <row r="25" spans="1:5" x14ac:dyDescent="0.3">
      <c r="A25" s="7">
        <v>1.37477270848675</v>
      </c>
    </row>
    <row r="26" spans="1:5" x14ac:dyDescent="0.3">
      <c r="A26" s="7">
        <v>1.0770329614268801</v>
      </c>
    </row>
    <row r="27" spans="1:5" x14ac:dyDescent="0.3">
      <c r="A27" s="7">
        <v>0.59160797830991096</v>
      </c>
    </row>
    <row r="28" spans="1:5" x14ac:dyDescent="0.3">
      <c r="A28" s="7">
        <v>1.0246950765959699</v>
      </c>
    </row>
    <row r="29" spans="1:5" x14ac:dyDescent="0.3">
      <c r="A29" s="7">
        <v>1.0488088481701601</v>
      </c>
    </row>
    <row r="30" spans="1:5" x14ac:dyDescent="0.3">
      <c r="A30" s="7">
        <v>0.94868329805046603</v>
      </c>
    </row>
    <row r="31" spans="1:5" x14ac:dyDescent="0.3">
      <c r="A31" s="7">
        <v>0.42426406871193401</v>
      </c>
    </row>
    <row r="32" spans="1:5" x14ac:dyDescent="0.3">
      <c r="A32" s="7">
        <v>0.42426406871188399</v>
      </c>
    </row>
    <row r="33" spans="1:1" x14ac:dyDescent="0.3">
      <c r="A33" s="7">
        <v>0.43588989435405801</v>
      </c>
    </row>
    <row r="34" spans="1:1" x14ac:dyDescent="0.3">
      <c r="A34" s="7">
        <v>0.90000000000003499</v>
      </c>
    </row>
    <row r="35" spans="1:1" x14ac:dyDescent="0.3">
      <c r="A35" s="7">
        <v>1.25698050899764</v>
      </c>
    </row>
    <row r="36" spans="1:1" x14ac:dyDescent="0.3">
      <c r="A36" s="7">
        <v>1.63095064302999</v>
      </c>
    </row>
    <row r="37" spans="1:1" x14ac:dyDescent="0.3">
      <c r="A37" s="7">
        <v>1.15758369027902</v>
      </c>
    </row>
    <row r="38" spans="1:1" x14ac:dyDescent="0.3">
      <c r="A38" s="7">
        <v>1.28840987267244</v>
      </c>
    </row>
    <row r="39" spans="1:1" x14ac:dyDescent="0.3">
      <c r="A39" s="7">
        <v>0.46904157598236201</v>
      </c>
    </row>
    <row r="40" spans="1:1" x14ac:dyDescent="0.3">
      <c r="A40" s="7">
        <v>1.0630145812734699</v>
      </c>
    </row>
    <row r="41" spans="1:1" x14ac:dyDescent="0.3">
      <c r="A41" s="7">
        <v>0.98488578017959805</v>
      </c>
    </row>
    <row r="42" spans="1:1" x14ac:dyDescent="0.3">
      <c r="A42" s="7">
        <v>1.28840987267244</v>
      </c>
    </row>
    <row r="43" spans="1:1" x14ac:dyDescent="0.3">
      <c r="A43" s="7">
        <v>0.46904157598236201</v>
      </c>
    </row>
    <row r="44" spans="1:1" x14ac:dyDescent="0.3">
      <c r="A44" s="7">
        <v>0.860232526704239</v>
      </c>
    </row>
    <row r="45" spans="1:1" x14ac:dyDescent="0.3">
      <c r="A45" s="7">
        <v>1.66132477258363</v>
      </c>
    </row>
    <row r="46" spans="1:1" x14ac:dyDescent="0.3">
      <c r="A46" s="7">
        <v>0.81240384046360903</v>
      </c>
    </row>
    <row r="47" spans="1:1" x14ac:dyDescent="0.3">
      <c r="A47" s="7">
        <v>1.1832159566199301</v>
      </c>
    </row>
    <row r="48" spans="1:1" x14ac:dyDescent="0.3">
      <c r="A48" s="7">
        <v>0.86023252670426198</v>
      </c>
    </row>
    <row r="49" spans="1:1" x14ac:dyDescent="0.3">
      <c r="A49" s="7">
        <v>0.89442719099992896</v>
      </c>
    </row>
    <row r="50" spans="1:1" x14ac:dyDescent="0.3">
      <c r="A50" s="7">
        <v>0.72801098892812399</v>
      </c>
    </row>
    <row r="51" spans="1:1" x14ac:dyDescent="0.3">
      <c r="A51" s="7">
        <v>1.0770329614269201</v>
      </c>
    </row>
    <row r="52" spans="1:1" x14ac:dyDescent="0.3">
      <c r="A52" s="7">
        <v>0.64031242374327502</v>
      </c>
    </row>
    <row r="53" spans="1:1" x14ac:dyDescent="0.3">
      <c r="A53" s="7">
        <v>0.78740078740117203</v>
      </c>
    </row>
    <row r="54" spans="1:1" x14ac:dyDescent="0.3">
      <c r="A54" s="7">
        <v>0.86023252670422001</v>
      </c>
    </row>
    <row r="55" spans="1:1" x14ac:dyDescent="0.3">
      <c r="A55" s="7">
        <v>0.96436507609924105</v>
      </c>
    </row>
    <row r="56" spans="1:1" x14ac:dyDescent="0.3">
      <c r="A56" s="7">
        <v>1.47986485869485</v>
      </c>
    </row>
    <row r="57" spans="1:1" x14ac:dyDescent="0.3">
      <c r="A57" s="7">
        <v>0.64807406984075699</v>
      </c>
    </row>
    <row r="58" spans="1:1" x14ac:dyDescent="0.3">
      <c r="A58" s="7">
        <v>0.70710678118657999</v>
      </c>
    </row>
    <row r="59" spans="1:1" x14ac:dyDescent="0.3">
      <c r="A59" s="7">
        <v>1.5264337522473901</v>
      </c>
    </row>
    <row r="60" spans="1:1" x14ac:dyDescent="0.3">
      <c r="A60" s="7">
        <v>0.74833147735470595</v>
      </c>
    </row>
    <row r="61" spans="1:1" x14ac:dyDescent="0.3">
      <c r="A61" s="7">
        <v>1.34907375632322</v>
      </c>
    </row>
    <row r="62" spans="1:1" x14ac:dyDescent="0.3">
      <c r="A62" s="7">
        <v>0.860232526704239</v>
      </c>
    </row>
    <row r="63" spans="1:1" x14ac:dyDescent="0.3">
      <c r="A63" s="7">
        <v>1.66132477258363</v>
      </c>
    </row>
    <row r="64" spans="1:1" x14ac:dyDescent="0.3">
      <c r="A64" s="7">
        <v>1.1489125293076301</v>
      </c>
    </row>
    <row r="65" spans="1:1" x14ac:dyDescent="0.3">
      <c r="A65" s="7">
        <v>1.4456832294801101</v>
      </c>
    </row>
    <row r="66" spans="1:1" x14ac:dyDescent="0.3">
      <c r="A66" s="7">
        <v>1.47309198626556</v>
      </c>
    </row>
    <row r="67" spans="1:1" x14ac:dyDescent="0.3">
      <c r="A67" s="7">
        <v>0.96953597148326198</v>
      </c>
    </row>
    <row r="68" spans="1:1" x14ac:dyDescent="0.3">
      <c r="A68" s="7">
        <v>1.15758369027904</v>
      </c>
    </row>
    <row r="69" spans="1:1" x14ac:dyDescent="0.3">
      <c r="A69" s="7">
        <v>1.2409673645991099</v>
      </c>
    </row>
    <row r="70" spans="1:1" x14ac:dyDescent="0.3">
      <c r="A70" s="7">
        <v>1.02956301409868</v>
      </c>
    </row>
    <row r="71" spans="1:1" x14ac:dyDescent="0.3">
      <c r="A71" s="7">
        <v>0.72801098892807803</v>
      </c>
    </row>
    <row r="72" spans="1:1" x14ac:dyDescent="0.3">
      <c r="A72" s="7">
        <v>0.91651513899118797</v>
      </c>
    </row>
    <row r="73" spans="1:1" x14ac:dyDescent="0.3">
      <c r="A73" s="7">
        <v>0.76157731058640898</v>
      </c>
    </row>
    <row r="74" spans="1:1" x14ac:dyDescent="0.3">
      <c r="A74" s="7">
        <v>1.68226038412602</v>
      </c>
    </row>
    <row r="75" spans="1:1" x14ac:dyDescent="0.3">
      <c r="A75" s="7">
        <v>0.64031242374324904</v>
      </c>
    </row>
    <row r="76" spans="1:1" x14ac:dyDescent="0.3">
      <c r="A76" s="7">
        <v>1.26491106406732</v>
      </c>
    </row>
    <row r="77" spans="1:1" x14ac:dyDescent="0.3">
      <c r="A77" s="7">
        <v>0.41231056256176102</v>
      </c>
    </row>
    <row r="78" spans="1:1" x14ac:dyDescent="0.3">
      <c r="A78" s="7">
        <v>1.1489125293076301</v>
      </c>
    </row>
    <row r="79" spans="1:1" x14ac:dyDescent="0.3">
      <c r="A79" s="7">
        <v>1.4456832294801101</v>
      </c>
    </row>
    <row r="80" spans="1:1" x14ac:dyDescent="0.3">
      <c r="A80" s="7">
        <v>1.47309198626556</v>
      </c>
    </row>
    <row r="81" spans="1:1" x14ac:dyDescent="0.3">
      <c r="A81" s="7">
        <v>0.96953597148326198</v>
      </c>
    </row>
    <row r="82" spans="1:1" x14ac:dyDescent="0.3">
      <c r="A82" s="7">
        <v>1.15758369027904</v>
      </c>
    </row>
    <row r="83" spans="1:1" x14ac:dyDescent="0.3">
      <c r="A83" s="7">
        <v>1.2409673645991099</v>
      </c>
    </row>
    <row r="84" spans="1:1" x14ac:dyDescent="0.3">
      <c r="A84" s="7">
        <v>1.2806248474866</v>
      </c>
    </row>
    <row r="85" spans="1:1" x14ac:dyDescent="0.3">
      <c r="A85" s="7">
        <v>1.41774468787579</v>
      </c>
    </row>
    <row r="86" spans="1:1" x14ac:dyDescent="0.3">
      <c r="A86" s="7">
        <v>1.3190905958272801</v>
      </c>
    </row>
    <row r="87" spans="1:1" x14ac:dyDescent="0.3">
      <c r="A87" s="7">
        <v>1.39283882771845</v>
      </c>
    </row>
    <row r="88" spans="1:1" x14ac:dyDescent="0.3">
      <c r="A88" s="7">
        <v>9.9999999999989E-2</v>
      </c>
    </row>
    <row r="89" spans="1:1" x14ac:dyDescent="0.3">
      <c r="A89" s="7">
        <v>1.2688577540449799</v>
      </c>
    </row>
    <row r="90" spans="1:1" x14ac:dyDescent="0.3">
      <c r="A90" s="7">
        <v>1.6248076809272001</v>
      </c>
    </row>
    <row r="91" spans="1:1" x14ac:dyDescent="0.3">
      <c r="A91" s="7">
        <v>0.57445626465385602</v>
      </c>
    </row>
    <row r="92" spans="1:1" x14ac:dyDescent="0.3">
      <c r="A92" s="7">
        <v>1.61554944214038</v>
      </c>
    </row>
    <row r="93" spans="1:1" x14ac:dyDescent="0.3">
      <c r="A93" s="7">
        <v>0.44721359549998302</v>
      </c>
    </row>
    <row r="94" spans="1:1" x14ac:dyDescent="0.3">
      <c r="A94" s="7">
        <v>0.99498743710662996</v>
      </c>
    </row>
    <row r="95" spans="1:1" x14ac:dyDescent="0.3">
      <c r="A95" s="7">
        <v>0.92736184954957601</v>
      </c>
    </row>
    <row r="96" spans="1:1" x14ac:dyDescent="0.3">
      <c r="A96" s="7">
        <v>0.56568542494917595</v>
      </c>
    </row>
    <row r="97" spans="1:1" x14ac:dyDescent="0.3">
      <c r="A97" s="7">
        <v>1.0770329614269101</v>
      </c>
    </row>
    <row r="98" spans="1:1" x14ac:dyDescent="0.3">
      <c r="A98" s="7">
        <v>1.3190905958272801</v>
      </c>
    </row>
    <row r="99" spans="1:1" x14ac:dyDescent="0.3">
      <c r="A99" s="7">
        <v>1.39283882771845</v>
      </c>
    </row>
    <row r="100" spans="1:1" x14ac:dyDescent="0.3">
      <c r="A100" s="7">
        <v>9.9999999999989E-2</v>
      </c>
    </row>
    <row r="101" spans="1:1" x14ac:dyDescent="0.3">
      <c r="A101" s="7">
        <v>1.2688577540449799</v>
      </c>
    </row>
    <row r="102" spans="1:1" x14ac:dyDescent="0.3">
      <c r="A102" s="7">
        <v>1.6248076809272001</v>
      </c>
    </row>
    <row r="103" spans="1:1" x14ac:dyDescent="0.3">
      <c r="A103" s="7">
        <v>0.57445626465385602</v>
      </c>
    </row>
    <row r="104" spans="1:1" x14ac:dyDescent="0.3">
      <c r="A104" s="7">
        <v>1.0488088481701201</v>
      </c>
    </row>
    <row r="105" spans="1:1" x14ac:dyDescent="0.3">
      <c r="A105" s="7">
        <v>0.14282856857085399</v>
      </c>
    </row>
    <row r="106" spans="1:1" x14ac:dyDescent="0.3">
      <c r="A106" s="7">
        <v>0.91104335791443902</v>
      </c>
    </row>
    <row r="107" spans="1:1" x14ac:dyDescent="0.3">
      <c r="A107" s="7">
        <v>0.81853527718721797</v>
      </c>
    </row>
    <row r="108" spans="1:1" x14ac:dyDescent="0.3">
      <c r="A108" s="7">
        <v>0.42426406871189498</v>
      </c>
    </row>
    <row r="109" spans="1:1" x14ac:dyDescent="0.3">
      <c r="A109" s="7">
        <v>0.37416573867738601</v>
      </c>
    </row>
    <row r="110" spans="1:1" x14ac:dyDescent="0.3">
      <c r="A110" s="7">
        <v>1.0862780491200299</v>
      </c>
    </row>
    <row r="111" spans="1:1" x14ac:dyDescent="0.3">
      <c r="A111" s="7">
        <v>0.98488578017963202</v>
      </c>
    </row>
    <row r="112" spans="1:1" x14ac:dyDescent="0.3">
      <c r="A112" s="7">
        <v>0.78740078740122799</v>
      </c>
    </row>
    <row r="113" spans="1:1" x14ac:dyDescent="0.3">
      <c r="A113" s="7">
        <v>1.37477270848677</v>
      </c>
    </row>
    <row r="114" spans="1:1" x14ac:dyDescent="0.3">
      <c r="A114" s="7">
        <v>1.558845726812</v>
      </c>
    </row>
    <row r="115" spans="1:1" x14ac:dyDescent="0.3">
      <c r="A115" s="7">
        <v>2.0688160865577498</v>
      </c>
    </row>
    <row r="116" spans="1:1" x14ac:dyDescent="0.3">
      <c r="A116" s="7">
        <v>0.91651513899118797</v>
      </c>
    </row>
    <row r="117" spans="1:1" x14ac:dyDescent="0.3">
      <c r="A117" s="7">
        <v>0.64031242374332098</v>
      </c>
    </row>
    <row r="118" spans="1:1" x14ac:dyDescent="0.3">
      <c r="A118" s="7">
        <v>0.78102496759066498</v>
      </c>
    </row>
    <row r="119" spans="1:1" x14ac:dyDescent="0.3">
      <c r="A119" s="7">
        <v>1.26491106406734</v>
      </c>
    </row>
    <row r="120" spans="1:1" x14ac:dyDescent="0.3">
      <c r="A120" s="7">
        <v>0.90553851381372796</v>
      </c>
    </row>
    <row r="121" spans="1:1" x14ac:dyDescent="0.3">
      <c r="A121" s="7">
        <v>1.1090536506409401</v>
      </c>
    </row>
    <row r="122" spans="1:1" x14ac:dyDescent="0.3">
      <c r="A122" s="7">
        <v>0.33166247903555401</v>
      </c>
    </row>
    <row r="123" spans="1:1" x14ac:dyDescent="0.3">
      <c r="A123" s="7">
        <v>0.78740078740117203</v>
      </c>
    </row>
    <row r="124" spans="1:1" x14ac:dyDescent="0.3">
      <c r="A124" s="7">
        <v>1.0099504938362101</v>
      </c>
    </row>
    <row r="125" spans="1:1" x14ac:dyDescent="0.3">
      <c r="A125" s="7">
        <v>0.43588989435405801</v>
      </c>
    </row>
    <row r="126" spans="1:1" x14ac:dyDescent="0.3">
      <c r="A126" s="7">
        <v>0.42426406871188499</v>
      </c>
    </row>
    <row r="127" spans="1:1" x14ac:dyDescent="0.3">
      <c r="A127" s="7">
        <v>1.157583690279</v>
      </c>
    </row>
    <row r="128" spans="1:1" x14ac:dyDescent="0.3">
      <c r="A128" s="7">
        <v>0.74833147735481698</v>
      </c>
    </row>
    <row r="129" spans="1:1" x14ac:dyDescent="0.3">
      <c r="A129" s="7">
        <v>0.48989794855662699</v>
      </c>
    </row>
    <row r="130" spans="1:1" x14ac:dyDescent="0.3">
      <c r="A130" s="7">
        <v>0.67082039324992504</v>
      </c>
    </row>
    <row r="131" spans="1:1" x14ac:dyDescent="0.3">
      <c r="A131" s="7">
        <v>1.67332005306815</v>
      </c>
    </row>
    <row r="132" spans="1:1" x14ac:dyDescent="0.3">
      <c r="A132" s="7">
        <v>1.0630145812734599</v>
      </c>
    </row>
    <row r="133" spans="1:1" x14ac:dyDescent="0.3">
      <c r="A133" s="7">
        <v>1.67630546142402</v>
      </c>
    </row>
    <row r="134" spans="1:1" x14ac:dyDescent="0.3">
      <c r="A134" s="7">
        <v>1.2124355652982499</v>
      </c>
    </row>
    <row r="135" spans="1:1" x14ac:dyDescent="0.3">
      <c r="A135" s="7">
        <v>0.74833147735478001</v>
      </c>
    </row>
    <row r="136" spans="1:1" x14ac:dyDescent="0.3">
      <c r="A136" s="7">
        <v>0.86023252670428396</v>
      </c>
    </row>
    <row r="137" spans="1:1" x14ac:dyDescent="0.3">
      <c r="A137" s="7">
        <v>1.2727922061357799</v>
      </c>
    </row>
    <row r="138" spans="1:1" x14ac:dyDescent="0.3">
      <c r="A138" s="7">
        <v>1.8788294228056099</v>
      </c>
    </row>
    <row r="139" spans="1:1" x14ac:dyDescent="0.3">
      <c r="A139" s="7">
        <v>1.17473401244701</v>
      </c>
    </row>
    <row r="140" spans="1:1" x14ac:dyDescent="0.3">
      <c r="A140" s="7">
        <v>0.87749643873916905</v>
      </c>
    </row>
    <row r="141" spans="1:1" x14ac:dyDescent="0.3">
      <c r="A141" s="7">
        <v>1.2369316876853</v>
      </c>
    </row>
    <row r="142" spans="1:1" x14ac:dyDescent="0.3">
      <c r="A142" s="7">
        <v>0.64031242374327502</v>
      </c>
    </row>
    <row r="143" spans="1:1" x14ac:dyDescent="0.3">
      <c r="A143" s="7">
        <v>0.64031242374325803</v>
      </c>
    </row>
    <row r="144" spans="1:1" x14ac:dyDescent="0.3">
      <c r="A144" s="7">
        <v>1.23693168768531</v>
      </c>
    </row>
    <row r="145" spans="1:1" x14ac:dyDescent="0.3">
      <c r="A145" s="7">
        <v>0.87177978870815298</v>
      </c>
    </row>
    <row r="146" spans="1:1" x14ac:dyDescent="0.3">
      <c r="A146" s="7">
        <v>0.83066238629172295</v>
      </c>
    </row>
    <row r="147" spans="1:1" x14ac:dyDescent="0.3">
      <c r="A147" s="7">
        <v>1.1874342087037799</v>
      </c>
    </row>
    <row r="148" spans="1:1" x14ac:dyDescent="0.3">
      <c r="A148" s="7">
        <v>0.72801098892802496</v>
      </c>
    </row>
    <row r="149" spans="1:1" x14ac:dyDescent="0.3">
      <c r="A149" s="7">
        <v>0.61644140029685701</v>
      </c>
    </row>
    <row r="150" spans="1:1" x14ac:dyDescent="0.3">
      <c r="A150" s="7">
        <v>0.58309518948457095</v>
      </c>
    </row>
    <row r="151" spans="1:1" x14ac:dyDescent="0.3">
      <c r="A151" s="7">
        <v>0.80622577482989699</v>
      </c>
    </row>
    <row r="152" spans="1:1" x14ac:dyDescent="0.3">
      <c r="A152" s="7">
        <v>0.78740078740122099</v>
      </c>
    </row>
    <row r="153" spans="1:1" x14ac:dyDescent="0.3">
      <c r="A153" s="7">
        <v>1.0677078252031</v>
      </c>
    </row>
    <row r="154" spans="1:1" x14ac:dyDescent="0.3">
      <c r="A154" s="7">
        <v>1.4282856857085799</v>
      </c>
    </row>
    <row r="155" spans="1:1" x14ac:dyDescent="0.3">
      <c r="A155" s="7">
        <v>1.3076696830622101</v>
      </c>
    </row>
    <row r="156" spans="1:1" x14ac:dyDescent="0.3">
      <c r="A156" s="7">
        <v>1.39283882771849</v>
      </c>
    </row>
    <row r="157" spans="1:1" x14ac:dyDescent="0.3">
      <c r="A157" s="7">
        <v>1.1357816691600899</v>
      </c>
    </row>
    <row r="158" spans="1:1" x14ac:dyDescent="0.3">
      <c r="A158" s="7">
        <v>0.734846922834963</v>
      </c>
    </row>
    <row r="159" spans="1:1" x14ac:dyDescent="0.3">
      <c r="A159" s="7">
        <v>0.50990195135927696</v>
      </c>
    </row>
    <row r="160" spans="1:1" x14ac:dyDescent="0.3">
      <c r="A160" s="7">
        <v>0.70710678118652504</v>
      </c>
    </row>
    <row r="161" spans="1:1" x14ac:dyDescent="0.3">
      <c r="A161" s="7">
        <v>0.45825756949560598</v>
      </c>
    </row>
    <row r="162" spans="1:1" x14ac:dyDescent="0.3">
      <c r="A162" s="7">
        <v>1.2041594578792201</v>
      </c>
    </row>
    <row r="163" spans="1:1" x14ac:dyDescent="0.3">
      <c r="A163" s="7">
        <v>0.64031242374328401</v>
      </c>
    </row>
    <row r="164" spans="1:1" x14ac:dyDescent="0.3">
      <c r="A164" s="7">
        <v>1.06770782520311</v>
      </c>
    </row>
    <row r="165" spans="1:1" x14ac:dyDescent="0.3">
      <c r="A165" s="7">
        <v>0.41231056256172099</v>
      </c>
    </row>
    <row r="166" spans="1:1" x14ac:dyDescent="0.3">
      <c r="A166" s="7">
        <v>1.07238052947636</v>
      </c>
    </row>
    <row r="167" spans="1:1" x14ac:dyDescent="0.3">
      <c r="A167" s="7">
        <v>0.64031242374326602</v>
      </c>
    </row>
    <row r="168" spans="1:1" x14ac:dyDescent="0.3">
      <c r="A168" s="7">
        <v>0.78102496759065798</v>
      </c>
    </row>
    <row r="169" spans="1:1" x14ac:dyDescent="0.3">
      <c r="A169" s="7">
        <v>0.64807406984075699</v>
      </c>
    </row>
    <row r="170" spans="1:1" x14ac:dyDescent="0.3">
      <c r="A170" s="7">
        <v>0.14142135623729399</v>
      </c>
    </row>
    <row r="171" spans="1:1" x14ac:dyDescent="0.3">
      <c r="A171" s="7">
        <v>1.16619037896906</v>
      </c>
    </row>
    <row r="172" spans="1:1" x14ac:dyDescent="0.3">
      <c r="A172" s="7">
        <v>0.599999999999971</v>
      </c>
    </row>
    <row r="173" spans="1:1" x14ac:dyDescent="0.3">
      <c r="A173" s="7">
        <v>1.1045361017187201</v>
      </c>
    </row>
    <row r="174" spans="1:1" x14ac:dyDescent="0.3">
      <c r="A174" s="7">
        <v>0.81240384046360203</v>
      </c>
    </row>
    <row r="175" spans="1:1" x14ac:dyDescent="0.3">
      <c r="A175" s="7">
        <v>0.583095189484513</v>
      </c>
    </row>
    <row r="176" spans="1:1" x14ac:dyDescent="0.3">
      <c r="A176" s="7">
        <v>1.42478068487748</v>
      </c>
    </row>
    <row r="177" spans="1:1" x14ac:dyDescent="0.3">
      <c r="A177" s="7">
        <v>1.0488088481701301</v>
      </c>
    </row>
    <row r="178" spans="1:1" x14ac:dyDescent="0.3">
      <c r="A178" s="7">
        <v>0.57445626465377797</v>
      </c>
    </row>
    <row r="179" spans="1:1" x14ac:dyDescent="0.3">
      <c r="A179" s="7">
        <v>1.2247448713915601</v>
      </c>
    </row>
    <row r="180" spans="1:1" x14ac:dyDescent="0.3">
      <c r="A180" s="7">
        <v>1.11803398874989</v>
      </c>
    </row>
    <row r="181" spans="1:1" x14ac:dyDescent="0.3">
      <c r="A181" s="7">
        <v>1.17046999107199</v>
      </c>
    </row>
    <row r="182" spans="1:1" x14ac:dyDescent="0.3">
      <c r="A182" s="7">
        <v>1.72336879396142</v>
      </c>
    </row>
    <row r="183" spans="1:1" x14ac:dyDescent="0.3">
      <c r="A183" s="7">
        <v>0.640312423743292</v>
      </c>
    </row>
    <row r="184" spans="1:1" x14ac:dyDescent="0.3">
      <c r="A184" s="7">
        <v>0.50990195135922201</v>
      </c>
    </row>
    <row r="185" spans="1:1" x14ac:dyDescent="0.3">
      <c r="A185" s="7">
        <v>1.00498756211211</v>
      </c>
    </row>
    <row r="186" spans="1:1" x14ac:dyDescent="0.3">
      <c r="A186" s="7">
        <v>0.50990195135922201</v>
      </c>
    </row>
    <row r="187" spans="1:1" x14ac:dyDescent="0.3">
      <c r="A187" s="7">
        <v>0.94339811320566802</v>
      </c>
    </row>
    <row r="188" spans="1:1" x14ac:dyDescent="0.3">
      <c r="A188" s="7">
        <v>1.1045361017187201</v>
      </c>
    </row>
    <row r="189" spans="1:1" x14ac:dyDescent="0.3">
      <c r="A189" s="7">
        <v>0.72111025509279503</v>
      </c>
    </row>
    <row r="190" spans="1:1" x14ac:dyDescent="0.3">
      <c r="A190" s="7">
        <v>0.678232998312575</v>
      </c>
    </row>
    <row r="191" spans="1:1" x14ac:dyDescent="0.3">
      <c r="A191" s="7">
        <v>1.1874342087037899</v>
      </c>
    </row>
    <row r="192" spans="1:1" x14ac:dyDescent="0.3">
      <c r="A192" s="7">
        <v>1.3076696830622101</v>
      </c>
    </row>
    <row r="193" spans="1:1" x14ac:dyDescent="0.3">
      <c r="A193" s="7">
        <v>1.1045361017187201</v>
      </c>
    </row>
    <row r="194" spans="1:1" x14ac:dyDescent="0.3">
      <c r="A194" s="7">
        <v>0.76811457478687695</v>
      </c>
    </row>
    <row r="195" spans="1:1" x14ac:dyDescent="0.3">
      <c r="A195" s="7">
        <v>0.648074069840749</v>
      </c>
    </row>
    <row r="196" spans="1:1" x14ac:dyDescent="0.3">
      <c r="A196" s="7">
        <v>0.70000000000003404</v>
      </c>
    </row>
    <row r="197" spans="1:1" x14ac:dyDescent="0.3">
      <c r="A197" s="7">
        <v>0.54772255750515697</v>
      </c>
    </row>
    <row r="198" spans="1:1" x14ac:dyDescent="0.3">
      <c r="A198" s="7">
        <v>0.787400787401214</v>
      </c>
    </row>
    <row r="199" spans="1:1" x14ac:dyDescent="0.3">
      <c r="A199" s="7">
        <v>1.84119526395218</v>
      </c>
    </row>
    <row r="200" spans="1:1" x14ac:dyDescent="0.3">
      <c r="A200" s="7">
        <v>0.86602540378447201</v>
      </c>
    </row>
    <row r="201" spans="1:1" x14ac:dyDescent="0.3">
      <c r="A201" s="7">
        <v>0.42426406871193401</v>
      </c>
    </row>
    <row r="202" spans="1:1" x14ac:dyDescent="0.3">
      <c r="A202" s="7">
        <v>1.1916375287813299</v>
      </c>
    </row>
    <row r="203" spans="1:1" x14ac:dyDescent="0.3">
      <c r="A203" s="7">
        <v>1.0488088481701401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97"/>
  <sheetViews>
    <sheetView showGridLines="0" zoomScale="50" zoomScaleNormal="100" workbookViewId="0"/>
  </sheetViews>
  <sheetFormatPr defaultColWidth="8.6640625" defaultRowHeight="14.4" x14ac:dyDescent="0.3"/>
  <cols>
    <col min="1" max="1" width="18" customWidth="1"/>
    <col min="2" max="2" width="14" customWidth="1"/>
    <col min="3" max="4" width="15" customWidth="1"/>
    <col min="5" max="5" width="18" customWidth="1"/>
    <col min="8" max="8" width="46" customWidth="1"/>
    <col min="9" max="10" width="8" customWidth="1"/>
    <col min="11" max="11" width="12" customWidth="1"/>
    <col min="12" max="12" width="11" customWidth="1"/>
    <col min="13" max="13" width="12" customWidth="1"/>
    <col min="14" max="14" width="18" customWidth="1"/>
  </cols>
  <sheetData>
    <row r="1" spans="1:14" ht="60" customHeight="1" x14ac:dyDescent="0.3">
      <c r="A1" s="1" t="s">
        <v>463</v>
      </c>
      <c r="H1" s="13" t="s">
        <v>464</v>
      </c>
    </row>
    <row r="2" spans="1:14" ht="25.5" customHeight="1" x14ac:dyDescent="0.3">
      <c r="A2" s="20" t="s">
        <v>61</v>
      </c>
      <c r="B2" s="20" t="s">
        <v>430</v>
      </c>
      <c r="C2" s="20" t="s">
        <v>215</v>
      </c>
      <c r="D2" s="20" t="s">
        <v>216</v>
      </c>
      <c r="E2" s="20" t="s">
        <v>217</v>
      </c>
      <c r="G2" s="18" t="s">
        <v>465</v>
      </c>
    </row>
    <row r="3" spans="1:14" x14ac:dyDescent="0.3">
      <c r="A3" t="s">
        <v>310</v>
      </c>
      <c r="B3" t="s">
        <v>435</v>
      </c>
      <c r="C3" s="40">
        <v>44.045000000000002</v>
      </c>
      <c r="D3" s="40">
        <v>3.7938999999999998</v>
      </c>
      <c r="E3" s="40">
        <v>3.2509999999999999</v>
      </c>
      <c r="H3" s="12" t="s">
        <v>466</v>
      </c>
    </row>
    <row r="4" spans="1:14" ht="38.25" customHeight="1" x14ac:dyDescent="0.3">
      <c r="A4" t="s">
        <v>310</v>
      </c>
      <c r="B4" t="s">
        <v>435</v>
      </c>
      <c r="C4" s="40">
        <v>40.628999999999998</v>
      </c>
      <c r="D4" s="40">
        <v>3.8026</v>
      </c>
      <c r="E4" s="40">
        <v>3.1110000000000002</v>
      </c>
      <c r="H4" s="20" t="s">
        <v>207</v>
      </c>
      <c r="I4" s="20" t="s">
        <v>467</v>
      </c>
      <c r="J4" s="20" t="s">
        <v>468</v>
      </c>
      <c r="K4" s="20" t="s">
        <v>469</v>
      </c>
      <c r="L4" s="20" t="s">
        <v>470</v>
      </c>
      <c r="M4" s="20" t="s">
        <v>471</v>
      </c>
      <c r="N4" s="20" t="s">
        <v>214</v>
      </c>
    </row>
    <row r="5" spans="1:14" x14ac:dyDescent="0.3">
      <c r="A5" t="s">
        <v>310</v>
      </c>
      <c r="B5" t="s">
        <v>435</v>
      </c>
      <c r="C5" s="40">
        <v>46.781999999999996</v>
      </c>
      <c r="D5" s="40">
        <v>3.8582999999999998</v>
      </c>
      <c r="E5" s="40">
        <v>3.3069999999999999</v>
      </c>
      <c r="H5" s="21" t="s">
        <v>215</v>
      </c>
      <c r="I5" s="28">
        <v>49</v>
      </c>
      <c r="J5" s="28">
        <v>50</v>
      </c>
      <c r="K5" s="28">
        <v>50</v>
      </c>
      <c r="L5" s="29">
        <f>12/(149*(149+1))*(((SUMPRODUCT(COUNTIF($C$3:$C$151,"&lt;"&amp;$C$3:$C$51))+SUMPRODUCT((COUNTIF($C$3:$C$151,"="&amp;$C$3:$C$51)+1)/2))^2/49)+((SUMPRODUCT(COUNTIF($C$3:$C$151,"&lt;"&amp;$C$52:$C$101))+SUMPRODUCT((COUNTIF($C$3:$C$151,"="&amp;$C$52:$C$101)+1)/2))^2/50)+((SUMPRODUCT(COUNTIF($C$3:$C$151,"&lt;"&amp;$C$102:$C$151))+SUMPRODUCT((COUNTIF($C$3:$C$151,"="&amp;$C$102:$C$151)+1)/2))^2/50))-3*(149+1)</f>
        <v>9.1805170798519953</v>
      </c>
      <c r="M5" s="28">
        <v>2</v>
      </c>
      <c r="N5" s="30">
        <f>CHIDIST(L5,M5)</f>
        <v>1.015023379341122E-2</v>
      </c>
    </row>
    <row r="6" spans="1:14" x14ac:dyDescent="0.3">
      <c r="A6" t="s">
        <v>310</v>
      </c>
      <c r="B6" t="s">
        <v>435</v>
      </c>
      <c r="C6" s="40">
        <v>43.930999999999997</v>
      </c>
      <c r="D6" s="40">
        <v>3.4863</v>
      </c>
      <c r="E6" s="40">
        <v>3.4129999999999998</v>
      </c>
      <c r="H6" s="21" t="s">
        <v>216</v>
      </c>
      <c r="I6" s="28">
        <v>49</v>
      </c>
      <c r="J6" s="28">
        <v>50</v>
      </c>
      <c r="K6" s="28">
        <v>50</v>
      </c>
      <c r="L6" s="29">
        <f>12/(149*(149+1))*(((SUMPRODUCT(COUNTIF($D$3:$D$151,"&lt;"&amp;$D$3:$D$51))+SUMPRODUCT((COUNTIF($D$3:$D$151,"="&amp;$D$3:$D$51)+1)/2))^2/49)+((SUMPRODUCT(COUNTIF($D$3:$D$151,"&lt;"&amp;$D$52:$D$101))+SUMPRODUCT((COUNTIF($D$3:$D$151,"="&amp;$D$52:$D$101)+1)/2))^2/50)+((SUMPRODUCT(COUNTIF($D$3:$D$151,"&lt;"&amp;$D$102:$D$151))+SUMPRODUCT((COUNTIF($D$3:$D$151,"="&amp;$D$102:$D$151)+1)/2))^2/50))-3*(149+1)</f>
        <v>19.298222818791885</v>
      </c>
      <c r="M6" s="28">
        <v>2</v>
      </c>
      <c r="N6" s="30">
        <f>CHIDIST(L6,M6)</f>
        <v>6.4482840430415484E-5</v>
      </c>
    </row>
    <row r="7" spans="1:14" x14ac:dyDescent="0.3">
      <c r="A7" t="s">
        <v>310</v>
      </c>
      <c r="B7" t="s">
        <v>435</v>
      </c>
      <c r="C7" s="40">
        <v>36.719000000000001</v>
      </c>
      <c r="D7" s="40">
        <v>3.5891999999999999</v>
      </c>
      <c r="E7" s="40">
        <v>3.419</v>
      </c>
      <c r="H7" s="21" t="s">
        <v>217</v>
      </c>
      <c r="I7" s="28">
        <v>49</v>
      </c>
      <c r="J7" s="28">
        <v>50</v>
      </c>
      <c r="K7" s="28">
        <v>50</v>
      </c>
      <c r="L7" s="29">
        <f>12/(149*(149+1))*(((SUMPRODUCT(COUNTIF($E$3:$E$151,"&lt;"&amp;$E$3:$E$51))+SUMPRODUCT((COUNTIF($E$3:$E$151,"="&amp;$E$3:$E$51)+1)/2))^2/49)+((SUMPRODUCT(COUNTIF($E$3:$E$151,"&lt;"&amp;$E$52:$E$101))+SUMPRODUCT((COUNTIF($E$3:$E$151,"="&amp;$E$52:$E$101)+1)/2))^2/50)+((SUMPRODUCT(COUNTIF($E$3:$E$151,"&lt;"&amp;$E$102:$E$151))+SUMPRODUCT((COUNTIF($E$3:$E$151,"="&amp;$E$102:$E$151)+1)/2))^2/50))-3*(149+1)</f>
        <v>9.5120431721681484</v>
      </c>
      <c r="M7" s="28">
        <v>2</v>
      </c>
      <c r="N7" s="30">
        <f>CHIDIST(L7,M7)</f>
        <v>8.5997548143871491E-3</v>
      </c>
    </row>
    <row r="8" spans="1:14" x14ac:dyDescent="0.3">
      <c r="A8" t="s">
        <v>310</v>
      </c>
      <c r="B8" t="s">
        <v>435</v>
      </c>
      <c r="C8" s="40">
        <v>38.906999999999996</v>
      </c>
      <c r="D8" s="40">
        <v>3.7913999999999999</v>
      </c>
      <c r="E8" s="40">
        <v>3.2570000000000001</v>
      </c>
    </row>
    <row r="9" spans="1:14" x14ac:dyDescent="0.3">
      <c r="A9" t="s">
        <v>310</v>
      </c>
      <c r="B9" t="s">
        <v>435</v>
      </c>
      <c r="C9" s="40">
        <v>38.448</v>
      </c>
      <c r="D9" s="40">
        <v>3.4824999999999999</v>
      </c>
      <c r="E9" s="40">
        <v>4.0860000000000003</v>
      </c>
      <c r="H9" s="12" t="s">
        <v>472</v>
      </c>
    </row>
    <row r="10" spans="1:14" ht="38.25" customHeight="1" x14ac:dyDescent="0.3">
      <c r="A10" t="s">
        <v>310</v>
      </c>
      <c r="B10" t="s">
        <v>435</v>
      </c>
      <c r="C10" s="40">
        <v>41.685000000000002</v>
      </c>
      <c r="D10" s="40">
        <v>3.8090000000000002</v>
      </c>
      <c r="E10" s="40">
        <v>6.274</v>
      </c>
      <c r="H10" s="20" t="s">
        <v>207</v>
      </c>
      <c r="I10" s="20" t="s">
        <v>467</v>
      </c>
      <c r="J10" s="20" t="s">
        <v>468</v>
      </c>
      <c r="K10" s="20" t="s">
        <v>469</v>
      </c>
      <c r="L10" s="20" t="s">
        <v>470</v>
      </c>
      <c r="M10" s="20" t="s">
        <v>471</v>
      </c>
      <c r="N10" s="20" t="s">
        <v>214</v>
      </c>
    </row>
    <row r="11" spans="1:14" x14ac:dyDescent="0.3">
      <c r="A11" t="s">
        <v>310</v>
      </c>
      <c r="B11" t="s">
        <v>435</v>
      </c>
      <c r="C11" s="40">
        <v>35.539099999999998</v>
      </c>
      <c r="D11" s="40">
        <v>3.7820999999999998</v>
      </c>
      <c r="E11" s="40">
        <v>3.609</v>
      </c>
      <c r="H11" s="21" t="s">
        <v>215</v>
      </c>
      <c r="I11" s="28">
        <v>85</v>
      </c>
      <c r="J11" s="28">
        <v>82</v>
      </c>
      <c r="K11" s="28">
        <v>79</v>
      </c>
      <c r="L11" s="29">
        <f>12/(246*(246+1))*(((SUMPRODUCT(COUNTIF($C$152:$C$397,"&lt;"&amp;$C$152:$C$236))+SUMPRODUCT((COUNTIF($C$152:$C$397,"="&amp;$C$152:$C$236)+1)/2))^2/85)+((SUMPRODUCT(COUNTIF($C$152:$C$397,"&lt;"&amp;$C$237:$C$318))+SUMPRODUCT((COUNTIF($C$152:$C$397,"="&amp;$C$237:$C$318)+1)/2))^2/82)+((SUMPRODUCT(COUNTIF($C$152:$C$397,"&lt;"&amp;$C$319:$C$397))+SUMPRODUCT((COUNTIF($C$152:$C$397,"="&amp;$C$319:$C$397)+1)/2))^2/79))-3*(246+1)</f>
        <v>0.97298028036323103</v>
      </c>
      <c r="M11" s="28">
        <v>2</v>
      </c>
      <c r="N11" s="30">
        <f>CHIDIST(L11,M11)</f>
        <v>0.61478040487554042</v>
      </c>
    </row>
    <row r="12" spans="1:14" x14ac:dyDescent="0.3">
      <c r="A12" t="s">
        <v>310</v>
      </c>
      <c r="B12" t="s">
        <v>435</v>
      </c>
      <c r="C12" s="40">
        <v>36.201999999999998</v>
      </c>
      <c r="D12" s="40">
        <v>3.8107000000000002</v>
      </c>
      <c r="E12" s="40">
        <v>3.6509999999999998</v>
      </c>
      <c r="H12" s="21" t="s">
        <v>216</v>
      </c>
      <c r="I12" s="28">
        <v>85</v>
      </c>
      <c r="J12" s="28">
        <v>82</v>
      </c>
      <c r="K12" s="28">
        <v>79</v>
      </c>
      <c r="L12" s="29">
        <f>12/(246*(246+1))*(((SUMPRODUCT(COUNTIF($D$152:$D$397,"&lt;"&amp;$D$152:$D$236))+SUMPRODUCT((COUNTIF($D$152:$D$397,"="&amp;$D$152:$D$236)+1)/2))^2/85)+((SUMPRODUCT(COUNTIF($D$152:$D$397,"&lt;"&amp;$D$237:$D$318))+SUMPRODUCT((COUNTIF($D$152:$D$397,"="&amp;$D$237:$D$318)+1)/2))^2/82)+((SUMPRODUCT(COUNTIF($D$152:$D$397,"&lt;"&amp;$D$319:$D$397))+SUMPRODUCT((COUNTIF($D$152:$D$397,"="&amp;$D$319:$D$397)+1)/2))^2/79))-3*(246+1)</f>
        <v>2.8900134042354466</v>
      </c>
      <c r="M12" s="28">
        <v>2</v>
      </c>
      <c r="N12" s="30">
        <f>CHIDIST(L12,M12)</f>
        <v>0.23574449656320029</v>
      </c>
    </row>
    <row r="13" spans="1:14" x14ac:dyDescent="0.3">
      <c r="A13" t="s">
        <v>310</v>
      </c>
      <c r="B13" t="s">
        <v>435</v>
      </c>
      <c r="C13" s="40">
        <v>31.707999999999998</v>
      </c>
      <c r="D13" s="40">
        <v>3.5019999999999998</v>
      </c>
      <c r="E13" s="40">
        <v>4.4219999999999997</v>
      </c>
      <c r="H13" s="21" t="s">
        <v>217</v>
      </c>
      <c r="I13" s="28">
        <v>85</v>
      </c>
      <c r="J13" s="28">
        <v>82</v>
      </c>
      <c r="K13" s="28">
        <v>79</v>
      </c>
      <c r="L13" s="29">
        <f>12/(246*(246+1))*(((SUMPRODUCT(COUNTIF($E$152:$E$397,"&lt;"&amp;$E$152:$E$236))+SUMPRODUCT((COUNTIF($E$152:$E$397,"="&amp;$E$152:$E$236)+1)/2))^2/85)+((SUMPRODUCT(COUNTIF($E$152:$E$397,"&lt;"&amp;$E$237:$E$318))+SUMPRODUCT((COUNTIF($E$152:$E$397,"="&amp;$E$237:$E$318)+1)/2))^2/82)+((SUMPRODUCT(COUNTIF($E$152:$E$397,"&lt;"&amp;$E$319:$E$397))+SUMPRODUCT((COUNTIF($E$152:$E$397,"="&amp;$E$319:$E$397)+1)/2))^2/79))-3*(246+1)</f>
        <v>0.34051969432664464</v>
      </c>
      <c r="M13" s="28">
        <v>2</v>
      </c>
      <c r="N13" s="30">
        <f>CHIDIST(L13,M13)</f>
        <v>0.84344562116688493</v>
      </c>
    </row>
    <row r="14" spans="1:14" x14ac:dyDescent="0.3">
      <c r="A14" t="s">
        <v>310</v>
      </c>
      <c r="B14" t="s">
        <v>435</v>
      </c>
      <c r="C14" s="40">
        <v>30.062999999999999</v>
      </c>
      <c r="D14" s="40">
        <v>3.3711000000000002</v>
      </c>
      <c r="E14" s="40">
        <v>3.9550000000000001</v>
      </c>
    </row>
    <row r="15" spans="1:14" x14ac:dyDescent="0.3">
      <c r="A15" t="s">
        <v>310</v>
      </c>
      <c r="B15" t="s">
        <v>435</v>
      </c>
      <c r="C15" s="40">
        <v>29.797000000000001</v>
      </c>
      <c r="D15" s="40">
        <v>3.7643</v>
      </c>
      <c r="E15" s="40">
        <v>3.7629999999999999</v>
      </c>
      <c r="H15" s="12" t="s">
        <v>473</v>
      </c>
    </row>
    <row r="16" spans="1:14" x14ac:dyDescent="0.3">
      <c r="A16" t="s">
        <v>310</v>
      </c>
      <c r="B16" t="s">
        <v>435</v>
      </c>
      <c r="C16" s="40">
        <v>30.928999999999998</v>
      </c>
      <c r="D16" s="40">
        <v>3.9798</v>
      </c>
      <c r="E16" s="40">
        <v>4.2560000000000002</v>
      </c>
      <c r="H16" s="20" t="s">
        <v>474</v>
      </c>
      <c r="I16" s="20" t="s">
        <v>475</v>
      </c>
      <c r="J16" s="20" t="s">
        <v>476</v>
      </c>
      <c r="K16" s="20" t="s">
        <v>477</v>
      </c>
      <c r="L16" s="20" t="s">
        <v>478</v>
      </c>
      <c r="M16" s="20" t="s">
        <v>214</v>
      </c>
      <c r="N16" s="20" t="s">
        <v>479</v>
      </c>
    </row>
    <row r="17" spans="1:14" x14ac:dyDescent="0.3">
      <c r="A17" t="s">
        <v>310</v>
      </c>
      <c r="B17" t="s">
        <v>435</v>
      </c>
      <c r="C17" s="40">
        <v>32.637999999999998</v>
      </c>
      <c r="D17" s="40">
        <v>3.5181</v>
      </c>
      <c r="E17" s="40">
        <v>3.823</v>
      </c>
      <c r="H17" s="21" t="s">
        <v>480</v>
      </c>
      <c r="I17" s="28">
        <v>49</v>
      </c>
      <c r="J17" s="28">
        <v>50</v>
      </c>
      <c r="K17" s="39">
        <f>49*50+49*(49+1)/2-(SUMPRODUCT(COUNTIF($C$3:$C$51,"&lt;"&amp;$C$3:$C$51))+SUMPRODUCT(COUNTIF($C$52:$C$101,"&lt;"&amp;$C$3:$C$51))+SUMPRODUCT((COUNTIF($C$3:$C$51,"="&amp;$C$3:$C$51)+COUNTIF($C$52:$C$101,"="&amp;$C$3:$C$51)+1)/2))</f>
        <v>1634</v>
      </c>
      <c r="L17" s="29">
        <f>(K17-49*50/2)/SQRT(49*50*(49+50+1)/12)</f>
        <v>2.8624037279951993</v>
      </c>
      <c r="M17" s="41">
        <f t="shared" ref="M17:M25" si="0">2*_xlfn.NORM.S.DIST(-ABS(L17),TRUE())</f>
        <v>4.2044096787620007E-3</v>
      </c>
      <c r="N17" s="41">
        <f t="shared" ref="N17:N25" si="1">MIN(1,M17*3)</f>
        <v>1.2613229036286002E-2</v>
      </c>
    </row>
    <row r="18" spans="1:14" x14ac:dyDescent="0.3">
      <c r="A18" t="s">
        <v>310</v>
      </c>
      <c r="B18" t="s">
        <v>435</v>
      </c>
      <c r="C18" s="40">
        <v>31.609000000000002</v>
      </c>
      <c r="D18" s="40">
        <v>3.3763000000000001</v>
      </c>
      <c r="E18" s="40">
        <v>4.4539999999999997</v>
      </c>
      <c r="H18" s="21" t="s">
        <v>481</v>
      </c>
      <c r="I18" s="28">
        <v>49</v>
      </c>
      <c r="J18" s="28">
        <v>50</v>
      </c>
      <c r="K18" s="39">
        <f>49*50+49*(49+1)/2-(SUMPRODUCT(COUNTIF($C$3:$C$51,"&lt;"&amp;$C$3:$C$51))+SUMPRODUCT(COUNTIF($C$102:$C$151,"&lt;"&amp;$C$3:$C$51))+SUMPRODUCT((COUNTIF($C$3:$C$51,"="&amp;$C$3:$C$51)+COUNTIF($C$102:$C$151,"="&amp;$C$3:$C$51)+1)/2))</f>
        <v>1511</v>
      </c>
      <c r="L18" s="29">
        <f>(K18-49*50/2)/SQRT(49*50*(49+50+1)/12)</f>
        <v>2.001583046959968</v>
      </c>
      <c r="M18" s="41">
        <f t="shared" si="0"/>
        <v>4.5329593818207087E-2</v>
      </c>
      <c r="N18" s="41">
        <f t="shared" si="1"/>
        <v>0.13598878145462126</v>
      </c>
    </row>
    <row r="19" spans="1:14" x14ac:dyDescent="0.3">
      <c r="A19" t="s">
        <v>310</v>
      </c>
      <c r="B19" t="s">
        <v>435</v>
      </c>
      <c r="C19" s="40">
        <v>30.155000000000001</v>
      </c>
      <c r="D19" s="40">
        <v>3.6486999999999998</v>
      </c>
      <c r="E19" s="40">
        <v>3.911</v>
      </c>
      <c r="H19" s="21" t="s">
        <v>482</v>
      </c>
      <c r="I19" s="28">
        <v>50</v>
      </c>
      <c r="J19" s="28">
        <v>50</v>
      </c>
      <c r="K19" s="39">
        <f>50*50+50*(50+1)/2-(SUMPRODUCT(COUNTIF($C$52:$C$101,"&lt;"&amp;$C$52:$C$101))+SUMPRODUCT(COUNTIF($C$102:$C$151,"&lt;"&amp;$C$52:$C$101))+SUMPRODUCT((COUNTIF($C$52:$C$101,"="&amp;$C$52:$C$101)+COUNTIF($C$102:$C$151,"="&amp;$C$52:$C$101)+1)/2))</f>
        <v>1066</v>
      </c>
      <c r="L19" s="29">
        <f>(K19-50*50/2)/SQRT(50*50*(50+50+1)/12)</f>
        <v>-1.2684628570841088</v>
      </c>
      <c r="M19" s="41">
        <f t="shared" si="0"/>
        <v>0.20463270683874565</v>
      </c>
      <c r="N19" s="41">
        <f t="shared" si="1"/>
        <v>0.61389812051623693</v>
      </c>
    </row>
    <row r="20" spans="1:14" x14ac:dyDescent="0.3">
      <c r="A20" t="s">
        <v>310</v>
      </c>
      <c r="B20" t="s">
        <v>435</v>
      </c>
      <c r="C20" s="40">
        <v>34.404000000000003</v>
      </c>
      <c r="D20" s="40">
        <v>6.6794000000000002</v>
      </c>
      <c r="E20" s="40">
        <v>4.4039999999999999</v>
      </c>
      <c r="H20" s="21" t="s">
        <v>483</v>
      </c>
      <c r="I20" s="28">
        <v>49</v>
      </c>
      <c r="J20" s="28">
        <v>50</v>
      </c>
      <c r="K20" s="39">
        <f>49*50+49*(49+1)/2-(SUMPRODUCT(COUNTIF($D$3:$D$51,"&lt;"&amp;$D$3:$D$51))+SUMPRODUCT(COUNTIF($D$52:$D$101,"&lt;"&amp;$D$3:$D$51))+SUMPRODUCT((COUNTIF($D$3:$D$51,"="&amp;$D$3:$D$51)+COUNTIF($D$52:$D$101,"="&amp;$D$3:$D$51)+1)/2))</f>
        <v>1635</v>
      </c>
      <c r="L20" s="29">
        <f>(K20-49*50/2)/SQRT(49*50*(49+50+1)/12)</f>
        <v>2.8694022701174369</v>
      </c>
      <c r="M20" s="41">
        <f t="shared" si="0"/>
        <v>4.1124839912150884E-3</v>
      </c>
      <c r="N20" s="41">
        <f t="shared" si="1"/>
        <v>1.2337451973645264E-2</v>
      </c>
    </row>
    <row r="21" spans="1:14" x14ac:dyDescent="0.3">
      <c r="A21" t="s">
        <v>310</v>
      </c>
      <c r="B21" t="s">
        <v>435</v>
      </c>
      <c r="C21" s="40">
        <v>32.164000000000001</v>
      </c>
      <c r="D21" s="40">
        <v>5.8853</v>
      </c>
      <c r="E21" s="40">
        <v>3.7570000000000001</v>
      </c>
      <c r="H21" s="21" t="s">
        <v>484</v>
      </c>
      <c r="I21" s="28">
        <v>49</v>
      </c>
      <c r="J21" s="28">
        <v>50</v>
      </c>
      <c r="K21" s="39">
        <f>49*50+49*(49+1)/2-(SUMPRODUCT(COUNTIF($D$3:$D$51,"&lt;"&amp;$D$3:$D$51))+SUMPRODUCT(COUNTIF($D$102:$D$151,"&lt;"&amp;$D$3:$D$51))+SUMPRODUCT((COUNTIF($D$3:$D$51,"="&amp;$D$3:$D$51)+COUNTIF($D$102:$D$151,"="&amp;$D$3:$D$51)+1)/2))</f>
        <v>1802</v>
      </c>
      <c r="L21" s="29">
        <f>(K21-49*50/2)/SQRT(49*50*(49+50+1)/12)</f>
        <v>4.0381588045311245</v>
      </c>
      <c r="M21" s="41">
        <f t="shared" si="0"/>
        <v>5.3872379306043289E-5</v>
      </c>
      <c r="N21" s="41">
        <f t="shared" si="1"/>
        <v>1.6161713791812987E-4</v>
      </c>
    </row>
    <row r="22" spans="1:14" x14ac:dyDescent="0.3">
      <c r="A22" t="s">
        <v>310</v>
      </c>
      <c r="B22" t="s">
        <v>435</v>
      </c>
      <c r="C22" s="40">
        <v>31.952000000000002</v>
      </c>
      <c r="D22" s="40">
        <v>4.7203999999999997</v>
      </c>
      <c r="E22" s="40">
        <v>3.823</v>
      </c>
      <c r="H22" s="21" t="s">
        <v>485</v>
      </c>
      <c r="I22" s="28">
        <v>50</v>
      </c>
      <c r="J22" s="28">
        <v>50</v>
      </c>
      <c r="K22" s="39">
        <f>50*50+50*(50+1)/2-(SUMPRODUCT(COUNTIF($D$52:$D$101,"&lt;"&amp;$D$52:$D$101))+SUMPRODUCT(COUNTIF($D$102:$D$151,"&lt;"&amp;$D$52:$D$101))+SUMPRODUCT((COUNTIF($D$52:$D$101,"="&amp;$D$52:$D$101)+COUNTIF($D$102:$D$151,"="&amp;$D$52:$D$101)+1)/2))</f>
        <v>1564</v>
      </c>
      <c r="L22" s="29">
        <f>(K22-50*50/2)/SQRT(50*50*(50+50+1)/12)</f>
        <v>2.1646594408935336</v>
      </c>
      <c r="M22" s="41">
        <f t="shared" si="0"/>
        <v>3.0413775308685356E-2</v>
      </c>
      <c r="N22" s="41">
        <f t="shared" si="1"/>
        <v>9.1241325926056063E-2</v>
      </c>
    </row>
    <row r="23" spans="1:14" x14ac:dyDescent="0.3">
      <c r="A23" t="s">
        <v>310</v>
      </c>
      <c r="B23" t="s">
        <v>435</v>
      </c>
      <c r="C23" s="40">
        <v>30.091999999999999</v>
      </c>
      <c r="D23" s="40">
        <v>3.3239999999999998</v>
      </c>
      <c r="E23" s="40">
        <v>4.1109999999999998</v>
      </c>
      <c r="H23" s="21" t="s">
        <v>486</v>
      </c>
      <c r="I23" s="28">
        <v>49</v>
      </c>
      <c r="J23" s="28">
        <v>50</v>
      </c>
      <c r="K23" s="39">
        <f>49*50+49*(49+1)/2-(SUMPRODUCT(COUNTIF($E$3:$E$51,"&lt;"&amp;$E$3:$E$51))+SUMPRODUCT(COUNTIF($E$52:$E$101,"&lt;"&amp;$E$3:$E$51))+SUMPRODUCT((COUNTIF($E$3:$E$51,"="&amp;$E$3:$E$51)+COUNTIF($E$52:$E$101,"="&amp;$E$3:$E$51)+1)/2))</f>
        <v>909</v>
      </c>
      <c r="L23" s="29">
        <f>(K23-49*50/2)/SQRT(49*50*(49+50+1)/12)</f>
        <v>-2.2115393106270975</v>
      </c>
      <c r="M23" s="41">
        <f t="shared" si="0"/>
        <v>2.6998512793852816E-2</v>
      </c>
      <c r="N23" s="41">
        <f t="shared" si="1"/>
        <v>8.0995538381558443E-2</v>
      </c>
    </row>
    <row r="24" spans="1:14" x14ac:dyDescent="0.3">
      <c r="A24" t="s">
        <v>310</v>
      </c>
      <c r="B24" t="s">
        <v>435</v>
      </c>
      <c r="C24" s="40">
        <v>27.949100000000001</v>
      </c>
      <c r="D24" s="40">
        <v>3.0327000000000002</v>
      </c>
      <c r="E24" s="40">
        <v>3.8971</v>
      </c>
      <c r="H24" s="21" t="s">
        <v>487</v>
      </c>
      <c r="I24" s="28">
        <v>49</v>
      </c>
      <c r="J24" s="28">
        <v>50</v>
      </c>
      <c r="K24" s="39">
        <f>49*50+49*(49+1)/2-(SUMPRODUCT(COUNTIF($E$3:$E$51,"&lt;"&amp;$E$3:$E$51))+SUMPRODUCT(COUNTIF($E$102:$E$151,"&lt;"&amp;$E$3:$E$51))+SUMPRODUCT((COUNTIF($E$3:$E$51,"="&amp;$E$3:$E$51)+COUNTIF($E$102:$E$151,"="&amp;$E$3:$E$51)+1)/2))</f>
        <v>1295</v>
      </c>
      <c r="L24" s="29">
        <f>(K24-49*50/2)/SQRT(49*50*(49+50+1)/12)</f>
        <v>0.48989794855663554</v>
      </c>
      <c r="M24" s="41">
        <f t="shared" si="0"/>
        <v>0.62420611476640597</v>
      </c>
      <c r="N24" s="41">
        <f t="shared" si="1"/>
        <v>1</v>
      </c>
    </row>
    <row r="25" spans="1:14" x14ac:dyDescent="0.3">
      <c r="A25" t="s">
        <v>310</v>
      </c>
      <c r="B25" t="s">
        <v>435</v>
      </c>
      <c r="C25" s="40">
        <v>30.63</v>
      </c>
      <c r="D25" s="40">
        <v>3.6149</v>
      </c>
      <c r="E25" s="40">
        <v>4.1230000000000002</v>
      </c>
      <c r="H25" s="21" t="s">
        <v>488</v>
      </c>
      <c r="I25" s="28">
        <v>50</v>
      </c>
      <c r="J25" s="28">
        <v>50</v>
      </c>
      <c r="K25" s="39">
        <f>50*50+50*(50+1)/2-(SUMPRODUCT(COUNTIF($E$52:$E$101,"&lt;"&amp;$E$52:$E$101))+SUMPRODUCT(COUNTIF($E$102:$E$151,"&lt;"&amp;$E$52:$E$101))+SUMPRODUCT((COUNTIF($E$52:$E$101,"="&amp;$E$52:$E$101)+COUNTIF($E$102:$E$151,"="&amp;$E$52:$E$101)+1)/2))</f>
        <v>1687</v>
      </c>
      <c r="L25" s="29">
        <f>(K25-50*50/2)/SQRT(50*50*(50+50+1)/12)</f>
        <v>3.0125992855747583</v>
      </c>
      <c r="M25" s="41">
        <f t="shared" si="0"/>
        <v>2.5902069069972827E-3</v>
      </c>
      <c r="N25" s="41">
        <f t="shared" si="1"/>
        <v>7.7706207209918485E-3</v>
      </c>
    </row>
    <row r="26" spans="1:14" x14ac:dyDescent="0.3">
      <c r="A26" t="s">
        <v>310</v>
      </c>
      <c r="B26" t="s">
        <v>435</v>
      </c>
      <c r="C26" s="40">
        <v>29.611999999999998</v>
      </c>
      <c r="D26" s="40">
        <v>3.4944999999999999</v>
      </c>
      <c r="E26" s="40">
        <v>3.7610000000000001</v>
      </c>
    </row>
    <row r="27" spans="1:14" x14ac:dyDescent="0.3">
      <c r="A27" t="s">
        <v>310</v>
      </c>
      <c r="B27" t="s">
        <v>435</v>
      </c>
      <c r="C27" s="40">
        <v>31.654</v>
      </c>
      <c r="D27" s="40">
        <v>3.3782999999999999</v>
      </c>
      <c r="E27" s="40">
        <v>4.4539999999999997</v>
      </c>
      <c r="H27" s="18" t="s">
        <v>489</v>
      </c>
    </row>
    <row r="28" spans="1:14" x14ac:dyDescent="0.3">
      <c r="A28" t="s">
        <v>310</v>
      </c>
      <c r="B28" t="s">
        <v>435</v>
      </c>
      <c r="C28" s="40">
        <v>29.309000000000001</v>
      </c>
      <c r="D28" s="40">
        <v>3.5225</v>
      </c>
      <c r="E28" s="40">
        <v>3.915</v>
      </c>
    </row>
    <row r="29" spans="1:14" x14ac:dyDescent="0.3">
      <c r="A29" t="s">
        <v>310</v>
      </c>
      <c r="B29" t="s">
        <v>435</v>
      </c>
      <c r="C29" s="40">
        <v>29.216999999999999</v>
      </c>
      <c r="D29" s="40">
        <v>3.6734</v>
      </c>
      <c r="E29" s="40">
        <v>3.7749999999999999</v>
      </c>
    </row>
    <row r="30" spans="1:14" x14ac:dyDescent="0.3">
      <c r="A30" t="s">
        <v>310</v>
      </c>
      <c r="B30" t="s">
        <v>435</v>
      </c>
      <c r="C30" s="40">
        <v>36.936999999999998</v>
      </c>
      <c r="D30" s="40">
        <v>4.0195999999999996</v>
      </c>
      <c r="E30" s="40">
        <v>5.8289999999999997</v>
      </c>
    </row>
    <row r="31" spans="1:14" x14ac:dyDescent="0.3">
      <c r="A31" t="s">
        <v>310</v>
      </c>
      <c r="B31" t="s">
        <v>435</v>
      </c>
      <c r="C31" s="40">
        <v>32.194000000000003</v>
      </c>
      <c r="D31" s="40">
        <v>4.8765000000000001</v>
      </c>
      <c r="E31" s="40">
        <v>4.1349999999999998</v>
      </c>
    </row>
    <row r="32" spans="1:14" x14ac:dyDescent="0.3">
      <c r="A32" t="s">
        <v>310</v>
      </c>
      <c r="B32" t="s">
        <v>435</v>
      </c>
      <c r="C32" s="40">
        <v>31.72</v>
      </c>
      <c r="D32" s="40">
        <v>3.1366000000000001</v>
      </c>
      <c r="E32" s="40">
        <v>4.3689999999999998</v>
      </c>
    </row>
    <row r="33" spans="1:5" x14ac:dyDescent="0.3">
      <c r="A33" t="s">
        <v>310</v>
      </c>
      <c r="B33" t="s">
        <v>435</v>
      </c>
      <c r="C33" s="40">
        <v>32.939</v>
      </c>
      <c r="D33" s="40">
        <v>3.3641999999999999</v>
      </c>
      <c r="E33" s="40">
        <v>3.9529999999999998</v>
      </c>
    </row>
    <row r="34" spans="1:5" x14ac:dyDescent="0.3">
      <c r="A34" t="s">
        <v>310</v>
      </c>
      <c r="B34" t="s">
        <v>435</v>
      </c>
      <c r="C34" s="40">
        <v>39.439</v>
      </c>
      <c r="D34" s="40">
        <v>5.0233999999999996</v>
      </c>
      <c r="E34" s="40">
        <v>4.2510000000000003</v>
      </c>
    </row>
    <row r="35" spans="1:5" x14ac:dyDescent="0.3">
      <c r="A35" t="s">
        <v>310</v>
      </c>
      <c r="B35" t="s">
        <v>435</v>
      </c>
      <c r="C35" s="40">
        <v>30.786999999999999</v>
      </c>
      <c r="D35" s="40">
        <v>3.1547000000000001</v>
      </c>
      <c r="E35" s="40">
        <v>4.0679999999999996</v>
      </c>
    </row>
    <row r="36" spans="1:5" x14ac:dyDescent="0.3">
      <c r="A36" t="s">
        <v>310</v>
      </c>
      <c r="B36" t="s">
        <v>435</v>
      </c>
      <c r="C36" s="40">
        <v>29.785</v>
      </c>
      <c r="D36" s="40">
        <v>2.5962000000000001</v>
      </c>
      <c r="E36" s="40">
        <v>4.3860000000000001</v>
      </c>
    </row>
    <row r="37" spans="1:5" x14ac:dyDescent="0.3">
      <c r="A37" t="s">
        <v>310</v>
      </c>
      <c r="B37" t="s">
        <v>435</v>
      </c>
      <c r="C37" s="40">
        <v>34.466000000000001</v>
      </c>
      <c r="D37" s="40">
        <v>3.3782000000000001</v>
      </c>
      <c r="E37" s="40">
        <v>4.4489999999999998</v>
      </c>
    </row>
    <row r="38" spans="1:5" x14ac:dyDescent="0.3">
      <c r="A38" t="s">
        <v>310</v>
      </c>
      <c r="B38" t="s">
        <v>435</v>
      </c>
      <c r="C38" s="40">
        <v>33.737000000000002</v>
      </c>
      <c r="D38" s="40">
        <v>6.9531000000000001</v>
      </c>
      <c r="E38" s="40">
        <v>4.3769999999999998</v>
      </c>
    </row>
    <row r="39" spans="1:5" x14ac:dyDescent="0.3">
      <c r="A39" t="s">
        <v>310</v>
      </c>
      <c r="B39" t="s">
        <v>435</v>
      </c>
      <c r="C39" s="40">
        <v>30.041</v>
      </c>
      <c r="D39" s="40">
        <v>3.8018999999999998</v>
      </c>
      <c r="E39" s="40">
        <v>3.7589999999999999</v>
      </c>
    </row>
    <row r="40" spans="1:5" x14ac:dyDescent="0.3">
      <c r="A40" t="s">
        <v>310</v>
      </c>
      <c r="B40" t="s">
        <v>435</v>
      </c>
      <c r="C40" s="40">
        <v>28.646000000000001</v>
      </c>
      <c r="D40" s="40">
        <v>3.0145</v>
      </c>
      <c r="E40" s="40">
        <v>3.6890000000000001</v>
      </c>
    </row>
    <row r="41" spans="1:5" x14ac:dyDescent="0.3">
      <c r="A41" t="s">
        <v>310</v>
      </c>
      <c r="B41" t="s">
        <v>435</v>
      </c>
      <c r="C41" s="40">
        <v>32.161000000000001</v>
      </c>
      <c r="D41" s="40">
        <v>3.7892000000000001</v>
      </c>
      <c r="E41" s="40">
        <v>3.0030000000000001</v>
      </c>
    </row>
    <row r="42" spans="1:5" x14ac:dyDescent="0.3">
      <c r="A42" t="s">
        <v>310</v>
      </c>
      <c r="B42" t="s">
        <v>435</v>
      </c>
      <c r="C42" s="40">
        <v>31.484999999999999</v>
      </c>
      <c r="D42" s="40">
        <v>3.1012</v>
      </c>
      <c r="E42" s="40">
        <v>3.758</v>
      </c>
    </row>
    <row r="43" spans="1:5" x14ac:dyDescent="0.3">
      <c r="A43" t="s">
        <v>310</v>
      </c>
      <c r="B43" t="s">
        <v>435</v>
      </c>
      <c r="C43" s="40">
        <v>27.978000000000002</v>
      </c>
      <c r="D43" s="40">
        <v>3.2603</v>
      </c>
      <c r="E43" s="40">
        <v>4.0149999999999997</v>
      </c>
    </row>
    <row r="44" spans="1:5" x14ac:dyDescent="0.3">
      <c r="A44" t="s">
        <v>310</v>
      </c>
      <c r="B44" t="s">
        <v>435</v>
      </c>
      <c r="C44" s="40">
        <v>34.537999999999997</v>
      </c>
      <c r="D44" s="40">
        <v>5.0495999999999999</v>
      </c>
      <c r="E44" s="40">
        <v>4.6239999999999997</v>
      </c>
    </row>
    <row r="45" spans="1:5" x14ac:dyDescent="0.3">
      <c r="A45" t="s">
        <v>310</v>
      </c>
      <c r="B45" t="s">
        <v>435</v>
      </c>
      <c r="C45" s="40">
        <v>29.518000000000001</v>
      </c>
      <c r="D45" s="40">
        <v>3.4906999999999999</v>
      </c>
      <c r="E45" s="40">
        <v>4.109</v>
      </c>
    </row>
    <row r="46" spans="1:5" x14ac:dyDescent="0.3">
      <c r="A46" t="s">
        <v>310</v>
      </c>
      <c r="B46" t="s">
        <v>435</v>
      </c>
      <c r="C46" s="40">
        <v>28.437999999999999</v>
      </c>
      <c r="D46" s="40">
        <v>2.1951000000000001</v>
      </c>
      <c r="E46" s="40">
        <v>3.7290000000000001</v>
      </c>
    </row>
    <row r="47" spans="1:5" x14ac:dyDescent="0.3">
      <c r="A47" t="s">
        <v>310</v>
      </c>
      <c r="B47" t="s">
        <v>435</v>
      </c>
      <c r="C47" s="40">
        <v>33.061</v>
      </c>
      <c r="D47" s="40">
        <v>3.3628</v>
      </c>
      <c r="E47" s="40">
        <v>4.452</v>
      </c>
    </row>
    <row r="48" spans="1:5" x14ac:dyDescent="0.3">
      <c r="A48" t="s">
        <v>310</v>
      </c>
      <c r="B48" t="s">
        <v>435</v>
      </c>
      <c r="C48" s="40">
        <v>31.044</v>
      </c>
      <c r="D48" s="40">
        <v>6.8110999999999997</v>
      </c>
      <c r="E48" s="40">
        <v>4.3899999999999997</v>
      </c>
    </row>
    <row r="49" spans="1:5" x14ac:dyDescent="0.3">
      <c r="A49" t="s">
        <v>310</v>
      </c>
      <c r="B49" t="s">
        <v>435</v>
      </c>
      <c r="C49" s="40">
        <v>31.96</v>
      </c>
      <c r="D49" s="40">
        <v>3.8123</v>
      </c>
      <c r="E49" s="40">
        <v>3.8519999999999999</v>
      </c>
    </row>
    <row r="50" spans="1:5" x14ac:dyDescent="0.3">
      <c r="A50" t="s">
        <v>310</v>
      </c>
      <c r="B50" t="s">
        <v>435</v>
      </c>
      <c r="C50" s="40">
        <v>31.234000000000002</v>
      </c>
      <c r="D50" s="40">
        <v>4.593</v>
      </c>
      <c r="E50" s="40">
        <v>3.6560000000000001</v>
      </c>
    </row>
    <row r="51" spans="1:5" x14ac:dyDescent="0.3">
      <c r="A51" t="s">
        <v>310</v>
      </c>
      <c r="B51" t="s">
        <v>435</v>
      </c>
      <c r="C51" s="40">
        <v>33.945999999999998</v>
      </c>
      <c r="D51" s="40">
        <v>3.8611</v>
      </c>
      <c r="E51" s="40">
        <v>4.3330000000000002</v>
      </c>
    </row>
    <row r="52" spans="1:5" x14ac:dyDescent="0.3">
      <c r="A52" t="s">
        <v>310</v>
      </c>
      <c r="B52" t="s">
        <v>436</v>
      </c>
      <c r="C52" s="40">
        <v>43.238999999999997</v>
      </c>
      <c r="D52" s="40">
        <v>3.8195000000000001</v>
      </c>
      <c r="E52" s="40">
        <v>3.2170000000000001</v>
      </c>
    </row>
    <row r="53" spans="1:5" x14ac:dyDescent="0.3">
      <c r="A53" t="s">
        <v>310</v>
      </c>
      <c r="B53" t="s">
        <v>436</v>
      </c>
      <c r="C53" s="40">
        <v>42.28</v>
      </c>
      <c r="D53" s="40">
        <v>3.6699000000000002</v>
      </c>
      <c r="E53" s="40">
        <v>3.4220000000000002</v>
      </c>
    </row>
    <row r="54" spans="1:5" x14ac:dyDescent="0.3">
      <c r="A54" t="s">
        <v>310</v>
      </c>
      <c r="B54" t="s">
        <v>436</v>
      </c>
      <c r="C54" s="40">
        <v>42.844000000000001</v>
      </c>
      <c r="D54" s="40">
        <v>3.8889</v>
      </c>
      <c r="E54" s="40">
        <v>3.2669999999999999</v>
      </c>
    </row>
    <row r="55" spans="1:5" x14ac:dyDescent="0.3">
      <c r="A55" t="s">
        <v>310</v>
      </c>
      <c r="B55" t="s">
        <v>436</v>
      </c>
      <c r="C55" s="40">
        <v>39.997999999999998</v>
      </c>
      <c r="D55" s="40">
        <v>3.5102000000000002</v>
      </c>
      <c r="E55" s="40">
        <v>3.4060000000000001</v>
      </c>
    </row>
    <row r="56" spans="1:5" x14ac:dyDescent="0.3">
      <c r="A56" t="s">
        <v>310</v>
      </c>
      <c r="B56" t="s">
        <v>436</v>
      </c>
      <c r="C56" s="40">
        <v>40.081000000000003</v>
      </c>
      <c r="D56" s="40">
        <v>3.7814999999999999</v>
      </c>
      <c r="E56" s="40">
        <v>3.1909999999999998</v>
      </c>
    </row>
    <row r="57" spans="1:5" x14ac:dyDescent="0.3">
      <c r="A57" t="s">
        <v>310</v>
      </c>
      <c r="B57" t="s">
        <v>436</v>
      </c>
      <c r="C57" s="40">
        <v>41.281999999999996</v>
      </c>
      <c r="D57" s="40">
        <v>3.8618000000000001</v>
      </c>
      <c r="E57" s="40">
        <v>4.0640000000000001</v>
      </c>
    </row>
    <row r="58" spans="1:5" x14ac:dyDescent="0.3">
      <c r="A58" t="s">
        <v>310</v>
      </c>
      <c r="B58" t="s">
        <v>436</v>
      </c>
      <c r="C58" s="40">
        <v>41.08</v>
      </c>
      <c r="D58" s="40">
        <v>3.9155000000000002</v>
      </c>
      <c r="E58" s="40">
        <v>3.39</v>
      </c>
    </row>
    <row r="59" spans="1:5" x14ac:dyDescent="0.3">
      <c r="A59" t="s">
        <v>310</v>
      </c>
      <c r="B59" t="s">
        <v>436</v>
      </c>
      <c r="C59" s="40">
        <v>41.457999999999998</v>
      </c>
      <c r="D59" s="40">
        <v>4.0122</v>
      </c>
      <c r="E59" s="40">
        <v>3.339</v>
      </c>
    </row>
    <row r="60" spans="1:5" x14ac:dyDescent="0.3">
      <c r="A60" t="s">
        <v>310</v>
      </c>
      <c r="B60" t="s">
        <v>436</v>
      </c>
      <c r="C60" s="40">
        <v>42.701000000000001</v>
      </c>
      <c r="D60" s="40">
        <v>4.2073</v>
      </c>
      <c r="E60" s="40">
        <v>4.0490000000000004</v>
      </c>
    </row>
    <row r="61" spans="1:5" x14ac:dyDescent="0.3">
      <c r="A61" t="s">
        <v>310</v>
      </c>
      <c r="B61" t="s">
        <v>436</v>
      </c>
      <c r="C61" s="40">
        <v>40.206000000000003</v>
      </c>
      <c r="D61" s="40">
        <v>4.0243000000000002</v>
      </c>
      <c r="E61" s="40">
        <v>3.4649999999999999</v>
      </c>
    </row>
    <row r="62" spans="1:5" x14ac:dyDescent="0.3">
      <c r="A62" t="s">
        <v>310</v>
      </c>
      <c r="B62" t="s">
        <v>436</v>
      </c>
      <c r="C62" s="40">
        <v>35.933999999999997</v>
      </c>
      <c r="D62" s="40">
        <v>7.0656999999999996</v>
      </c>
      <c r="E62" s="40">
        <v>4.4610000000000003</v>
      </c>
    </row>
    <row r="63" spans="1:5" x14ac:dyDescent="0.3">
      <c r="A63" t="s">
        <v>310</v>
      </c>
      <c r="B63" t="s">
        <v>436</v>
      </c>
      <c r="C63" s="40">
        <v>28.307500000000001</v>
      </c>
      <c r="D63" s="40">
        <v>3.1452</v>
      </c>
      <c r="E63" s="40">
        <v>3.5421</v>
      </c>
    </row>
    <row r="64" spans="1:5" x14ac:dyDescent="0.3">
      <c r="A64" t="s">
        <v>310</v>
      </c>
      <c r="B64" t="s">
        <v>436</v>
      </c>
      <c r="C64" s="40">
        <v>30.885000000000002</v>
      </c>
      <c r="D64" s="40">
        <v>3.7366999999999999</v>
      </c>
      <c r="E64" s="40">
        <v>3.7719999999999998</v>
      </c>
    </row>
    <row r="65" spans="1:5" x14ac:dyDescent="0.3">
      <c r="A65" t="s">
        <v>310</v>
      </c>
      <c r="B65" t="s">
        <v>436</v>
      </c>
      <c r="C65" s="40">
        <v>32.866999999999997</v>
      </c>
      <c r="D65" s="40">
        <v>3.2511999999999999</v>
      </c>
      <c r="E65" s="40">
        <v>4.069</v>
      </c>
    </row>
    <row r="66" spans="1:5" x14ac:dyDescent="0.3">
      <c r="A66" t="s">
        <v>310</v>
      </c>
      <c r="B66" t="s">
        <v>436</v>
      </c>
      <c r="C66" s="40">
        <v>32.51</v>
      </c>
      <c r="D66" s="40">
        <v>3.5975999999999999</v>
      </c>
      <c r="E66" s="40">
        <v>3.7559999999999998</v>
      </c>
    </row>
    <row r="67" spans="1:5" x14ac:dyDescent="0.3">
      <c r="A67" t="s">
        <v>310</v>
      </c>
      <c r="B67" t="s">
        <v>436</v>
      </c>
      <c r="C67" s="40">
        <v>33.650300000000001</v>
      </c>
      <c r="D67" s="40">
        <v>3.4358</v>
      </c>
      <c r="E67" s="40">
        <v>3.6783000000000001</v>
      </c>
    </row>
    <row r="68" spans="1:5" x14ac:dyDescent="0.3">
      <c r="A68" t="s">
        <v>310</v>
      </c>
      <c r="B68" t="s">
        <v>436</v>
      </c>
      <c r="C68" s="40">
        <v>33.055</v>
      </c>
      <c r="D68" s="40">
        <v>3.7852000000000001</v>
      </c>
      <c r="E68" s="40">
        <v>3.99</v>
      </c>
    </row>
    <row r="69" spans="1:5" x14ac:dyDescent="0.3">
      <c r="A69" t="s">
        <v>310</v>
      </c>
      <c r="B69" t="s">
        <v>436</v>
      </c>
      <c r="C69" s="40">
        <v>32.972999999999999</v>
      </c>
      <c r="D69" s="40">
        <v>3.8887</v>
      </c>
      <c r="E69" s="40">
        <v>3.7509999999999999</v>
      </c>
    </row>
    <row r="70" spans="1:5" x14ac:dyDescent="0.3">
      <c r="A70" t="s">
        <v>310</v>
      </c>
      <c r="B70" t="s">
        <v>436</v>
      </c>
      <c r="C70" s="40">
        <v>33.904000000000003</v>
      </c>
      <c r="D70" s="40">
        <v>4.6124000000000001</v>
      </c>
      <c r="E70" s="40">
        <v>3.7</v>
      </c>
    </row>
    <row r="71" spans="1:5" x14ac:dyDescent="0.3">
      <c r="A71" t="s">
        <v>310</v>
      </c>
      <c r="B71" t="s">
        <v>436</v>
      </c>
      <c r="C71" s="40">
        <v>37.860999999999997</v>
      </c>
      <c r="D71" s="40">
        <v>5.3423999999999996</v>
      </c>
      <c r="E71" s="40">
        <v>4.1609999999999996</v>
      </c>
    </row>
    <row r="72" spans="1:5" x14ac:dyDescent="0.3">
      <c r="A72" t="s">
        <v>310</v>
      </c>
      <c r="B72" t="s">
        <v>436</v>
      </c>
      <c r="C72" s="40">
        <v>34.825000000000003</v>
      </c>
      <c r="D72" s="40">
        <v>4.8452000000000002</v>
      </c>
      <c r="E72" s="40">
        <v>3.7989999999999999</v>
      </c>
    </row>
    <row r="73" spans="1:5" x14ac:dyDescent="0.3">
      <c r="A73" t="s">
        <v>310</v>
      </c>
      <c r="B73" t="s">
        <v>436</v>
      </c>
      <c r="C73" s="40">
        <v>35.533000000000001</v>
      </c>
      <c r="D73" s="40">
        <v>5.1689999999999996</v>
      </c>
      <c r="E73" s="40">
        <v>3.9209999999999998</v>
      </c>
    </row>
    <row r="74" spans="1:5" x14ac:dyDescent="0.3">
      <c r="A74" t="s">
        <v>310</v>
      </c>
      <c r="B74" t="s">
        <v>436</v>
      </c>
      <c r="C74" s="40">
        <v>32.881999999999998</v>
      </c>
      <c r="D74" s="40">
        <v>3.738</v>
      </c>
      <c r="E74" s="40">
        <v>3.7669999999999999</v>
      </c>
    </row>
    <row r="75" spans="1:5" x14ac:dyDescent="0.3">
      <c r="A75" t="s">
        <v>310</v>
      </c>
      <c r="B75" t="s">
        <v>436</v>
      </c>
      <c r="C75" s="40">
        <v>33.465000000000003</v>
      </c>
      <c r="D75" s="40">
        <v>3.6778</v>
      </c>
      <c r="E75" s="40">
        <v>4.125</v>
      </c>
    </row>
    <row r="76" spans="1:5" x14ac:dyDescent="0.3">
      <c r="A76" t="s">
        <v>310</v>
      </c>
      <c r="B76" t="s">
        <v>436</v>
      </c>
      <c r="C76" s="40">
        <v>32.722000000000001</v>
      </c>
      <c r="D76" s="40">
        <v>3.6295000000000002</v>
      </c>
      <c r="E76" s="40">
        <v>3.8679999999999999</v>
      </c>
    </row>
    <row r="77" spans="1:5" x14ac:dyDescent="0.3">
      <c r="A77" t="s">
        <v>310</v>
      </c>
      <c r="B77" t="s">
        <v>436</v>
      </c>
      <c r="C77" s="40">
        <v>34.451000000000001</v>
      </c>
      <c r="D77" s="40">
        <v>3.4287000000000001</v>
      </c>
      <c r="E77" s="40">
        <v>4.4509999999999996</v>
      </c>
    </row>
    <row r="78" spans="1:5" x14ac:dyDescent="0.3">
      <c r="A78" t="s">
        <v>310</v>
      </c>
      <c r="B78" t="s">
        <v>436</v>
      </c>
      <c r="C78" s="40">
        <v>37.817</v>
      </c>
      <c r="D78" s="40">
        <v>8.4626000000000001</v>
      </c>
      <c r="E78" s="40">
        <v>4.4809999999999999</v>
      </c>
    </row>
    <row r="79" spans="1:5" x14ac:dyDescent="0.3">
      <c r="A79" t="s">
        <v>310</v>
      </c>
      <c r="B79" t="s">
        <v>436</v>
      </c>
      <c r="C79" s="40">
        <v>32.969000000000001</v>
      </c>
      <c r="D79" s="40">
        <v>3.9310999999999998</v>
      </c>
      <c r="E79" s="40">
        <v>3.7890000000000001</v>
      </c>
    </row>
    <row r="80" spans="1:5" x14ac:dyDescent="0.3">
      <c r="A80" t="s">
        <v>310</v>
      </c>
      <c r="B80" t="s">
        <v>436</v>
      </c>
      <c r="C80" s="40">
        <v>34.981000000000002</v>
      </c>
      <c r="D80" s="40">
        <v>4.5750000000000002</v>
      </c>
      <c r="E80" s="40">
        <v>3.9940000000000002</v>
      </c>
    </row>
    <row r="81" spans="1:5" x14ac:dyDescent="0.3">
      <c r="A81" t="s">
        <v>310</v>
      </c>
      <c r="B81" t="s">
        <v>436</v>
      </c>
      <c r="C81" s="40">
        <v>34.1036</v>
      </c>
      <c r="D81" s="40">
        <v>4.9987000000000004</v>
      </c>
      <c r="E81" s="40">
        <v>4.0124000000000004</v>
      </c>
    </row>
    <row r="82" spans="1:5" x14ac:dyDescent="0.3">
      <c r="A82" t="s">
        <v>310</v>
      </c>
      <c r="B82" t="s">
        <v>436</v>
      </c>
      <c r="C82" s="40">
        <v>32.409700000000001</v>
      </c>
      <c r="D82" s="40">
        <v>6.657</v>
      </c>
      <c r="E82" s="40">
        <v>3.4786000000000001</v>
      </c>
    </row>
    <row r="83" spans="1:5" x14ac:dyDescent="0.3">
      <c r="A83" t="s">
        <v>310</v>
      </c>
      <c r="B83" t="s">
        <v>436</v>
      </c>
      <c r="C83" s="40">
        <v>29.28</v>
      </c>
      <c r="D83" s="40">
        <v>3.6699000000000002</v>
      </c>
      <c r="E83" s="40">
        <v>3.4220000000000002</v>
      </c>
    </row>
    <row r="84" spans="1:5" x14ac:dyDescent="0.3">
      <c r="A84" t="s">
        <v>310</v>
      </c>
      <c r="B84" t="s">
        <v>436</v>
      </c>
      <c r="C84" s="40">
        <v>30.885000000000002</v>
      </c>
      <c r="D84" s="40">
        <v>3.7366999999999999</v>
      </c>
      <c r="E84" s="40">
        <v>3.7719999999999998</v>
      </c>
    </row>
    <row r="85" spans="1:5" x14ac:dyDescent="0.3">
      <c r="A85" t="s">
        <v>310</v>
      </c>
      <c r="B85" t="s">
        <v>436</v>
      </c>
      <c r="C85" s="40">
        <v>32.465000000000003</v>
      </c>
      <c r="D85" s="40">
        <v>3.6778</v>
      </c>
      <c r="E85" s="40">
        <v>4.125</v>
      </c>
    </row>
    <row r="86" spans="1:5" x14ac:dyDescent="0.3">
      <c r="A86" t="s">
        <v>310</v>
      </c>
      <c r="B86" t="s">
        <v>436</v>
      </c>
      <c r="C86" s="40">
        <v>32.51</v>
      </c>
      <c r="D86" s="40">
        <v>3.5975999999999999</v>
      </c>
      <c r="E86" s="40">
        <v>3.7559999999999998</v>
      </c>
    </row>
    <row r="87" spans="1:5" x14ac:dyDescent="0.3">
      <c r="A87" t="s">
        <v>310</v>
      </c>
      <c r="B87" t="s">
        <v>436</v>
      </c>
      <c r="C87" s="40">
        <v>29.650300000000001</v>
      </c>
      <c r="D87" s="40">
        <v>3.4358</v>
      </c>
      <c r="E87" s="40">
        <v>3.6783000000000001</v>
      </c>
    </row>
    <row r="88" spans="1:5" x14ac:dyDescent="0.3">
      <c r="A88" t="s">
        <v>310</v>
      </c>
      <c r="B88" t="s">
        <v>436</v>
      </c>
      <c r="C88" s="40">
        <v>29.817</v>
      </c>
      <c r="D88" s="40">
        <v>8.4626000000000001</v>
      </c>
      <c r="E88" s="40">
        <v>4.4809999999999999</v>
      </c>
    </row>
    <row r="89" spans="1:5" x14ac:dyDescent="0.3">
      <c r="A89" t="s">
        <v>310</v>
      </c>
      <c r="B89" t="s">
        <v>436</v>
      </c>
      <c r="C89" s="40">
        <v>38.457999999999998</v>
      </c>
      <c r="D89" s="40">
        <v>4.0122</v>
      </c>
      <c r="E89" s="40">
        <v>3.339</v>
      </c>
    </row>
    <row r="90" spans="1:5" x14ac:dyDescent="0.3">
      <c r="A90" t="s">
        <v>310</v>
      </c>
      <c r="B90" t="s">
        <v>436</v>
      </c>
      <c r="C90" s="40">
        <v>28.701000000000001</v>
      </c>
      <c r="D90" s="40">
        <v>4.2073</v>
      </c>
      <c r="E90" s="40">
        <v>3.0489999999999999</v>
      </c>
    </row>
    <row r="91" spans="1:5" x14ac:dyDescent="0.3">
      <c r="A91" t="s">
        <v>310</v>
      </c>
      <c r="B91" t="s">
        <v>436</v>
      </c>
      <c r="C91" s="40">
        <v>33.904000000000003</v>
      </c>
      <c r="D91" s="40">
        <v>4.6124000000000001</v>
      </c>
      <c r="E91" s="40">
        <v>3.7</v>
      </c>
    </row>
    <row r="92" spans="1:5" x14ac:dyDescent="0.3">
      <c r="A92" t="s">
        <v>310</v>
      </c>
      <c r="B92" t="s">
        <v>436</v>
      </c>
      <c r="C92" s="40">
        <v>37.238999999999997</v>
      </c>
      <c r="D92" s="40">
        <v>3.8195000000000001</v>
      </c>
      <c r="E92" s="40">
        <v>3.2170000000000001</v>
      </c>
    </row>
    <row r="93" spans="1:5" x14ac:dyDescent="0.3">
      <c r="A93" t="s">
        <v>310</v>
      </c>
      <c r="B93" t="s">
        <v>436</v>
      </c>
      <c r="C93" s="40">
        <v>35.533000000000001</v>
      </c>
      <c r="D93" s="40">
        <v>5.1689999999999996</v>
      </c>
      <c r="E93" s="40">
        <v>3.9209999999999998</v>
      </c>
    </row>
    <row r="94" spans="1:5" x14ac:dyDescent="0.3">
      <c r="A94" t="s">
        <v>310</v>
      </c>
      <c r="B94" t="s">
        <v>436</v>
      </c>
      <c r="C94" s="40">
        <v>30.885000000000002</v>
      </c>
      <c r="D94" s="40">
        <v>3.7366999999999999</v>
      </c>
      <c r="E94" s="40">
        <v>3.7719999999999998</v>
      </c>
    </row>
    <row r="95" spans="1:5" x14ac:dyDescent="0.3">
      <c r="A95" t="s">
        <v>310</v>
      </c>
      <c r="B95" t="s">
        <v>436</v>
      </c>
      <c r="C95" s="40">
        <v>36.997999999999998</v>
      </c>
      <c r="D95" s="40">
        <v>3.5102000000000002</v>
      </c>
      <c r="E95" s="40">
        <v>3.4060000000000001</v>
      </c>
    </row>
    <row r="96" spans="1:5" x14ac:dyDescent="0.3">
      <c r="A96" t="s">
        <v>310</v>
      </c>
      <c r="B96" t="s">
        <v>436</v>
      </c>
      <c r="C96" s="40">
        <v>32.722000000000001</v>
      </c>
      <c r="D96" s="40">
        <v>3.6295000000000002</v>
      </c>
      <c r="E96" s="40">
        <v>3.8679999999999999</v>
      </c>
    </row>
    <row r="97" spans="1:5" x14ac:dyDescent="0.3">
      <c r="A97" t="s">
        <v>310</v>
      </c>
      <c r="B97" t="s">
        <v>436</v>
      </c>
      <c r="C97" s="40">
        <v>33.650300000000001</v>
      </c>
      <c r="D97" s="40">
        <v>3.4358</v>
      </c>
      <c r="E97" s="40">
        <v>3.6783000000000001</v>
      </c>
    </row>
    <row r="98" spans="1:5" x14ac:dyDescent="0.3">
      <c r="A98" t="s">
        <v>310</v>
      </c>
      <c r="B98" t="s">
        <v>436</v>
      </c>
      <c r="C98" s="40">
        <v>37.817</v>
      </c>
      <c r="D98" s="40">
        <v>8.4626000000000001</v>
      </c>
      <c r="E98" s="40">
        <v>4.4809999999999999</v>
      </c>
    </row>
    <row r="99" spans="1:5" x14ac:dyDescent="0.3">
      <c r="A99" t="s">
        <v>310</v>
      </c>
      <c r="B99" t="s">
        <v>436</v>
      </c>
      <c r="C99" s="40">
        <v>32.972999999999999</v>
      </c>
      <c r="D99" s="40">
        <v>3.8887</v>
      </c>
      <c r="E99" s="40">
        <v>3.7509999999999999</v>
      </c>
    </row>
    <row r="100" spans="1:5" x14ac:dyDescent="0.3">
      <c r="A100" t="s">
        <v>310</v>
      </c>
      <c r="B100" t="s">
        <v>436</v>
      </c>
      <c r="C100" s="40">
        <v>37.701000000000001</v>
      </c>
      <c r="D100" s="40">
        <v>4.2073</v>
      </c>
      <c r="E100" s="40">
        <v>4.0490000000000004</v>
      </c>
    </row>
    <row r="101" spans="1:5" x14ac:dyDescent="0.3">
      <c r="A101" t="s">
        <v>310</v>
      </c>
      <c r="B101" t="s">
        <v>436</v>
      </c>
      <c r="C101" s="40">
        <v>37.860999999999997</v>
      </c>
      <c r="D101" s="40">
        <v>5.3423999999999996</v>
      </c>
      <c r="E101" s="40">
        <v>4.1609999999999996</v>
      </c>
    </row>
    <row r="102" spans="1:5" x14ac:dyDescent="0.3">
      <c r="A102" t="s">
        <v>310</v>
      </c>
      <c r="B102" t="s">
        <v>437</v>
      </c>
      <c r="C102" s="40">
        <v>39.873399999999997</v>
      </c>
      <c r="D102" s="40">
        <v>3.5204</v>
      </c>
      <c r="E102" s="40">
        <v>4.0674000000000001</v>
      </c>
    </row>
    <row r="103" spans="1:5" x14ac:dyDescent="0.3">
      <c r="A103" t="s">
        <v>310</v>
      </c>
      <c r="B103" t="s">
        <v>437</v>
      </c>
      <c r="C103" s="40">
        <v>43.539000000000001</v>
      </c>
      <c r="D103" s="40">
        <v>4.4645000000000001</v>
      </c>
      <c r="E103" s="40">
        <v>3.4009999999999998</v>
      </c>
    </row>
    <row r="104" spans="1:5" x14ac:dyDescent="0.3">
      <c r="A104" t="s">
        <v>310</v>
      </c>
      <c r="B104" t="s">
        <v>437</v>
      </c>
      <c r="C104" s="40">
        <v>44.841000000000001</v>
      </c>
      <c r="D104" s="40">
        <v>4.2953999999999999</v>
      </c>
      <c r="E104" s="40">
        <v>3.3109999999999999</v>
      </c>
    </row>
    <row r="105" spans="1:5" x14ac:dyDescent="0.3">
      <c r="A105" t="s">
        <v>310</v>
      </c>
      <c r="B105" t="s">
        <v>437</v>
      </c>
      <c r="C105" s="40">
        <v>41.488</v>
      </c>
      <c r="D105" s="40">
        <v>4.2356999999999996</v>
      </c>
      <c r="E105" s="40">
        <v>4.1269999999999998</v>
      </c>
    </row>
    <row r="106" spans="1:5" x14ac:dyDescent="0.3">
      <c r="A106" t="s">
        <v>310</v>
      </c>
      <c r="B106" t="s">
        <v>437</v>
      </c>
      <c r="C106" s="40">
        <v>41.834000000000003</v>
      </c>
      <c r="D106" s="40">
        <v>4.4431000000000003</v>
      </c>
      <c r="E106" s="40">
        <v>3.4910000000000001</v>
      </c>
    </row>
    <row r="107" spans="1:5" x14ac:dyDescent="0.3">
      <c r="A107" t="s">
        <v>310</v>
      </c>
      <c r="B107" t="s">
        <v>437</v>
      </c>
      <c r="C107" s="40">
        <v>37.243000000000002</v>
      </c>
      <c r="D107" s="40">
        <v>4.2725999999999997</v>
      </c>
      <c r="E107" s="40">
        <v>3.2679999999999998</v>
      </c>
    </row>
    <row r="108" spans="1:5" x14ac:dyDescent="0.3">
      <c r="A108" t="s">
        <v>310</v>
      </c>
      <c r="B108" t="s">
        <v>437</v>
      </c>
      <c r="C108" s="40">
        <v>41.066000000000003</v>
      </c>
      <c r="D108" s="40">
        <v>4.4905999999999997</v>
      </c>
      <c r="E108" s="40">
        <v>4.0880000000000001</v>
      </c>
    </row>
    <row r="109" spans="1:5" x14ac:dyDescent="0.3">
      <c r="A109" t="s">
        <v>310</v>
      </c>
      <c r="B109" t="s">
        <v>437</v>
      </c>
      <c r="C109" s="40">
        <v>42.497999999999998</v>
      </c>
      <c r="D109" s="40">
        <v>4.3686999999999996</v>
      </c>
      <c r="E109" s="40">
        <v>3.351</v>
      </c>
    </row>
    <row r="110" spans="1:5" x14ac:dyDescent="0.3">
      <c r="A110" t="s">
        <v>310</v>
      </c>
      <c r="B110" t="s">
        <v>437</v>
      </c>
      <c r="C110" s="40">
        <v>50.735999999999997</v>
      </c>
      <c r="D110" s="40">
        <v>4.5031999999999996</v>
      </c>
      <c r="E110" s="40">
        <v>4.04</v>
      </c>
    </row>
    <row r="111" spans="1:5" x14ac:dyDescent="0.3">
      <c r="A111" t="s">
        <v>310</v>
      </c>
      <c r="B111" t="s">
        <v>437</v>
      </c>
      <c r="C111" s="40">
        <v>31.155999999999999</v>
      </c>
      <c r="D111" s="40">
        <v>4.3945999999999996</v>
      </c>
      <c r="E111" s="40">
        <v>4.1420000000000003</v>
      </c>
    </row>
    <row r="112" spans="1:5" x14ac:dyDescent="0.3">
      <c r="A112" t="s">
        <v>310</v>
      </c>
      <c r="B112" t="s">
        <v>437</v>
      </c>
      <c r="C112" s="40">
        <v>33.033000000000001</v>
      </c>
      <c r="D112" s="40">
        <v>3.5836999999999999</v>
      </c>
      <c r="E112" s="40">
        <v>3.9260000000000002</v>
      </c>
    </row>
    <row r="113" spans="1:5" x14ac:dyDescent="0.3">
      <c r="A113" t="s">
        <v>310</v>
      </c>
      <c r="B113" t="s">
        <v>437</v>
      </c>
      <c r="C113" s="40">
        <v>30.742999999999999</v>
      </c>
      <c r="D113" s="40">
        <v>3.3896999999999999</v>
      </c>
      <c r="E113" s="40">
        <v>4.3659999999999997</v>
      </c>
    </row>
    <row r="114" spans="1:5" x14ac:dyDescent="0.3">
      <c r="A114" t="s">
        <v>310</v>
      </c>
      <c r="B114" t="s">
        <v>437</v>
      </c>
      <c r="C114" s="40">
        <v>32.713000000000001</v>
      </c>
      <c r="D114" s="40">
        <v>7.9259000000000004</v>
      </c>
      <c r="E114" s="40">
        <v>3.786</v>
      </c>
    </row>
    <row r="115" spans="1:5" x14ac:dyDescent="0.3">
      <c r="A115" t="s">
        <v>310</v>
      </c>
      <c r="B115" t="s">
        <v>437</v>
      </c>
      <c r="C115" s="40">
        <v>30.771699999999999</v>
      </c>
      <c r="D115" s="40">
        <v>2.7395999999999998</v>
      </c>
      <c r="E115" s="40">
        <v>4.0730000000000004</v>
      </c>
    </row>
    <row r="116" spans="1:5" x14ac:dyDescent="0.3">
      <c r="A116" t="s">
        <v>310</v>
      </c>
      <c r="B116" t="s">
        <v>437</v>
      </c>
      <c r="C116" s="40">
        <v>31.181000000000001</v>
      </c>
      <c r="D116" s="40">
        <v>4.3399000000000001</v>
      </c>
      <c r="E116" s="40">
        <v>4.4390000000000001</v>
      </c>
    </row>
    <row r="117" spans="1:5" x14ac:dyDescent="0.3">
      <c r="A117" t="s">
        <v>310</v>
      </c>
      <c r="B117" t="s">
        <v>437</v>
      </c>
      <c r="C117" s="40">
        <v>33.485900000000001</v>
      </c>
      <c r="D117" s="40">
        <v>3.7168999999999999</v>
      </c>
      <c r="E117" s="40">
        <v>3.7288999999999999</v>
      </c>
    </row>
    <row r="118" spans="1:5" x14ac:dyDescent="0.3">
      <c r="A118" t="s">
        <v>310</v>
      </c>
      <c r="B118" t="s">
        <v>437</v>
      </c>
      <c r="C118" s="40">
        <v>33.216000000000001</v>
      </c>
      <c r="D118" s="40">
        <v>6.2220000000000004</v>
      </c>
      <c r="E118" s="40">
        <v>4.0720000000000001</v>
      </c>
    </row>
    <row r="119" spans="1:5" x14ac:dyDescent="0.3">
      <c r="A119" t="s">
        <v>310</v>
      </c>
      <c r="B119" t="s">
        <v>437</v>
      </c>
      <c r="C119" s="40">
        <v>33.015999999999998</v>
      </c>
      <c r="D119" s="40">
        <v>4.4950999999999999</v>
      </c>
      <c r="E119" s="40">
        <v>3.7370000000000001</v>
      </c>
    </row>
    <row r="120" spans="1:5" x14ac:dyDescent="0.3">
      <c r="A120" t="s">
        <v>310</v>
      </c>
      <c r="B120" t="s">
        <v>437</v>
      </c>
      <c r="C120" s="40">
        <v>35.551000000000002</v>
      </c>
      <c r="D120" s="40">
        <v>6.7469999999999999</v>
      </c>
      <c r="E120" s="40">
        <v>3.762</v>
      </c>
    </row>
    <row r="121" spans="1:5" x14ac:dyDescent="0.3">
      <c r="A121" t="s">
        <v>310</v>
      </c>
      <c r="B121" t="s">
        <v>437</v>
      </c>
      <c r="C121" s="40">
        <v>33.142000000000003</v>
      </c>
      <c r="D121" s="40">
        <v>4.1147999999999998</v>
      </c>
      <c r="E121" s="40">
        <v>3.9780000000000002</v>
      </c>
    </row>
    <row r="122" spans="1:5" x14ac:dyDescent="0.3">
      <c r="A122" t="s">
        <v>310</v>
      </c>
      <c r="B122" t="s">
        <v>437</v>
      </c>
      <c r="C122" s="40">
        <v>31.166</v>
      </c>
      <c r="D122" s="40">
        <v>3.7629000000000001</v>
      </c>
      <c r="E122" s="40">
        <v>3.786</v>
      </c>
    </row>
    <row r="123" spans="1:5" x14ac:dyDescent="0.3">
      <c r="A123" t="s">
        <v>310</v>
      </c>
      <c r="B123" t="s">
        <v>437</v>
      </c>
      <c r="C123" s="40">
        <v>36.604999999999997</v>
      </c>
      <c r="D123" s="40">
        <v>6.6493000000000002</v>
      </c>
      <c r="E123" s="40">
        <v>6.6180000000000003</v>
      </c>
    </row>
    <row r="124" spans="1:5" x14ac:dyDescent="0.3">
      <c r="A124" t="s">
        <v>310</v>
      </c>
      <c r="B124" t="s">
        <v>437</v>
      </c>
      <c r="C124" s="40">
        <v>34.057000000000002</v>
      </c>
      <c r="D124" s="40">
        <v>3.4781</v>
      </c>
      <c r="E124" s="40">
        <v>4.4260000000000002</v>
      </c>
    </row>
    <row r="125" spans="1:5" x14ac:dyDescent="0.3">
      <c r="A125" t="s">
        <v>310</v>
      </c>
      <c r="B125" t="s">
        <v>437</v>
      </c>
      <c r="C125" s="40">
        <v>35.125999999999998</v>
      </c>
      <c r="D125" s="40">
        <v>4.0446999999999997</v>
      </c>
      <c r="E125" s="40">
        <v>4.024</v>
      </c>
    </row>
    <row r="126" spans="1:5" x14ac:dyDescent="0.3">
      <c r="A126" t="s">
        <v>310</v>
      </c>
      <c r="B126" t="s">
        <v>437</v>
      </c>
      <c r="C126" s="40">
        <v>31.748999999999999</v>
      </c>
      <c r="D126" s="40">
        <v>4.3696000000000002</v>
      </c>
      <c r="E126" s="40">
        <v>4.431</v>
      </c>
    </row>
    <row r="127" spans="1:5" x14ac:dyDescent="0.3">
      <c r="A127" t="s">
        <v>310</v>
      </c>
      <c r="B127" t="s">
        <v>437</v>
      </c>
      <c r="C127" s="40">
        <v>34.383000000000003</v>
      </c>
      <c r="D127" s="40">
        <v>4.2956000000000003</v>
      </c>
      <c r="E127" s="40">
        <v>4.4450000000000003</v>
      </c>
    </row>
    <row r="128" spans="1:5" x14ac:dyDescent="0.3">
      <c r="A128" t="s">
        <v>310</v>
      </c>
      <c r="B128" t="s">
        <v>437</v>
      </c>
      <c r="C128" s="40">
        <v>32.131</v>
      </c>
      <c r="D128" s="40">
        <v>8.3405000000000005</v>
      </c>
      <c r="E128" s="40">
        <v>4.3879999999999999</v>
      </c>
    </row>
    <row r="129" spans="1:5" x14ac:dyDescent="0.3">
      <c r="A129" t="s">
        <v>310</v>
      </c>
      <c r="B129" t="s">
        <v>437</v>
      </c>
      <c r="C129" s="40">
        <v>34.354999999999997</v>
      </c>
      <c r="D129" s="40">
        <v>6.9333999999999998</v>
      </c>
      <c r="E129" s="40">
        <v>3.9660000000000002</v>
      </c>
    </row>
    <row r="130" spans="1:5" x14ac:dyDescent="0.3">
      <c r="A130" t="s">
        <v>310</v>
      </c>
      <c r="B130" t="s">
        <v>437</v>
      </c>
      <c r="C130" s="40">
        <v>35.396000000000001</v>
      </c>
      <c r="D130" s="40">
        <v>5.0919999999999996</v>
      </c>
      <c r="E130" s="40">
        <v>4.4219999999999997</v>
      </c>
    </row>
    <row r="131" spans="1:5" x14ac:dyDescent="0.3">
      <c r="A131" t="s">
        <v>310</v>
      </c>
      <c r="B131" t="s">
        <v>437</v>
      </c>
      <c r="C131" s="40">
        <v>31.992000000000001</v>
      </c>
      <c r="D131" s="40">
        <v>5.1384999999999996</v>
      </c>
      <c r="E131" s="40">
        <v>4.3449999999999998</v>
      </c>
    </row>
    <row r="132" spans="1:5" x14ac:dyDescent="0.3">
      <c r="A132" t="s">
        <v>310</v>
      </c>
      <c r="B132" t="s">
        <v>437</v>
      </c>
      <c r="C132" s="40">
        <v>34.081000000000003</v>
      </c>
      <c r="D132" s="40">
        <v>5.4729000000000001</v>
      </c>
      <c r="E132" s="40">
        <v>3.8180000000000001</v>
      </c>
    </row>
    <row r="133" spans="1:5" x14ac:dyDescent="0.3">
      <c r="A133" t="s">
        <v>310</v>
      </c>
      <c r="B133" t="s">
        <v>437</v>
      </c>
      <c r="C133" s="40">
        <v>32.746000000000002</v>
      </c>
      <c r="D133" s="40">
        <v>5.0766</v>
      </c>
      <c r="E133" s="40">
        <v>4.0419999999999998</v>
      </c>
    </row>
    <row r="134" spans="1:5" x14ac:dyDescent="0.3">
      <c r="A134" t="s">
        <v>310</v>
      </c>
      <c r="B134" t="s">
        <v>437</v>
      </c>
      <c r="C134" s="40">
        <v>33.372999999999998</v>
      </c>
      <c r="D134" s="40">
        <v>3.0700400000000001</v>
      </c>
      <c r="E134" s="40">
        <v>3.996</v>
      </c>
    </row>
    <row r="135" spans="1:5" x14ac:dyDescent="0.3">
      <c r="A135" t="s">
        <v>310</v>
      </c>
      <c r="B135" t="s">
        <v>437</v>
      </c>
      <c r="C135" s="40">
        <v>33.649000000000001</v>
      </c>
      <c r="D135" s="40">
        <v>3.6147999999999998</v>
      </c>
      <c r="E135" s="40">
        <v>3.7530000000000001</v>
      </c>
    </row>
    <row r="136" spans="1:5" x14ac:dyDescent="0.3">
      <c r="A136" t="s">
        <v>310</v>
      </c>
      <c r="B136" t="s">
        <v>437</v>
      </c>
      <c r="C136" s="40">
        <v>31.366</v>
      </c>
      <c r="D136" s="40">
        <v>4.6047000000000002</v>
      </c>
      <c r="E136" s="40">
        <v>4.202</v>
      </c>
    </row>
    <row r="137" spans="1:5" x14ac:dyDescent="0.3">
      <c r="A137" t="s">
        <v>310</v>
      </c>
      <c r="B137" t="s">
        <v>437</v>
      </c>
      <c r="C137" s="40">
        <v>31.576000000000001</v>
      </c>
      <c r="D137" s="40">
        <v>4.2967000000000004</v>
      </c>
      <c r="E137" s="40">
        <v>4.3970000000000002</v>
      </c>
    </row>
    <row r="138" spans="1:5" x14ac:dyDescent="0.3">
      <c r="A138" t="s">
        <v>310</v>
      </c>
      <c r="B138" t="s">
        <v>437</v>
      </c>
      <c r="C138" s="40">
        <v>35.549999999999997</v>
      </c>
      <c r="D138" s="40">
        <v>6.8186999999999998</v>
      </c>
      <c r="E138" s="40">
        <v>4.6159999999999997</v>
      </c>
    </row>
    <row r="139" spans="1:5" x14ac:dyDescent="0.3">
      <c r="A139" t="s">
        <v>310</v>
      </c>
      <c r="B139" t="s">
        <v>437</v>
      </c>
      <c r="C139" s="40">
        <v>33.404000000000003</v>
      </c>
      <c r="D139" s="40">
        <v>4.5347999999999997</v>
      </c>
      <c r="E139" s="40">
        <v>4.3769999999999998</v>
      </c>
    </row>
    <row r="140" spans="1:5" x14ac:dyDescent="0.3">
      <c r="A140" t="s">
        <v>310</v>
      </c>
      <c r="B140" t="s">
        <v>437</v>
      </c>
      <c r="C140" s="40">
        <v>31.433</v>
      </c>
      <c r="D140" s="40">
        <v>3.3111000000000002</v>
      </c>
      <c r="E140" s="40">
        <v>3.7850000000000001</v>
      </c>
    </row>
    <row r="141" spans="1:5" x14ac:dyDescent="0.3">
      <c r="A141" t="s">
        <v>310</v>
      </c>
      <c r="B141" t="s">
        <v>437</v>
      </c>
      <c r="C141" s="40">
        <v>28.13</v>
      </c>
      <c r="D141" s="40">
        <v>3.9464999999999999</v>
      </c>
      <c r="E141" s="40">
        <v>3.7280000000000002</v>
      </c>
    </row>
    <row r="142" spans="1:5" x14ac:dyDescent="0.3">
      <c r="A142" t="s">
        <v>310</v>
      </c>
      <c r="B142" t="s">
        <v>437</v>
      </c>
      <c r="C142" s="40">
        <v>36.798999999999999</v>
      </c>
      <c r="D142" s="40">
        <v>5.6033999999999997</v>
      </c>
      <c r="E142" s="40">
        <v>4.3570000000000002</v>
      </c>
    </row>
    <row r="143" spans="1:5" x14ac:dyDescent="0.3">
      <c r="A143" t="s">
        <v>310</v>
      </c>
      <c r="B143" t="s">
        <v>437</v>
      </c>
      <c r="C143" s="40">
        <v>31.866</v>
      </c>
      <c r="D143" s="40">
        <v>4.1946000000000003</v>
      </c>
      <c r="E143" s="40">
        <v>3.8220000000000001</v>
      </c>
    </row>
    <row r="144" spans="1:5" x14ac:dyDescent="0.3">
      <c r="A144" t="s">
        <v>310</v>
      </c>
      <c r="B144" t="s">
        <v>437</v>
      </c>
      <c r="C144" s="40">
        <v>35.543999999999997</v>
      </c>
      <c r="D144" s="40">
        <v>5.8891</v>
      </c>
      <c r="E144" s="40">
        <v>4.0090000000000003</v>
      </c>
    </row>
    <row r="145" spans="1:5" x14ac:dyDescent="0.3">
      <c r="A145" t="s">
        <v>310</v>
      </c>
      <c r="B145" t="s">
        <v>437</v>
      </c>
      <c r="C145" s="40">
        <v>29.814</v>
      </c>
      <c r="D145" s="40">
        <v>3.0619000000000001</v>
      </c>
      <c r="E145" s="40">
        <v>3.8460000000000001</v>
      </c>
    </row>
    <row r="146" spans="1:5" x14ac:dyDescent="0.3">
      <c r="A146" t="s">
        <v>310</v>
      </c>
      <c r="B146" t="s">
        <v>437</v>
      </c>
      <c r="C146" s="40">
        <v>30.937999999999999</v>
      </c>
      <c r="D146" s="40">
        <v>4.3941999999999997</v>
      </c>
      <c r="E146" s="40">
        <v>3.98</v>
      </c>
    </row>
    <row r="147" spans="1:5" x14ac:dyDescent="0.3">
      <c r="A147" t="s">
        <v>310</v>
      </c>
      <c r="B147" t="s">
        <v>437</v>
      </c>
      <c r="C147" s="40">
        <v>31.475000000000001</v>
      </c>
      <c r="D147" s="40">
        <v>6.0174000000000003</v>
      </c>
      <c r="E147" s="40">
        <v>4.4050000000000002</v>
      </c>
    </row>
    <row r="148" spans="1:5" x14ac:dyDescent="0.3">
      <c r="A148" t="s">
        <v>310</v>
      </c>
      <c r="B148" t="s">
        <v>437</v>
      </c>
      <c r="C148" s="40">
        <v>30.859000000000002</v>
      </c>
      <c r="D148" s="40">
        <v>3.7623000000000002</v>
      </c>
      <c r="E148" s="40">
        <v>3.8069999999999999</v>
      </c>
    </row>
    <row r="149" spans="1:5" x14ac:dyDescent="0.3">
      <c r="A149" t="s">
        <v>310</v>
      </c>
      <c r="B149" t="s">
        <v>437</v>
      </c>
      <c r="C149" s="40">
        <v>34.149000000000001</v>
      </c>
      <c r="D149" s="40">
        <v>4.0008999999999997</v>
      </c>
      <c r="E149" s="40">
        <v>4.3949999999999996</v>
      </c>
    </row>
    <row r="150" spans="1:5" x14ac:dyDescent="0.3">
      <c r="A150" t="s">
        <v>310</v>
      </c>
      <c r="B150" t="s">
        <v>437</v>
      </c>
      <c r="C150" s="40">
        <v>31.888999999999999</v>
      </c>
      <c r="D150" s="40">
        <v>4.7816999999999998</v>
      </c>
      <c r="E150" s="40">
        <v>3.746</v>
      </c>
    </row>
    <row r="151" spans="1:5" x14ac:dyDescent="0.3">
      <c r="A151" t="s">
        <v>310</v>
      </c>
      <c r="B151" t="s">
        <v>437</v>
      </c>
      <c r="C151" s="40">
        <v>31.532</v>
      </c>
      <c r="D151" s="40">
        <v>4.5</v>
      </c>
      <c r="E151" s="40">
        <v>3.7360000000000002</v>
      </c>
    </row>
    <row r="152" spans="1:5" x14ac:dyDescent="0.3">
      <c r="A152" t="s">
        <v>319</v>
      </c>
      <c r="B152" t="s">
        <v>435</v>
      </c>
      <c r="C152" s="40">
        <v>4.611154</v>
      </c>
      <c r="D152" s="40">
        <v>2.831715</v>
      </c>
      <c r="E152" s="40">
        <v>0.11663999999999999</v>
      </c>
    </row>
    <row r="153" spans="1:5" x14ac:dyDescent="0.3">
      <c r="A153" t="s">
        <v>319</v>
      </c>
      <c r="B153" t="s">
        <v>435</v>
      </c>
      <c r="C153" s="40">
        <v>5.4167360000000002</v>
      </c>
      <c r="D153" s="40">
        <v>4.3049879999999998</v>
      </c>
      <c r="E153" s="40">
        <v>0.12300700000000001</v>
      </c>
    </row>
    <row r="154" spans="1:5" x14ac:dyDescent="0.3">
      <c r="A154" t="s">
        <v>319</v>
      </c>
      <c r="B154" t="s">
        <v>435</v>
      </c>
      <c r="C154" s="40">
        <v>4.5501120000000004</v>
      </c>
      <c r="D154" s="40">
        <v>3.6618219999999999</v>
      </c>
      <c r="E154" s="40">
        <v>0.10820100000000001</v>
      </c>
    </row>
    <row r="155" spans="1:5" x14ac:dyDescent="0.3">
      <c r="A155" t="s">
        <v>319</v>
      </c>
      <c r="B155" t="s">
        <v>435</v>
      </c>
      <c r="C155" s="40">
        <v>3.1837689999999998</v>
      </c>
      <c r="D155" s="40">
        <v>1.511817</v>
      </c>
      <c r="E155" s="40">
        <v>7.2170999999999999E-2</v>
      </c>
    </row>
    <row r="156" spans="1:5" x14ac:dyDescent="0.3">
      <c r="A156" t="s">
        <v>319</v>
      </c>
      <c r="B156" t="s">
        <v>435</v>
      </c>
      <c r="C156" s="40">
        <v>3.781962</v>
      </c>
      <c r="D156" s="40">
        <v>2.2684000000000002</v>
      </c>
      <c r="E156" s="40">
        <v>8.8376999999999997E-2</v>
      </c>
    </row>
    <row r="157" spans="1:5" x14ac:dyDescent="0.3">
      <c r="A157" t="s">
        <v>319</v>
      </c>
      <c r="B157" t="s">
        <v>435</v>
      </c>
      <c r="C157" s="40">
        <v>2.9752610000000002</v>
      </c>
      <c r="D157" s="40">
        <v>1.184259</v>
      </c>
      <c r="E157" s="40">
        <v>8.7822999999999998E-2</v>
      </c>
    </row>
    <row r="158" spans="1:5" x14ac:dyDescent="0.3">
      <c r="A158" t="s">
        <v>319</v>
      </c>
      <c r="B158" t="s">
        <v>435</v>
      </c>
      <c r="C158" s="40">
        <v>4.3486669999999998</v>
      </c>
      <c r="D158" s="40">
        <v>3.3886310000000002</v>
      </c>
      <c r="E158" s="40">
        <v>0.10485899999999999</v>
      </c>
    </row>
    <row r="159" spans="1:5" x14ac:dyDescent="0.3">
      <c r="A159" t="s">
        <v>319</v>
      </c>
      <c r="B159" t="s">
        <v>435</v>
      </c>
      <c r="C159" s="40">
        <v>3.0182150000000001</v>
      </c>
      <c r="D159" s="40">
        <v>1.2833220000000001</v>
      </c>
      <c r="E159" s="40">
        <v>6.1878000000000002E-2</v>
      </c>
    </row>
    <row r="160" spans="1:5" x14ac:dyDescent="0.3">
      <c r="A160" t="s">
        <v>319</v>
      </c>
      <c r="B160" t="s">
        <v>435</v>
      </c>
      <c r="C160" s="40">
        <v>4.2645169999999997</v>
      </c>
      <c r="D160" s="40">
        <v>3.2021099999999998</v>
      </c>
      <c r="E160" s="40">
        <v>0.113818</v>
      </c>
    </row>
    <row r="161" spans="1:5" x14ac:dyDescent="0.3">
      <c r="A161" t="s">
        <v>319</v>
      </c>
      <c r="B161" t="s">
        <v>435</v>
      </c>
      <c r="C161" s="40">
        <v>5.1489929999999999</v>
      </c>
      <c r="D161" s="40">
        <v>3.038456</v>
      </c>
      <c r="E161" s="40">
        <v>0.139846</v>
      </c>
    </row>
    <row r="162" spans="1:5" x14ac:dyDescent="0.3">
      <c r="A162" t="s">
        <v>319</v>
      </c>
      <c r="B162" t="s">
        <v>435</v>
      </c>
      <c r="C162" s="40">
        <v>4.8575799999999996</v>
      </c>
      <c r="D162" s="40">
        <v>5.2704599999999999</v>
      </c>
      <c r="E162" s="40">
        <v>0.16047600000000001</v>
      </c>
    </row>
    <row r="163" spans="1:5" x14ac:dyDescent="0.3">
      <c r="A163" t="s">
        <v>319</v>
      </c>
      <c r="B163" t="s">
        <v>435</v>
      </c>
      <c r="C163" s="40">
        <v>3.7607940000000002</v>
      </c>
      <c r="D163" s="40">
        <v>2.7290939999999999</v>
      </c>
      <c r="E163" s="40">
        <v>9.3743000000000007E-2</v>
      </c>
    </row>
    <row r="164" spans="1:5" x14ac:dyDescent="0.3">
      <c r="A164" t="s">
        <v>319</v>
      </c>
      <c r="B164" t="s">
        <v>435</v>
      </c>
      <c r="C164" s="40">
        <v>2.9761090000000001</v>
      </c>
      <c r="D164" s="40">
        <v>1.3266210000000001</v>
      </c>
      <c r="E164" s="40">
        <v>7.8313999999999995E-2</v>
      </c>
    </row>
    <row r="165" spans="1:5" x14ac:dyDescent="0.3">
      <c r="A165" t="s">
        <v>319</v>
      </c>
      <c r="B165" t="s">
        <v>435</v>
      </c>
      <c r="C165" s="40">
        <v>3.2822290000000001</v>
      </c>
      <c r="D165" s="40">
        <v>1.4893559999999999</v>
      </c>
      <c r="E165" s="40">
        <v>8.3858000000000002E-2</v>
      </c>
    </row>
    <row r="166" spans="1:5" x14ac:dyDescent="0.3">
      <c r="A166" t="s">
        <v>319</v>
      </c>
      <c r="B166" t="s">
        <v>435</v>
      </c>
      <c r="C166" s="40">
        <v>3.5271520000000001</v>
      </c>
      <c r="D166" s="40">
        <v>2.6006100000000001</v>
      </c>
      <c r="E166" s="40">
        <v>8.4749000000000005E-2</v>
      </c>
    </row>
    <row r="167" spans="1:5" x14ac:dyDescent="0.3">
      <c r="A167" t="s">
        <v>319</v>
      </c>
      <c r="B167" t="s">
        <v>435</v>
      </c>
      <c r="C167" s="40">
        <v>3.8100999999999998</v>
      </c>
      <c r="D167" s="40">
        <v>2.2543899999999999</v>
      </c>
      <c r="E167" s="40">
        <v>0.12565499999999999</v>
      </c>
    </row>
    <row r="168" spans="1:5" x14ac:dyDescent="0.3">
      <c r="A168" t="s">
        <v>319</v>
      </c>
      <c r="B168" t="s">
        <v>435</v>
      </c>
      <c r="C168" s="40">
        <v>3.5791680000000001</v>
      </c>
      <c r="D168" s="40">
        <v>1.418002</v>
      </c>
      <c r="E168" s="40">
        <v>0.123364</v>
      </c>
    </row>
    <row r="169" spans="1:5" x14ac:dyDescent="0.3">
      <c r="A169" t="s">
        <v>319</v>
      </c>
      <c r="B169" t="s">
        <v>435</v>
      </c>
      <c r="C169" s="40">
        <v>3.8226040000000001</v>
      </c>
      <c r="D169" s="40">
        <v>2.25386</v>
      </c>
      <c r="E169" s="40">
        <v>8.2686999999999997E-2</v>
      </c>
    </row>
    <row r="170" spans="1:5" x14ac:dyDescent="0.3">
      <c r="A170" t="s">
        <v>319</v>
      </c>
      <c r="B170" t="s">
        <v>435</v>
      </c>
      <c r="C170" s="40">
        <v>3.5275379999999998</v>
      </c>
      <c r="D170" s="40">
        <v>1.413859</v>
      </c>
      <c r="E170" s="40">
        <v>7.7683000000000002E-2</v>
      </c>
    </row>
    <row r="171" spans="1:5" x14ac:dyDescent="0.3">
      <c r="A171" t="s">
        <v>319</v>
      </c>
      <c r="B171" t="s">
        <v>435</v>
      </c>
      <c r="C171" s="40">
        <v>7.0390579999999998</v>
      </c>
      <c r="D171" s="40">
        <v>2.4985040000000001</v>
      </c>
      <c r="E171" s="40">
        <v>0.18784699999999999</v>
      </c>
    </row>
    <row r="172" spans="1:5" x14ac:dyDescent="0.3">
      <c r="A172" t="s">
        <v>319</v>
      </c>
      <c r="B172" t="s">
        <v>435</v>
      </c>
      <c r="C172" s="40">
        <v>3.1814499999999999</v>
      </c>
      <c r="D172" s="40">
        <v>1.5126409999999999</v>
      </c>
      <c r="E172" s="40">
        <v>8.0012E-2</v>
      </c>
    </row>
    <row r="173" spans="1:5" x14ac:dyDescent="0.3">
      <c r="A173" t="s">
        <v>319</v>
      </c>
      <c r="B173" t="s">
        <v>435</v>
      </c>
      <c r="C173" s="40">
        <v>4.6726520000000002</v>
      </c>
      <c r="D173" s="40">
        <v>2.9858910000000001</v>
      </c>
      <c r="E173" s="40">
        <v>8.3686999999999998E-2</v>
      </c>
    </row>
    <row r="174" spans="1:5" x14ac:dyDescent="0.3">
      <c r="A174" t="s">
        <v>319</v>
      </c>
      <c r="B174" t="s">
        <v>435</v>
      </c>
      <c r="C174" s="40">
        <v>3.194048</v>
      </c>
      <c r="D174" s="40">
        <v>1.6754</v>
      </c>
      <c r="E174" s="40">
        <v>8.9548000000000003E-2</v>
      </c>
    </row>
    <row r="175" spans="1:5" x14ac:dyDescent="0.3">
      <c r="A175" t="s">
        <v>319</v>
      </c>
      <c r="B175" t="s">
        <v>435</v>
      </c>
      <c r="C175" s="40">
        <v>4.3484389999999999</v>
      </c>
      <c r="D175" s="40">
        <v>3.3822800000000002</v>
      </c>
      <c r="E175" s="40">
        <v>0.10329199999999999</v>
      </c>
    </row>
    <row r="176" spans="1:5" x14ac:dyDescent="0.3">
      <c r="A176" t="s">
        <v>319</v>
      </c>
      <c r="B176" t="s">
        <v>435</v>
      </c>
      <c r="C176" s="40">
        <v>3.0317090000000002</v>
      </c>
      <c r="D176" s="40">
        <v>1.281542</v>
      </c>
      <c r="E176" s="40">
        <v>8.2258999999999999E-2</v>
      </c>
    </row>
    <row r="177" spans="1:5" x14ac:dyDescent="0.3">
      <c r="A177" t="s">
        <v>319</v>
      </c>
      <c r="B177" t="s">
        <v>435</v>
      </c>
      <c r="C177" s="40">
        <v>4.2430789999999998</v>
      </c>
      <c r="D177" s="40">
        <v>3.208593</v>
      </c>
      <c r="E177" s="40">
        <v>0.111239</v>
      </c>
    </row>
    <row r="178" spans="1:5" x14ac:dyDescent="0.3">
      <c r="A178" t="s">
        <v>319</v>
      </c>
      <c r="B178" t="s">
        <v>435</v>
      </c>
      <c r="C178" s="40">
        <v>5.2299360000000004</v>
      </c>
      <c r="D178" s="40">
        <v>1.736696</v>
      </c>
      <c r="E178" s="40">
        <v>8.4166000000000005E-2</v>
      </c>
    </row>
    <row r="179" spans="1:5" x14ac:dyDescent="0.3">
      <c r="A179" t="s">
        <v>319</v>
      </c>
      <c r="B179" t="s">
        <v>435</v>
      </c>
      <c r="C179" s="40">
        <v>5.5599480000000003</v>
      </c>
      <c r="D179" s="40">
        <v>1.7896000000000001</v>
      </c>
      <c r="E179" s="40">
        <v>0.100665</v>
      </c>
    </row>
    <row r="180" spans="1:5" x14ac:dyDescent="0.3">
      <c r="A180" t="s">
        <v>319</v>
      </c>
      <c r="B180" t="s">
        <v>435</v>
      </c>
      <c r="C180" s="40">
        <v>3.7313200000000002</v>
      </c>
      <c r="D180" s="40">
        <v>2.7294870000000002</v>
      </c>
      <c r="E180" s="40">
        <v>7.9824999999999993E-2</v>
      </c>
    </row>
    <row r="181" spans="1:5" x14ac:dyDescent="0.3">
      <c r="A181" t="s">
        <v>319</v>
      </c>
      <c r="B181" t="s">
        <v>435</v>
      </c>
      <c r="C181" s="40">
        <v>2.965894</v>
      </c>
      <c r="D181" s="40">
        <v>1.329051</v>
      </c>
      <c r="E181" s="40">
        <v>5.6326000000000001E-2</v>
      </c>
    </row>
    <row r="182" spans="1:5" x14ac:dyDescent="0.3">
      <c r="A182" t="s">
        <v>319</v>
      </c>
      <c r="B182" t="s">
        <v>435</v>
      </c>
      <c r="C182" s="40">
        <v>3.196148</v>
      </c>
      <c r="D182" s="40">
        <v>1.488516</v>
      </c>
      <c r="E182" s="40">
        <v>6.7879999999999996E-2</v>
      </c>
    </row>
    <row r="183" spans="1:5" x14ac:dyDescent="0.3">
      <c r="A183" t="s">
        <v>319</v>
      </c>
      <c r="B183" t="s">
        <v>435</v>
      </c>
      <c r="C183" s="40">
        <v>4.0965660000000002</v>
      </c>
      <c r="D183" s="40">
        <v>2.4637410000000002</v>
      </c>
      <c r="E183" s="40">
        <v>9.8915000000000003E-2</v>
      </c>
    </row>
    <row r="184" spans="1:5" x14ac:dyDescent="0.3">
      <c r="A184" t="s">
        <v>319</v>
      </c>
      <c r="B184" t="s">
        <v>435</v>
      </c>
      <c r="C184" s="40">
        <v>3.8226040000000001</v>
      </c>
      <c r="D184" s="40">
        <v>2.25386</v>
      </c>
      <c r="E184" s="40">
        <v>8.2686999999999997E-2</v>
      </c>
    </row>
    <row r="185" spans="1:5" x14ac:dyDescent="0.3">
      <c r="A185" t="s">
        <v>319</v>
      </c>
      <c r="B185" t="s">
        <v>435</v>
      </c>
      <c r="C185" s="40">
        <v>3.3239999999999998</v>
      </c>
      <c r="D185" s="40">
        <v>0.76910000000000001</v>
      </c>
      <c r="E185" s="40">
        <v>6.7599999999999993E-2</v>
      </c>
    </row>
    <row r="186" spans="1:5" x14ac:dyDescent="0.3">
      <c r="A186" t="s">
        <v>319</v>
      </c>
      <c r="B186" t="s">
        <v>435</v>
      </c>
      <c r="C186" s="40">
        <v>3.8381699999999999</v>
      </c>
      <c r="D186" s="40">
        <v>2.2557040000000002</v>
      </c>
      <c r="E186" s="40">
        <v>9.0151999999999996E-2</v>
      </c>
    </row>
    <row r="187" spans="1:5" x14ac:dyDescent="0.3">
      <c r="A187" t="s">
        <v>319</v>
      </c>
      <c r="B187" t="s">
        <v>435</v>
      </c>
      <c r="C187" s="40">
        <v>3.5611570000000001</v>
      </c>
      <c r="D187" s="40">
        <v>1.418887</v>
      </c>
      <c r="E187" s="40">
        <v>0.110427</v>
      </c>
    </row>
    <row r="188" spans="1:5" x14ac:dyDescent="0.3">
      <c r="A188" t="s">
        <v>319</v>
      </c>
      <c r="B188" t="s">
        <v>435</v>
      </c>
      <c r="C188" s="40">
        <v>3.7796370000000001</v>
      </c>
      <c r="D188" s="40">
        <v>2.3774280000000001</v>
      </c>
      <c r="E188" s="40">
        <v>8.3335999999999993E-2</v>
      </c>
    </row>
    <row r="189" spans="1:5" x14ac:dyDescent="0.3">
      <c r="A189" t="s">
        <v>319</v>
      </c>
      <c r="B189" t="s">
        <v>435</v>
      </c>
      <c r="C189" s="40">
        <v>3.1722070000000002</v>
      </c>
      <c r="D189" s="40">
        <v>1.5134749999999999</v>
      </c>
      <c r="E189" s="40">
        <v>6.9006999999999999E-2</v>
      </c>
    </row>
    <row r="190" spans="1:5" x14ac:dyDescent="0.3">
      <c r="A190" t="s">
        <v>319</v>
      </c>
      <c r="B190" t="s">
        <v>435</v>
      </c>
      <c r="C190" s="40">
        <v>4.7246790000000001</v>
      </c>
      <c r="D190" s="40">
        <v>2.9843820000000001</v>
      </c>
      <c r="E190" s="40">
        <v>0.109759</v>
      </c>
    </row>
    <row r="191" spans="1:5" x14ac:dyDescent="0.3">
      <c r="A191" t="s">
        <v>319</v>
      </c>
      <c r="B191" t="s">
        <v>435</v>
      </c>
      <c r="C191" s="40">
        <v>4.6426699999999999</v>
      </c>
      <c r="D191" s="40">
        <v>4.2629450000000002</v>
      </c>
      <c r="E191" s="40">
        <v>8.3110000000000003E-2</v>
      </c>
    </row>
    <row r="192" spans="1:5" x14ac:dyDescent="0.3">
      <c r="A192" t="s">
        <v>319</v>
      </c>
      <c r="B192" t="s">
        <v>435</v>
      </c>
      <c r="C192" s="40">
        <v>4.3364320000000003</v>
      </c>
      <c r="D192" s="40">
        <v>3.3812869999999999</v>
      </c>
      <c r="E192" s="40">
        <v>9.9597000000000005E-2</v>
      </c>
    </row>
    <row r="193" spans="1:5" x14ac:dyDescent="0.3">
      <c r="A193" t="s">
        <v>319</v>
      </c>
      <c r="B193" t="s">
        <v>435</v>
      </c>
      <c r="C193" s="40">
        <v>3.0264489999999999</v>
      </c>
      <c r="D193" s="40">
        <v>1.281898</v>
      </c>
      <c r="E193" s="40">
        <v>8.8782E-2</v>
      </c>
    </row>
    <row r="194" spans="1:5" x14ac:dyDescent="0.3">
      <c r="A194" t="s">
        <v>319</v>
      </c>
      <c r="B194" t="s">
        <v>435</v>
      </c>
      <c r="C194" s="40">
        <v>3.6020750000000001</v>
      </c>
      <c r="D194" s="40">
        <v>2.8413520000000001</v>
      </c>
      <c r="E194" s="40">
        <v>0.111985</v>
      </c>
    </row>
    <row r="195" spans="1:5" x14ac:dyDescent="0.3">
      <c r="A195" t="s">
        <v>319</v>
      </c>
      <c r="B195" t="s">
        <v>435</v>
      </c>
      <c r="C195" s="40">
        <v>3.572635</v>
      </c>
      <c r="D195" s="40">
        <v>1.3877649999999999</v>
      </c>
      <c r="E195" s="40">
        <v>7.6813000000000006E-2</v>
      </c>
    </row>
    <row r="196" spans="1:5" x14ac:dyDescent="0.3">
      <c r="A196" t="s">
        <v>319</v>
      </c>
      <c r="B196" t="s">
        <v>435</v>
      </c>
      <c r="C196" s="40">
        <v>4.0931069999999998</v>
      </c>
      <c r="D196" s="40">
        <v>1.4142239999999999</v>
      </c>
      <c r="E196" s="40">
        <v>9.2055999999999999E-2</v>
      </c>
    </row>
    <row r="197" spans="1:5" x14ac:dyDescent="0.3">
      <c r="A197" t="s">
        <v>319</v>
      </c>
      <c r="B197" t="s">
        <v>435</v>
      </c>
      <c r="C197" s="40">
        <v>3.731887</v>
      </c>
      <c r="D197" s="40">
        <v>2.7288000000000001</v>
      </c>
      <c r="E197" s="40">
        <v>7.8836000000000003E-2</v>
      </c>
    </row>
    <row r="198" spans="1:5" x14ac:dyDescent="0.3">
      <c r="A198" t="s">
        <v>319</v>
      </c>
      <c r="B198" t="s">
        <v>435</v>
      </c>
      <c r="C198" s="40">
        <v>3.1040100000000002</v>
      </c>
      <c r="D198" s="40">
        <v>1.3300019999999999</v>
      </c>
      <c r="E198" s="40">
        <v>0.104033</v>
      </c>
    </row>
    <row r="199" spans="1:5" x14ac:dyDescent="0.3">
      <c r="A199" t="s">
        <v>319</v>
      </c>
      <c r="B199" t="s">
        <v>435</v>
      </c>
      <c r="C199" s="40">
        <v>3.260602</v>
      </c>
      <c r="D199" s="40">
        <v>1.4883090000000001</v>
      </c>
      <c r="E199" s="40">
        <v>6.2141000000000002E-2</v>
      </c>
    </row>
    <row r="200" spans="1:5" x14ac:dyDescent="0.3">
      <c r="A200" t="s">
        <v>319</v>
      </c>
      <c r="B200" t="s">
        <v>435</v>
      </c>
      <c r="C200" s="40">
        <v>4.9422930000000003</v>
      </c>
      <c r="D200" s="40">
        <v>3.5575230000000002</v>
      </c>
      <c r="E200" s="40">
        <v>9.2563999999999994E-2</v>
      </c>
    </row>
    <row r="201" spans="1:5" x14ac:dyDescent="0.3">
      <c r="A201" t="s">
        <v>319</v>
      </c>
      <c r="B201" t="s">
        <v>435</v>
      </c>
      <c r="C201" s="40">
        <v>3.7743440000000001</v>
      </c>
      <c r="D201" s="40">
        <v>1.753949</v>
      </c>
      <c r="E201" s="40">
        <v>7.5858999999999996E-2</v>
      </c>
    </row>
    <row r="202" spans="1:5" x14ac:dyDescent="0.3">
      <c r="A202" t="s">
        <v>319</v>
      </c>
      <c r="B202" t="s">
        <v>435</v>
      </c>
      <c r="C202" s="40">
        <v>3.5611570000000001</v>
      </c>
      <c r="D202" s="40">
        <v>1.418887</v>
      </c>
      <c r="E202" s="40">
        <v>0.110427</v>
      </c>
    </row>
    <row r="203" spans="1:5" x14ac:dyDescent="0.3">
      <c r="A203" t="s">
        <v>319</v>
      </c>
      <c r="B203" t="s">
        <v>435</v>
      </c>
      <c r="C203" s="40">
        <v>4.5713039999999996</v>
      </c>
      <c r="D203" s="40">
        <v>2.8319549999999998</v>
      </c>
      <c r="E203" s="40">
        <v>8.5305000000000006E-2</v>
      </c>
    </row>
    <row r="204" spans="1:5" x14ac:dyDescent="0.3">
      <c r="A204" t="s">
        <v>319</v>
      </c>
      <c r="B204" t="s">
        <v>435</v>
      </c>
      <c r="C204" s="40">
        <v>4.9513069999999999</v>
      </c>
      <c r="D204" s="40">
        <v>3.4717669999999998</v>
      </c>
      <c r="E204" s="40">
        <v>0.10453</v>
      </c>
    </row>
    <row r="205" spans="1:5" x14ac:dyDescent="0.3">
      <c r="A205" t="s">
        <v>319</v>
      </c>
      <c r="B205" t="s">
        <v>435</v>
      </c>
      <c r="C205" s="40">
        <v>3.8141259999999999</v>
      </c>
      <c r="D205" s="40">
        <v>2.3779759999999999</v>
      </c>
      <c r="E205" s="40">
        <v>7.2813000000000003E-2</v>
      </c>
    </row>
    <row r="206" spans="1:5" x14ac:dyDescent="0.3">
      <c r="A206" t="s">
        <v>319</v>
      </c>
      <c r="B206" t="s">
        <v>435</v>
      </c>
      <c r="C206" s="40">
        <v>3.1865260000000002</v>
      </c>
      <c r="D206" s="40">
        <v>1.51135</v>
      </c>
      <c r="E206" s="40">
        <v>8.5145999999999999E-2</v>
      </c>
    </row>
    <row r="207" spans="1:5" x14ac:dyDescent="0.3">
      <c r="A207" t="s">
        <v>319</v>
      </c>
      <c r="B207" t="s">
        <v>435</v>
      </c>
      <c r="C207" s="40">
        <v>3.7554129999999999</v>
      </c>
      <c r="D207" s="40">
        <v>2.2692999999999999</v>
      </c>
      <c r="E207" s="40">
        <v>7.4122999999999994E-2</v>
      </c>
    </row>
    <row r="208" spans="1:5" x14ac:dyDescent="0.3">
      <c r="A208" t="s">
        <v>319</v>
      </c>
      <c r="B208" t="s">
        <v>435</v>
      </c>
      <c r="C208" s="40">
        <v>2.968296</v>
      </c>
      <c r="D208" s="40">
        <v>1.1849989999999999</v>
      </c>
      <c r="E208" s="40">
        <v>6.5113000000000004E-2</v>
      </c>
    </row>
    <row r="209" spans="1:5" x14ac:dyDescent="0.3">
      <c r="A209" t="s">
        <v>319</v>
      </c>
      <c r="B209" t="s">
        <v>435</v>
      </c>
      <c r="C209" s="40">
        <v>3.760643</v>
      </c>
      <c r="D209" s="40">
        <v>2.3996339999999998</v>
      </c>
      <c r="E209" s="40">
        <v>6.8581000000000003E-2</v>
      </c>
    </row>
    <row r="210" spans="1:5" x14ac:dyDescent="0.3">
      <c r="A210" t="s">
        <v>319</v>
      </c>
      <c r="B210" t="s">
        <v>435</v>
      </c>
      <c r="C210" s="40">
        <v>3.5189189999999999</v>
      </c>
      <c r="D210" s="40">
        <v>1.382317</v>
      </c>
      <c r="E210" s="40">
        <v>0.115953</v>
      </c>
    </row>
    <row r="211" spans="1:5" x14ac:dyDescent="0.3">
      <c r="A211" t="s">
        <v>319</v>
      </c>
      <c r="B211" t="s">
        <v>435</v>
      </c>
      <c r="C211" s="40">
        <v>4.2428530000000002</v>
      </c>
      <c r="D211" s="40">
        <v>3.2025999999999999</v>
      </c>
      <c r="E211" s="40">
        <v>0.10459499999999999</v>
      </c>
    </row>
    <row r="212" spans="1:5" x14ac:dyDescent="0.3">
      <c r="A212" t="s">
        <v>319</v>
      </c>
      <c r="B212" t="s">
        <v>435</v>
      </c>
      <c r="C212" s="40">
        <v>4.1246840000000002</v>
      </c>
      <c r="D212" s="40">
        <v>1.5723149999999999</v>
      </c>
      <c r="E212" s="40">
        <v>8.0633999999999997E-2</v>
      </c>
    </row>
    <row r="213" spans="1:5" x14ac:dyDescent="0.3">
      <c r="A213" t="s">
        <v>319</v>
      </c>
      <c r="B213" t="s">
        <v>435</v>
      </c>
      <c r="C213" s="40">
        <v>4.6886029999999996</v>
      </c>
      <c r="D213" s="40">
        <v>5.1453249999999997</v>
      </c>
      <c r="E213" s="40">
        <v>9.0396000000000004E-2</v>
      </c>
    </row>
    <row r="214" spans="1:5" x14ac:dyDescent="0.3">
      <c r="A214" t="s">
        <v>319</v>
      </c>
      <c r="B214" t="s">
        <v>435</v>
      </c>
      <c r="C214" s="40">
        <v>4.0384500000000001</v>
      </c>
      <c r="D214" s="40">
        <v>3.1484920000000001</v>
      </c>
      <c r="E214" s="40">
        <v>9.3727000000000005E-2</v>
      </c>
    </row>
    <row r="215" spans="1:5" x14ac:dyDescent="0.3">
      <c r="A215" t="s">
        <v>319</v>
      </c>
      <c r="B215" t="s">
        <v>435</v>
      </c>
      <c r="C215" s="40">
        <v>2.961957</v>
      </c>
      <c r="D215" s="40">
        <v>1.3278540000000001</v>
      </c>
      <c r="E215" s="40">
        <v>6.0090999999999999E-2</v>
      </c>
    </row>
    <row r="216" spans="1:5" x14ac:dyDescent="0.3">
      <c r="A216" t="s">
        <v>319</v>
      </c>
      <c r="B216" t="s">
        <v>435</v>
      </c>
      <c r="C216" s="40">
        <v>4.7348359999999996</v>
      </c>
      <c r="D216" s="40">
        <v>5.5643779999999996</v>
      </c>
      <c r="E216" s="40">
        <v>9.7425999999999999E-2</v>
      </c>
    </row>
    <row r="217" spans="1:5" x14ac:dyDescent="0.3">
      <c r="A217" t="s">
        <v>319</v>
      </c>
      <c r="B217" t="s">
        <v>435</v>
      </c>
      <c r="C217" s="40">
        <v>4.4722280000000003</v>
      </c>
      <c r="D217" s="40">
        <v>2.6367370000000001</v>
      </c>
      <c r="E217" s="40">
        <v>0.108043</v>
      </c>
    </row>
    <row r="218" spans="1:5" x14ac:dyDescent="0.3">
      <c r="A218" t="s">
        <v>319</v>
      </c>
      <c r="B218" t="s">
        <v>435</v>
      </c>
      <c r="C218" s="40">
        <v>3.784278</v>
      </c>
      <c r="D218" s="40">
        <v>2.254788</v>
      </c>
      <c r="E218" s="40">
        <v>8.5417999999999994E-2</v>
      </c>
    </row>
    <row r="219" spans="1:5" x14ac:dyDescent="0.3">
      <c r="A219" t="s">
        <v>319</v>
      </c>
      <c r="B219" t="s">
        <v>435</v>
      </c>
      <c r="C219" s="40">
        <v>3.5283850000000001</v>
      </c>
      <c r="D219" s="40">
        <v>1.418558</v>
      </c>
      <c r="E219" s="40">
        <v>8.3032999999999996E-2</v>
      </c>
    </row>
    <row r="220" spans="1:5" x14ac:dyDescent="0.3">
      <c r="A220" t="s">
        <v>319</v>
      </c>
      <c r="B220" t="s">
        <v>435</v>
      </c>
      <c r="C220" s="40">
        <v>4.3266730000000004</v>
      </c>
      <c r="D220" s="40">
        <v>2.4609369999999999</v>
      </c>
      <c r="E220" s="40">
        <v>8.9686000000000002E-2</v>
      </c>
    </row>
    <row r="221" spans="1:5" x14ac:dyDescent="0.3">
      <c r="A221" t="s">
        <v>319</v>
      </c>
      <c r="B221" t="s">
        <v>435</v>
      </c>
      <c r="C221" s="40">
        <v>3.5833870000000001</v>
      </c>
      <c r="D221" s="40">
        <v>1.2155739999999999</v>
      </c>
      <c r="E221" s="40">
        <v>7.5212000000000001E-2</v>
      </c>
    </row>
    <row r="222" spans="1:5" x14ac:dyDescent="0.3">
      <c r="A222" t="s">
        <v>319</v>
      </c>
      <c r="B222" t="s">
        <v>435</v>
      </c>
      <c r="C222" s="40">
        <v>3.7877200000000002</v>
      </c>
      <c r="D222" s="40">
        <v>2.2556020000000001</v>
      </c>
      <c r="E222" s="40">
        <v>8.4127999999999994E-2</v>
      </c>
    </row>
    <row r="223" spans="1:5" x14ac:dyDescent="0.3">
      <c r="A223" t="s">
        <v>319</v>
      </c>
      <c r="B223" t="s">
        <v>435</v>
      </c>
      <c r="C223" s="40">
        <v>3.5197910000000001</v>
      </c>
      <c r="D223" s="40">
        <v>1.4188810000000001</v>
      </c>
      <c r="E223" s="40">
        <v>7.5544E-2</v>
      </c>
    </row>
    <row r="224" spans="1:5" x14ac:dyDescent="0.3">
      <c r="A224" t="s">
        <v>319</v>
      </c>
      <c r="B224" t="s">
        <v>435</v>
      </c>
      <c r="C224" s="40">
        <v>3.8372389999999998</v>
      </c>
      <c r="D224" s="40">
        <v>2.3773460000000002</v>
      </c>
      <c r="E224" s="40">
        <v>7.9338000000000006E-2</v>
      </c>
    </row>
    <row r="225" spans="1:5" x14ac:dyDescent="0.3">
      <c r="A225" t="s">
        <v>319</v>
      </c>
      <c r="B225" t="s">
        <v>435</v>
      </c>
      <c r="C225" s="40">
        <v>3.1803059999999999</v>
      </c>
      <c r="D225" s="40">
        <v>1.513317</v>
      </c>
      <c r="E225" s="40">
        <v>7.5532000000000002E-2</v>
      </c>
    </row>
    <row r="226" spans="1:5" x14ac:dyDescent="0.3">
      <c r="A226" t="s">
        <v>319</v>
      </c>
      <c r="B226" t="s">
        <v>435</v>
      </c>
      <c r="C226" s="40">
        <v>4.3449739999999997</v>
      </c>
      <c r="D226" s="40">
        <v>3.3808660000000001</v>
      </c>
      <c r="E226" s="40">
        <v>0.104755</v>
      </c>
    </row>
    <row r="227" spans="1:5" x14ac:dyDescent="0.3">
      <c r="A227" t="s">
        <v>319</v>
      </c>
      <c r="B227" t="s">
        <v>435</v>
      </c>
      <c r="C227" s="40">
        <v>2.9805510000000002</v>
      </c>
      <c r="D227" s="40">
        <v>1.2794479999999999</v>
      </c>
      <c r="E227" s="40">
        <v>9.3826999999999994E-2</v>
      </c>
    </row>
    <row r="228" spans="1:5" x14ac:dyDescent="0.3">
      <c r="A228" t="s">
        <v>319</v>
      </c>
      <c r="B228" t="s">
        <v>435</v>
      </c>
      <c r="C228" s="40">
        <v>3.612085</v>
      </c>
      <c r="D228" s="40">
        <v>2.8418909999999999</v>
      </c>
      <c r="E228" s="40">
        <v>0.104641</v>
      </c>
    </row>
    <row r="229" spans="1:5" x14ac:dyDescent="0.3">
      <c r="A229" t="s">
        <v>319</v>
      </c>
      <c r="B229" t="s">
        <v>435</v>
      </c>
      <c r="C229" s="40">
        <v>3.5392169999999998</v>
      </c>
      <c r="D229" s="40">
        <v>1.388522</v>
      </c>
      <c r="E229" s="40">
        <v>8.5024000000000002E-2</v>
      </c>
    </row>
    <row r="230" spans="1:5" x14ac:dyDescent="0.3">
      <c r="A230" t="s">
        <v>319</v>
      </c>
      <c r="B230" t="s">
        <v>435</v>
      </c>
      <c r="C230" s="40">
        <v>3.7016960000000001</v>
      </c>
      <c r="D230" s="40">
        <v>1.2929980000000001</v>
      </c>
      <c r="E230" s="40">
        <v>9.4160999999999995E-2</v>
      </c>
    </row>
    <row r="231" spans="1:5" x14ac:dyDescent="0.3">
      <c r="A231" t="s">
        <v>319</v>
      </c>
      <c r="B231" t="s">
        <v>435</v>
      </c>
      <c r="C231" s="40">
        <v>3.7513019999999999</v>
      </c>
      <c r="D231" s="40">
        <v>2.7283140000000001</v>
      </c>
      <c r="E231" s="40">
        <v>0.102853</v>
      </c>
    </row>
    <row r="232" spans="1:5" x14ac:dyDescent="0.3">
      <c r="A232" t="s">
        <v>319</v>
      </c>
      <c r="B232" t="s">
        <v>435</v>
      </c>
      <c r="C232" s="40">
        <v>2.954526</v>
      </c>
      <c r="D232" s="40">
        <v>1.3281590000000001</v>
      </c>
      <c r="E232" s="40">
        <v>7.1138999999999994E-2</v>
      </c>
    </row>
    <row r="233" spans="1:5" x14ac:dyDescent="0.3">
      <c r="A233" t="s">
        <v>319</v>
      </c>
      <c r="B233" t="s">
        <v>435</v>
      </c>
      <c r="C233" s="40">
        <v>3.218499</v>
      </c>
      <c r="D233" s="40">
        <v>1.4851369999999999</v>
      </c>
      <c r="E233" s="40">
        <v>8.4750000000000006E-2</v>
      </c>
    </row>
    <row r="234" spans="1:5" x14ac:dyDescent="0.3">
      <c r="A234" t="s">
        <v>319</v>
      </c>
      <c r="B234" t="s">
        <v>435</v>
      </c>
      <c r="C234" s="40">
        <v>4.0659460000000003</v>
      </c>
      <c r="D234" s="40">
        <v>3.5206110000000002</v>
      </c>
      <c r="E234" s="40">
        <v>7.3832999999999996E-2</v>
      </c>
    </row>
    <row r="235" spans="1:5" x14ac:dyDescent="0.3">
      <c r="A235" t="s">
        <v>319</v>
      </c>
      <c r="B235" t="s">
        <v>435</v>
      </c>
      <c r="C235" s="40">
        <v>3.8396910000000002</v>
      </c>
      <c r="D235" s="40">
        <v>1.755374</v>
      </c>
      <c r="E235" s="40">
        <v>7.9170000000000004E-2</v>
      </c>
    </row>
    <row r="236" spans="1:5" x14ac:dyDescent="0.3">
      <c r="A236" t="s">
        <v>319</v>
      </c>
      <c r="B236" t="s">
        <v>435</v>
      </c>
      <c r="C236" s="40">
        <v>3.466704</v>
      </c>
      <c r="D236" s="40">
        <v>1.1633100000000001</v>
      </c>
      <c r="E236" s="40">
        <v>5.5747999999999999E-2</v>
      </c>
    </row>
    <row r="237" spans="1:5" x14ac:dyDescent="0.3">
      <c r="A237" t="s">
        <v>319</v>
      </c>
      <c r="B237" t="s">
        <v>436</v>
      </c>
      <c r="C237" s="40">
        <v>3.779868</v>
      </c>
      <c r="D237" s="40">
        <v>2.2553179999999999</v>
      </c>
      <c r="E237" s="40">
        <v>9.3885999999999997E-2</v>
      </c>
    </row>
    <row r="238" spans="1:5" x14ac:dyDescent="0.3">
      <c r="A238" t="s">
        <v>319</v>
      </c>
      <c r="B238" t="s">
        <v>436</v>
      </c>
      <c r="C238" s="40">
        <v>3.5484059999999999</v>
      </c>
      <c r="D238" s="40">
        <v>1.41831</v>
      </c>
      <c r="E238" s="40">
        <v>0.10512000000000001</v>
      </c>
    </row>
    <row r="239" spans="1:5" x14ac:dyDescent="0.3">
      <c r="A239" t="s">
        <v>319</v>
      </c>
      <c r="B239" t="s">
        <v>436</v>
      </c>
      <c r="C239" s="40">
        <v>3.8160069999999999</v>
      </c>
      <c r="D239" s="40">
        <v>2.3762569999999998</v>
      </c>
      <c r="E239" s="40">
        <v>8.6583999999999994E-2</v>
      </c>
    </row>
    <row r="240" spans="1:5" x14ac:dyDescent="0.3">
      <c r="A240" t="s">
        <v>319</v>
      </c>
      <c r="B240" t="s">
        <v>436</v>
      </c>
      <c r="C240" s="40">
        <v>3.1184750000000001</v>
      </c>
      <c r="D240" s="40">
        <v>1.511741</v>
      </c>
      <c r="E240" s="40">
        <v>7.4055999999999997E-2</v>
      </c>
    </row>
    <row r="241" spans="1:5" x14ac:dyDescent="0.3">
      <c r="A241" t="s">
        <v>319</v>
      </c>
      <c r="B241" t="s">
        <v>436</v>
      </c>
      <c r="C241" s="40">
        <v>4.6598240000000004</v>
      </c>
      <c r="D241" s="40">
        <v>2.9843320000000002</v>
      </c>
      <c r="E241" s="40">
        <v>7.3994000000000004E-2</v>
      </c>
    </row>
    <row r="242" spans="1:5" x14ac:dyDescent="0.3">
      <c r="A242" t="s">
        <v>319</v>
      </c>
      <c r="B242" t="s">
        <v>436</v>
      </c>
      <c r="C242" s="40">
        <v>4.5925900000000004</v>
      </c>
      <c r="D242" s="40">
        <v>3.9169420000000001</v>
      </c>
      <c r="E242" s="40">
        <v>9.6216999999999997E-2</v>
      </c>
    </row>
    <row r="243" spans="1:5" x14ac:dyDescent="0.3">
      <c r="A243" t="s">
        <v>319</v>
      </c>
      <c r="B243" t="s">
        <v>436</v>
      </c>
      <c r="C243" s="40">
        <v>4.3295669999999999</v>
      </c>
      <c r="D243" s="40">
        <v>3.3821569999999999</v>
      </c>
      <c r="E243" s="40">
        <v>8.1577999999999998E-2</v>
      </c>
    </row>
    <row r="244" spans="1:5" x14ac:dyDescent="0.3">
      <c r="A244" t="s">
        <v>319</v>
      </c>
      <c r="B244" t="s">
        <v>436</v>
      </c>
      <c r="C244" s="40">
        <v>3.0274239999999999</v>
      </c>
      <c r="D244" s="40">
        <v>1.2825660000000001</v>
      </c>
      <c r="E244" s="40">
        <v>7.6359999999999997E-2</v>
      </c>
    </row>
    <row r="245" spans="1:5" x14ac:dyDescent="0.3">
      <c r="A245" t="s">
        <v>319</v>
      </c>
      <c r="B245" t="s">
        <v>436</v>
      </c>
      <c r="C245" s="40">
        <v>3.5946479999999998</v>
      </c>
      <c r="D245" s="40">
        <v>2.8432930000000001</v>
      </c>
      <c r="E245" s="40">
        <v>9.9737999999999993E-2</v>
      </c>
    </row>
    <row r="246" spans="1:5" x14ac:dyDescent="0.3">
      <c r="A246" t="s">
        <v>319</v>
      </c>
      <c r="B246" t="s">
        <v>436</v>
      </c>
      <c r="C246" s="40">
        <v>3.5022099999999998</v>
      </c>
      <c r="D246" s="40">
        <v>1.3874740000000001</v>
      </c>
      <c r="E246" s="40">
        <v>6.3220999999999999E-2</v>
      </c>
    </row>
    <row r="247" spans="1:5" x14ac:dyDescent="0.3">
      <c r="A247" t="s">
        <v>319</v>
      </c>
      <c r="B247" t="s">
        <v>436</v>
      </c>
      <c r="C247" s="40">
        <v>3.8243390000000002</v>
      </c>
      <c r="D247" s="40">
        <v>1.290953</v>
      </c>
      <c r="E247" s="40">
        <v>7.4505000000000002E-2</v>
      </c>
    </row>
    <row r="248" spans="1:5" x14ac:dyDescent="0.3">
      <c r="A248" t="s">
        <v>319</v>
      </c>
      <c r="B248" t="s">
        <v>436</v>
      </c>
      <c r="C248" s="40">
        <v>3.7535219999999998</v>
      </c>
      <c r="D248" s="40">
        <v>2.7271200000000002</v>
      </c>
      <c r="E248" s="40">
        <v>0.102947</v>
      </c>
    </row>
    <row r="249" spans="1:5" x14ac:dyDescent="0.3">
      <c r="A249" t="s">
        <v>319</v>
      </c>
      <c r="B249" t="s">
        <v>436</v>
      </c>
      <c r="C249" s="40">
        <v>2.968594</v>
      </c>
      <c r="D249" s="40">
        <v>1.3285769999999999</v>
      </c>
      <c r="E249" s="40">
        <v>8.3117999999999997E-2</v>
      </c>
    </row>
    <row r="250" spans="1:5" x14ac:dyDescent="0.3">
      <c r="A250" t="s">
        <v>319</v>
      </c>
      <c r="B250" t="s">
        <v>436</v>
      </c>
      <c r="C250" s="40">
        <v>3.2374049999999999</v>
      </c>
      <c r="D250" s="40">
        <v>1.484246</v>
      </c>
      <c r="E250" s="40">
        <v>9.2036000000000007E-2</v>
      </c>
    </row>
    <row r="251" spans="1:5" x14ac:dyDescent="0.3">
      <c r="A251" t="s">
        <v>319</v>
      </c>
      <c r="B251" t="s">
        <v>436</v>
      </c>
      <c r="C251" s="40">
        <v>4.4016510000000002</v>
      </c>
      <c r="D251" s="40">
        <v>2.6376689999999998</v>
      </c>
      <c r="E251" s="40">
        <v>8.6239999999999997E-2</v>
      </c>
    </row>
    <row r="252" spans="1:5" x14ac:dyDescent="0.3">
      <c r="A252" t="s">
        <v>319</v>
      </c>
      <c r="B252" t="s">
        <v>436</v>
      </c>
      <c r="C252" s="40">
        <v>3.8128099999999998</v>
      </c>
      <c r="D252" s="40">
        <v>2.2558180000000001</v>
      </c>
      <c r="E252" s="40">
        <v>7.4256000000000003E-2</v>
      </c>
    </row>
    <row r="253" spans="1:5" x14ac:dyDescent="0.3">
      <c r="A253" t="s">
        <v>319</v>
      </c>
      <c r="B253" t="s">
        <v>436</v>
      </c>
      <c r="C253" s="40">
        <v>2.9449160000000001</v>
      </c>
      <c r="D253" s="40">
        <v>1.3223510000000001</v>
      </c>
      <c r="E253" s="40">
        <v>9.9387000000000003E-2</v>
      </c>
    </row>
    <row r="254" spans="1:5" x14ac:dyDescent="0.3">
      <c r="A254" t="s">
        <v>319</v>
      </c>
      <c r="B254" t="s">
        <v>436</v>
      </c>
      <c r="C254" s="40">
        <v>3.7874660000000002</v>
      </c>
      <c r="D254" s="40">
        <v>2.254267</v>
      </c>
      <c r="E254" s="40">
        <v>8.838E-2</v>
      </c>
    </row>
    <row r="255" spans="1:5" x14ac:dyDescent="0.3">
      <c r="A255" t="s">
        <v>319</v>
      </c>
      <c r="B255" t="s">
        <v>436</v>
      </c>
      <c r="C255" s="40">
        <v>3.5584039999999999</v>
      </c>
      <c r="D255" s="40">
        <v>1.414253</v>
      </c>
      <c r="E255" s="40">
        <v>0.106917</v>
      </c>
    </row>
    <row r="256" spans="1:5" x14ac:dyDescent="0.3">
      <c r="A256" t="s">
        <v>319</v>
      </c>
      <c r="B256" t="s">
        <v>436</v>
      </c>
      <c r="C256" s="40">
        <v>4.5302420000000003</v>
      </c>
      <c r="D256" s="40">
        <v>3.0315759999999998</v>
      </c>
      <c r="E256" s="40">
        <v>0.105006</v>
      </c>
    </row>
    <row r="257" spans="1:5" x14ac:dyDescent="0.3">
      <c r="A257" t="s">
        <v>319</v>
      </c>
      <c r="B257" t="s">
        <v>436</v>
      </c>
      <c r="C257" s="40">
        <v>3.2471030000000001</v>
      </c>
      <c r="D257" s="40">
        <v>1.5165900000000001</v>
      </c>
      <c r="E257" s="40">
        <v>9.2743999999999993E-2</v>
      </c>
    </row>
    <row r="258" spans="1:5" x14ac:dyDescent="0.3">
      <c r="A258" t="s">
        <v>319</v>
      </c>
      <c r="B258" t="s">
        <v>436</v>
      </c>
      <c r="C258" s="40">
        <v>3.7739090000000002</v>
      </c>
      <c r="D258" s="40">
        <v>2.2695850000000002</v>
      </c>
      <c r="E258" s="40">
        <v>8.9514999999999997E-2</v>
      </c>
    </row>
    <row r="259" spans="1:5" x14ac:dyDescent="0.3">
      <c r="A259" t="s">
        <v>319</v>
      </c>
      <c r="B259" t="s">
        <v>436</v>
      </c>
      <c r="C259" s="40">
        <v>2.9836130000000001</v>
      </c>
      <c r="D259" s="40">
        <v>1.1831670000000001</v>
      </c>
      <c r="E259" s="40">
        <v>8.4791000000000005E-2</v>
      </c>
    </row>
    <row r="260" spans="1:5" x14ac:dyDescent="0.3">
      <c r="A260" t="s">
        <v>319</v>
      </c>
      <c r="B260" t="s">
        <v>436</v>
      </c>
      <c r="C260" s="40">
        <v>3.746435</v>
      </c>
      <c r="D260" s="40">
        <v>2.2759290000000001</v>
      </c>
      <c r="E260" s="40">
        <v>0.107875</v>
      </c>
    </row>
    <row r="261" spans="1:5" x14ac:dyDescent="0.3">
      <c r="A261" t="s">
        <v>319</v>
      </c>
      <c r="B261" t="s">
        <v>436</v>
      </c>
      <c r="C261" s="40">
        <v>4.956512</v>
      </c>
      <c r="D261" s="40">
        <v>2.2682769999999999</v>
      </c>
      <c r="E261" s="40">
        <v>6.2057000000000001E-2</v>
      </c>
    </row>
    <row r="262" spans="1:5" x14ac:dyDescent="0.3">
      <c r="A262" t="s">
        <v>319</v>
      </c>
      <c r="B262" t="s">
        <v>436</v>
      </c>
      <c r="C262" s="40">
        <v>3.728729</v>
      </c>
      <c r="D262" s="40">
        <v>2.2875489999999998</v>
      </c>
      <c r="E262" s="40">
        <v>8.1919000000000006E-2</v>
      </c>
    </row>
    <row r="263" spans="1:5" x14ac:dyDescent="0.3">
      <c r="A263" t="s">
        <v>319</v>
      </c>
      <c r="B263" t="s">
        <v>436</v>
      </c>
      <c r="C263" s="40">
        <v>3.5281799999999999</v>
      </c>
      <c r="D263" s="40">
        <v>1.387032</v>
      </c>
      <c r="E263" s="40">
        <v>7.9677999999999999E-2</v>
      </c>
    </row>
    <row r="264" spans="1:5" x14ac:dyDescent="0.3">
      <c r="A264" t="s">
        <v>319</v>
      </c>
      <c r="B264" t="s">
        <v>436</v>
      </c>
      <c r="C264" s="40">
        <v>4.2312219999999998</v>
      </c>
      <c r="D264" s="40">
        <v>1.3827860000000001</v>
      </c>
      <c r="E264" s="40">
        <v>8.9813000000000004E-2</v>
      </c>
    </row>
    <row r="265" spans="1:5" x14ac:dyDescent="0.3">
      <c r="A265" t="s">
        <v>319</v>
      </c>
      <c r="B265" t="s">
        <v>436</v>
      </c>
      <c r="C265" s="40">
        <v>3.7232500000000002</v>
      </c>
      <c r="D265" s="40">
        <v>2.7267540000000001</v>
      </c>
      <c r="E265" s="40">
        <v>8.0619999999999997E-2</v>
      </c>
    </row>
    <row r="266" spans="1:5" x14ac:dyDescent="0.3">
      <c r="A266" t="s">
        <v>319</v>
      </c>
      <c r="B266" t="s">
        <v>436</v>
      </c>
      <c r="C266" s="40">
        <v>2.990926</v>
      </c>
      <c r="D266" s="40">
        <v>1.3306439999999999</v>
      </c>
      <c r="E266" s="40">
        <v>8.4459999999999993E-2</v>
      </c>
    </row>
    <row r="267" spans="1:5" x14ac:dyDescent="0.3">
      <c r="A267" t="s">
        <v>319</v>
      </c>
      <c r="B267" t="s">
        <v>436</v>
      </c>
      <c r="C267" s="40">
        <v>3.189727</v>
      </c>
      <c r="D267" s="40">
        <v>1.4871989999999999</v>
      </c>
      <c r="E267" s="40">
        <v>5.5441999999999998E-2</v>
      </c>
    </row>
    <row r="268" spans="1:5" x14ac:dyDescent="0.3">
      <c r="A268" t="s">
        <v>319</v>
      </c>
      <c r="B268" t="s">
        <v>436</v>
      </c>
      <c r="C268" s="40">
        <v>3.5251000000000001</v>
      </c>
      <c r="D268" s="40">
        <v>2.6001660000000002</v>
      </c>
      <c r="E268" s="40">
        <v>7.1287000000000003E-2</v>
      </c>
    </row>
    <row r="269" spans="1:5" x14ac:dyDescent="0.3">
      <c r="A269" t="s">
        <v>319</v>
      </c>
      <c r="B269" t="s">
        <v>436</v>
      </c>
      <c r="C269" s="40">
        <v>3.7874660000000002</v>
      </c>
      <c r="D269" s="40">
        <v>2.254267</v>
      </c>
      <c r="E269" s="40">
        <v>8.838E-2</v>
      </c>
    </row>
    <row r="270" spans="1:5" x14ac:dyDescent="0.3">
      <c r="A270" t="s">
        <v>319</v>
      </c>
      <c r="B270" t="s">
        <v>436</v>
      </c>
      <c r="C270" s="40">
        <v>3.3247420000000001</v>
      </c>
      <c r="D270" s="40">
        <v>0.91285700000000003</v>
      </c>
      <c r="E270" s="40">
        <v>6.9813E-2</v>
      </c>
    </row>
    <row r="271" spans="1:5" x14ac:dyDescent="0.3">
      <c r="A271" t="s">
        <v>319</v>
      </c>
      <c r="B271" t="s">
        <v>436</v>
      </c>
      <c r="C271" s="40">
        <v>3.834708</v>
      </c>
      <c r="D271" s="40">
        <v>2.2546430000000002</v>
      </c>
      <c r="E271" s="40">
        <v>9.2524999999999996E-2</v>
      </c>
    </row>
    <row r="272" spans="1:5" x14ac:dyDescent="0.3">
      <c r="A272" t="s">
        <v>319</v>
      </c>
      <c r="B272" t="s">
        <v>436</v>
      </c>
      <c r="C272" s="40">
        <v>4.5578919999999998</v>
      </c>
      <c r="D272" s="40">
        <v>3.2418209999999998</v>
      </c>
      <c r="E272" s="40">
        <v>0.108406</v>
      </c>
    </row>
    <row r="273" spans="1:5" x14ac:dyDescent="0.3">
      <c r="A273" t="s">
        <v>319</v>
      </c>
      <c r="B273" t="s">
        <v>436</v>
      </c>
      <c r="C273" s="40">
        <v>3.2457769999999999</v>
      </c>
      <c r="D273" s="40">
        <v>1.51925</v>
      </c>
      <c r="E273" s="40">
        <v>8.5627999999999996E-2</v>
      </c>
    </row>
    <row r="274" spans="1:5" x14ac:dyDescent="0.3">
      <c r="A274" t="s">
        <v>319</v>
      </c>
      <c r="B274" t="s">
        <v>436</v>
      </c>
      <c r="C274" s="40">
        <v>3.7693880000000002</v>
      </c>
      <c r="D274" s="40">
        <v>2.2685789999999999</v>
      </c>
      <c r="E274" s="40">
        <v>7.1499999999999994E-2</v>
      </c>
    </row>
    <row r="275" spans="1:5" x14ac:dyDescent="0.3">
      <c r="A275" t="s">
        <v>319</v>
      </c>
      <c r="B275" t="s">
        <v>436</v>
      </c>
      <c r="C275" s="40">
        <v>2.9825750000000002</v>
      </c>
      <c r="D275" s="40">
        <v>1.1841250000000001</v>
      </c>
      <c r="E275" s="40">
        <v>9.0657000000000001E-2</v>
      </c>
    </row>
    <row r="276" spans="1:5" x14ac:dyDescent="0.3">
      <c r="A276" t="s">
        <v>319</v>
      </c>
      <c r="B276" t="s">
        <v>436</v>
      </c>
      <c r="C276" s="40">
        <v>4.3149119999999996</v>
      </c>
      <c r="D276" s="40">
        <v>3.0029460000000001</v>
      </c>
      <c r="E276" s="40">
        <v>0.112998</v>
      </c>
    </row>
    <row r="277" spans="1:5" x14ac:dyDescent="0.3">
      <c r="A277" t="s">
        <v>319</v>
      </c>
      <c r="B277" t="s">
        <v>436</v>
      </c>
      <c r="C277" s="40">
        <v>3.1526860000000001</v>
      </c>
      <c r="D277" s="40">
        <v>1.28664</v>
      </c>
      <c r="E277" s="40">
        <v>0.10376000000000001</v>
      </c>
    </row>
    <row r="278" spans="1:5" x14ac:dyDescent="0.3">
      <c r="A278" t="s">
        <v>319</v>
      </c>
      <c r="B278" t="s">
        <v>436</v>
      </c>
      <c r="C278" s="40">
        <v>4.2635310000000004</v>
      </c>
      <c r="D278" s="40">
        <v>3.2054619999999998</v>
      </c>
      <c r="E278" s="40">
        <v>0.11283</v>
      </c>
    </row>
    <row r="279" spans="1:5" x14ac:dyDescent="0.3">
      <c r="A279" t="s">
        <v>319</v>
      </c>
      <c r="B279" t="s">
        <v>436</v>
      </c>
      <c r="C279" s="40">
        <v>4.8351519999999999</v>
      </c>
      <c r="D279" s="40">
        <v>1.568484</v>
      </c>
      <c r="E279" s="40">
        <v>8.8619000000000003E-2</v>
      </c>
    </row>
    <row r="280" spans="1:5" x14ac:dyDescent="0.3">
      <c r="A280" t="s">
        <v>319</v>
      </c>
      <c r="B280" t="s">
        <v>436</v>
      </c>
      <c r="C280" s="40">
        <v>6.9057740000000001</v>
      </c>
      <c r="D280" s="40">
        <v>1.176075</v>
      </c>
      <c r="E280" s="40">
        <v>0.108099</v>
      </c>
    </row>
    <row r="281" spans="1:5" x14ac:dyDescent="0.3">
      <c r="A281" t="s">
        <v>319</v>
      </c>
      <c r="B281" t="s">
        <v>436</v>
      </c>
      <c r="C281" s="40">
        <v>4.033722</v>
      </c>
      <c r="D281" s="40">
        <v>3.1452740000000001</v>
      </c>
      <c r="E281" s="40">
        <v>9.0588000000000002E-2</v>
      </c>
    </row>
    <row r="282" spans="1:5" x14ac:dyDescent="0.3">
      <c r="A282" t="s">
        <v>319</v>
      </c>
      <c r="B282" t="s">
        <v>436</v>
      </c>
      <c r="C282" s="40">
        <v>2.9769969999999999</v>
      </c>
      <c r="D282" s="40">
        <v>1.326889</v>
      </c>
      <c r="E282" s="40">
        <v>7.8516000000000002E-2</v>
      </c>
    </row>
    <row r="283" spans="1:5" x14ac:dyDescent="0.3">
      <c r="A283" t="s">
        <v>319</v>
      </c>
      <c r="B283" t="s">
        <v>436</v>
      </c>
      <c r="C283" s="40">
        <v>4.7490550000000002</v>
      </c>
      <c r="D283" s="40">
        <v>5.5551250000000003</v>
      </c>
      <c r="E283" s="40">
        <v>0.10868999999999999</v>
      </c>
    </row>
    <row r="284" spans="1:5" x14ac:dyDescent="0.3">
      <c r="A284" t="s">
        <v>319</v>
      </c>
      <c r="B284" t="s">
        <v>436</v>
      </c>
      <c r="C284" s="40">
        <v>6.0291449999999998</v>
      </c>
      <c r="D284" s="40">
        <v>7.7588270000000001</v>
      </c>
      <c r="E284" s="40">
        <v>9.5992999999999995E-2</v>
      </c>
    </row>
    <row r="285" spans="1:5" x14ac:dyDescent="0.3">
      <c r="A285" t="s">
        <v>319</v>
      </c>
      <c r="B285" t="s">
        <v>436</v>
      </c>
      <c r="C285" s="40">
        <v>3.8381699999999999</v>
      </c>
      <c r="D285" s="40">
        <v>2.2557040000000002</v>
      </c>
      <c r="E285" s="40">
        <v>9.0151999999999996E-2</v>
      </c>
    </row>
    <row r="286" spans="1:5" x14ac:dyDescent="0.3">
      <c r="A286" t="s">
        <v>319</v>
      </c>
      <c r="B286" t="s">
        <v>436</v>
      </c>
      <c r="C286" s="40">
        <v>3.5329220000000001</v>
      </c>
      <c r="D286" s="40">
        <v>1.416938</v>
      </c>
      <c r="E286" s="40">
        <v>8.0433000000000004E-2</v>
      </c>
    </row>
    <row r="287" spans="1:5" x14ac:dyDescent="0.3">
      <c r="A287" t="s">
        <v>319</v>
      </c>
      <c r="B287" t="s">
        <v>436</v>
      </c>
      <c r="C287" s="40">
        <v>3.8149860000000002</v>
      </c>
      <c r="D287" s="40">
        <v>2.2539440000000002</v>
      </c>
      <c r="E287" s="40">
        <v>6.8698999999999996E-2</v>
      </c>
    </row>
    <row r="288" spans="1:5" x14ac:dyDescent="0.3">
      <c r="A288" t="s">
        <v>319</v>
      </c>
      <c r="B288" t="s">
        <v>436</v>
      </c>
      <c r="C288" s="40">
        <v>3.4756640000000001</v>
      </c>
      <c r="D288" s="40">
        <v>1.414523</v>
      </c>
      <c r="E288" s="40">
        <v>7.4032000000000001E-2</v>
      </c>
    </row>
    <row r="289" spans="1:5" x14ac:dyDescent="0.3">
      <c r="A289" t="s">
        <v>319</v>
      </c>
      <c r="B289" t="s">
        <v>436</v>
      </c>
      <c r="C289" s="40">
        <v>8.9262549999999994</v>
      </c>
      <c r="D289" s="40">
        <v>4.8962760000000003</v>
      </c>
      <c r="E289" s="40">
        <v>0.17691699999999999</v>
      </c>
    </row>
    <row r="290" spans="1:5" x14ac:dyDescent="0.3">
      <c r="A290" t="s">
        <v>319</v>
      </c>
      <c r="B290" t="s">
        <v>436</v>
      </c>
      <c r="C290" s="40">
        <v>3.260532</v>
      </c>
      <c r="D290" s="40">
        <v>1.5168060000000001</v>
      </c>
      <c r="E290" s="40">
        <v>0.10886899999999999</v>
      </c>
    </row>
    <row r="291" spans="1:5" x14ac:dyDescent="0.3">
      <c r="A291" t="s">
        <v>319</v>
      </c>
      <c r="B291" t="s">
        <v>436</v>
      </c>
      <c r="C291" s="40">
        <v>4.1309610000000001</v>
      </c>
      <c r="D291" s="40">
        <v>2.279525</v>
      </c>
      <c r="E291" s="40">
        <v>0.117187</v>
      </c>
    </row>
    <row r="292" spans="1:5" x14ac:dyDescent="0.3">
      <c r="A292" t="s">
        <v>319</v>
      </c>
      <c r="B292" t="s">
        <v>436</v>
      </c>
      <c r="C292" s="40">
        <v>2.9775510000000001</v>
      </c>
      <c r="D292" s="40">
        <v>1.1854279999999999</v>
      </c>
      <c r="E292" s="40">
        <v>8.7627999999999998E-2</v>
      </c>
    </row>
    <row r="293" spans="1:5" x14ac:dyDescent="0.3">
      <c r="A293" t="s">
        <v>319</v>
      </c>
      <c r="B293" t="s">
        <v>436</v>
      </c>
      <c r="C293" s="40">
        <v>3.7622200000000001</v>
      </c>
      <c r="D293" s="40">
        <v>2.4001890000000001</v>
      </c>
      <c r="E293" s="40">
        <v>8.2129999999999995E-2</v>
      </c>
    </row>
    <row r="294" spans="1:5" x14ac:dyDescent="0.3">
      <c r="A294" t="s">
        <v>319</v>
      </c>
      <c r="B294" t="s">
        <v>436</v>
      </c>
      <c r="C294" s="40">
        <v>3.519571</v>
      </c>
      <c r="D294" s="40">
        <v>1.3371440000000001</v>
      </c>
      <c r="E294" s="40">
        <v>8.0576999999999996E-2</v>
      </c>
    </row>
    <row r="295" spans="1:5" x14ac:dyDescent="0.3">
      <c r="A295" t="s">
        <v>319</v>
      </c>
      <c r="B295" t="s">
        <v>436</v>
      </c>
      <c r="C295" s="40">
        <v>3.6062020000000001</v>
      </c>
      <c r="D295" s="40">
        <v>2.841507</v>
      </c>
      <c r="E295" s="40">
        <v>0.10364900000000001</v>
      </c>
    </row>
    <row r="296" spans="1:5" x14ac:dyDescent="0.3">
      <c r="A296" t="s">
        <v>319</v>
      </c>
      <c r="B296" t="s">
        <v>436</v>
      </c>
      <c r="C296" s="40">
        <v>3.5514540000000001</v>
      </c>
      <c r="D296" s="40">
        <v>1.3869279999999999</v>
      </c>
      <c r="E296" s="40">
        <v>9.6739000000000006E-2</v>
      </c>
    </row>
    <row r="297" spans="1:5" x14ac:dyDescent="0.3">
      <c r="A297" t="s">
        <v>319</v>
      </c>
      <c r="B297" t="s">
        <v>436</v>
      </c>
      <c r="C297" s="40">
        <v>4.2022409999999999</v>
      </c>
      <c r="D297" s="40">
        <v>1.5161750000000001</v>
      </c>
      <c r="E297" s="40">
        <v>0.10190399999999999</v>
      </c>
    </row>
    <row r="298" spans="1:5" x14ac:dyDescent="0.3">
      <c r="A298" t="s">
        <v>319</v>
      </c>
      <c r="B298" t="s">
        <v>436</v>
      </c>
      <c r="C298" s="40">
        <v>4.0488910000000002</v>
      </c>
      <c r="D298" s="40">
        <v>3.1453350000000002</v>
      </c>
      <c r="E298" s="40">
        <v>9.8094000000000001E-2</v>
      </c>
    </row>
    <row r="299" spans="1:5" x14ac:dyDescent="0.3">
      <c r="A299" t="s">
        <v>319</v>
      </c>
      <c r="B299" t="s">
        <v>436</v>
      </c>
      <c r="C299" s="40">
        <v>2.968737</v>
      </c>
      <c r="D299" s="40">
        <v>1.327172</v>
      </c>
      <c r="E299" s="40">
        <v>7.9673999999999995E-2</v>
      </c>
    </row>
    <row r="300" spans="1:5" x14ac:dyDescent="0.3">
      <c r="A300" t="s">
        <v>319</v>
      </c>
      <c r="B300" t="s">
        <v>436</v>
      </c>
      <c r="C300" s="40">
        <v>4.7789489999999999</v>
      </c>
      <c r="D300" s="40">
        <v>5.5559969999999996</v>
      </c>
      <c r="E300" s="40">
        <v>8.4308999999999995E-2</v>
      </c>
    </row>
    <row r="301" spans="1:5" x14ac:dyDescent="0.3">
      <c r="A301" t="s">
        <v>319</v>
      </c>
      <c r="B301" t="s">
        <v>436</v>
      </c>
      <c r="C301" s="40">
        <v>3.8128099999999998</v>
      </c>
      <c r="D301" s="40">
        <v>2.8558180000000002</v>
      </c>
      <c r="E301" s="40">
        <v>7.4256000000000003E-2</v>
      </c>
    </row>
    <row r="302" spans="1:5" x14ac:dyDescent="0.3">
      <c r="A302" t="s">
        <v>319</v>
      </c>
      <c r="B302" t="s">
        <v>436</v>
      </c>
      <c r="C302" s="40">
        <v>3.7784900000000001</v>
      </c>
      <c r="D302" s="40">
        <v>2.2540819999999999</v>
      </c>
      <c r="E302" s="40">
        <v>7.7323000000000003E-2</v>
      </c>
    </row>
    <row r="303" spans="1:5" x14ac:dyDescent="0.3">
      <c r="A303" t="s">
        <v>319</v>
      </c>
      <c r="B303" t="s">
        <v>436</v>
      </c>
      <c r="C303" s="40">
        <v>3.527047</v>
      </c>
      <c r="D303" s="40">
        <v>1.419168</v>
      </c>
      <c r="E303" s="40">
        <v>7.7036999999999994E-2</v>
      </c>
    </row>
    <row r="304" spans="1:5" x14ac:dyDescent="0.3">
      <c r="A304" t="s">
        <v>319</v>
      </c>
      <c r="B304" t="s">
        <v>436</v>
      </c>
      <c r="C304" s="40">
        <v>3.7788919999999999</v>
      </c>
      <c r="D304" s="40">
        <v>2.2547069999999998</v>
      </c>
      <c r="E304" s="40">
        <v>8.2460000000000006E-2</v>
      </c>
    </row>
    <row r="305" spans="1:5" x14ac:dyDescent="0.3">
      <c r="A305" t="s">
        <v>319</v>
      </c>
      <c r="B305" t="s">
        <v>436</v>
      </c>
      <c r="C305" s="40">
        <v>3.5460769999999999</v>
      </c>
      <c r="D305" s="40">
        <v>1.420021</v>
      </c>
      <c r="E305" s="40">
        <v>8.7818999999999994E-2</v>
      </c>
    </row>
    <row r="306" spans="1:5" x14ac:dyDescent="0.3">
      <c r="A306" t="s">
        <v>319</v>
      </c>
      <c r="B306" t="s">
        <v>436</v>
      </c>
      <c r="C306" s="40">
        <v>4.5285780000000004</v>
      </c>
      <c r="D306" s="40">
        <v>3.652101</v>
      </c>
      <c r="E306" s="40">
        <v>9.6407999999999994E-2</v>
      </c>
    </row>
    <row r="307" spans="1:5" x14ac:dyDescent="0.3">
      <c r="A307" t="s">
        <v>319</v>
      </c>
      <c r="B307" t="s">
        <v>436</v>
      </c>
      <c r="C307" s="40">
        <v>3.1247069999999999</v>
      </c>
      <c r="D307" s="40">
        <v>1.511101</v>
      </c>
      <c r="E307" s="40">
        <v>7.9685000000000006E-2</v>
      </c>
    </row>
    <row r="308" spans="1:5" x14ac:dyDescent="0.3">
      <c r="A308" t="s">
        <v>319</v>
      </c>
      <c r="B308" t="s">
        <v>436</v>
      </c>
      <c r="C308" s="40">
        <v>4.0359870000000004</v>
      </c>
      <c r="D308" s="40">
        <v>2.2802699999999998</v>
      </c>
      <c r="E308" s="40">
        <v>8.8372000000000006E-2</v>
      </c>
    </row>
    <row r="309" spans="1:5" x14ac:dyDescent="0.3">
      <c r="A309" t="s">
        <v>319</v>
      </c>
      <c r="B309" t="s">
        <v>436</v>
      </c>
      <c r="C309" s="40">
        <v>2.978148</v>
      </c>
      <c r="D309" s="40">
        <v>1.183419</v>
      </c>
      <c r="E309" s="40">
        <v>8.0296999999999993E-2</v>
      </c>
    </row>
    <row r="310" spans="1:5" x14ac:dyDescent="0.3">
      <c r="A310" t="s">
        <v>319</v>
      </c>
      <c r="B310" t="s">
        <v>436</v>
      </c>
      <c r="C310" s="40">
        <v>2.978148</v>
      </c>
      <c r="D310" s="40">
        <v>1.183419</v>
      </c>
      <c r="E310" s="40">
        <v>8.0296999999999993E-2</v>
      </c>
    </row>
    <row r="311" spans="1:5" x14ac:dyDescent="0.3">
      <c r="A311" t="s">
        <v>319</v>
      </c>
      <c r="B311" t="s">
        <v>436</v>
      </c>
      <c r="C311" s="40">
        <v>2.978148</v>
      </c>
      <c r="D311" s="40">
        <v>1.183419</v>
      </c>
      <c r="E311" s="40">
        <v>8.0296999999999993E-2</v>
      </c>
    </row>
    <row r="312" spans="1:5" x14ac:dyDescent="0.3">
      <c r="A312" t="s">
        <v>319</v>
      </c>
      <c r="B312" t="s">
        <v>436</v>
      </c>
      <c r="C312" s="40">
        <v>3.6812680000000002</v>
      </c>
      <c r="D312" s="40">
        <v>1.436226</v>
      </c>
      <c r="E312" s="40">
        <v>9.6286999999999998E-2</v>
      </c>
    </row>
    <row r="313" spans="1:5" x14ac:dyDescent="0.3">
      <c r="A313" t="s">
        <v>319</v>
      </c>
      <c r="B313" t="s">
        <v>436</v>
      </c>
      <c r="C313" s="40">
        <v>3.0563530000000001</v>
      </c>
      <c r="D313" s="40">
        <v>2.3035000000000001</v>
      </c>
      <c r="E313" s="40">
        <v>0.103174</v>
      </c>
    </row>
    <row r="314" spans="1:5" x14ac:dyDescent="0.3">
      <c r="A314" t="s">
        <v>319</v>
      </c>
      <c r="B314" t="s">
        <v>436</v>
      </c>
      <c r="C314" s="40">
        <v>4.085178</v>
      </c>
      <c r="D314" s="40">
        <v>3.1491910000000001</v>
      </c>
      <c r="E314" s="40">
        <v>9.1817999999999997E-2</v>
      </c>
    </row>
    <row r="315" spans="1:5" x14ac:dyDescent="0.3">
      <c r="A315" t="s">
        <v>319</v>
      </c>
      <c r="B315" t="s">
        <v>436</v>
      </c>
      <c r="C315" s="40">
        <v>3.0434709999999998</v>
      </c>
      <c r="D315" s="40">
        <v>1.3289139999999999</v>
      </c>
      <c r="E315" s="40">
        <v>6.9193000000000005E-2</v>
      </c>
    </row>
    <row r="316" spans="1:5" x14ac:dyDescent="0.3">
      <c r="A316" t="s">
        <v>319</v>
      </c>
      <c r="B316" t="s">
        <v>436</v>
      </c>
      <c r="C316" s="40">
        <v>4.0697679999999998</v>
      </c>
      <c r="D316" s="40">
        <v>3.5221089999999999</v>
      </c>
      <c r="E316" s="40">
        <v>7.7922000000000005E-2</v>
      </c>
    </row>
    <row r="317" spans="1:5" x14ac:dyDescent="0.3">
      <c r="A317" t="s">
        <v>319</v>
      </c>
      <c r="B317" t="s">
        <v>436</v>
      </c>
      <c r="C317" s="40">
        <v>3.7738550000000002</v>
      </c>
      <c r="D317" s="40">
        <v>2.255484</v>
      </c>
      <c r="E317" s="40">
        <v>7.3071999999999998E-2</v>
      </c>
    </row>
    <row r="318" spans="1:5" x14ac:dyDescent="0.3">
      <c r="A318" t="s">
        <v>319</v>
      </c>
      <c r="B318" t="s">
        <v>436</v>
      </c>
      <c r="C318" s="40">
        <v>3.5206900000000001</v>
      </c>
      <c r="D318" s="40">
        <v>1.417354</v>
      </c>
      <c r="E318" s="40">
        <v>7.2485999999999995E-2</v>
      </c>
    </row>
    <row r="319" spans="1:5" x14ac:dyDescent="0.3">
      <c r="A319" t="s">
        <v>319</v>
      </c>
      <c r="B319" t="s">
        <v>437</v>
      </c>
      <c r="C319" s="40">
        <v>3.8128099999999998</v>
      </c>
      <c r="D319" s="40">
        <v>2.2558180000000001</v>
      </c>
      <c r="E319" s="40">
        <v>7.4256000000000003E-2</v>
      </c>
    </row>
    <row r="320" spans="1:5" x14ac:dyDescent="0.3">
      <c r="A320" t="s">
        <v>319</v>
      </c>
      <c r="B320" t="s">
        <v>437</v>
      </c>
      <c r="C320" s="40">
        <v>3.515584</v>
      </c>
      <c r="D320" s="40">
        <v>1.4174610000000001</v>
      </c>
      <c r="E320" s="40">
        <v>6.8455000000000002E-2</v>
      </c>
    </row>
    <row r="321" spans="1:5" x14ac:dyDescent="0.3">
      <c r="A321" t="s">
        <v>319</v>
      </c>
      <c r="B321" t="s">
        <v>437</v>
      </c>
      <c r="C321" s="40">
        <v>8.4379690000000007</v>
      </c>
      <c r="D321" s="40">
        <v>4.4250949999999998</v>
      </c>
      <c r="E321" s="40">
        <v>0.19061400000000001</v>
      </c>
    </row>
    <row r="322" spans="1:5" x14ac:dyDescent="0.3">
      <c r="A322" t="s">
        <v>319</v>
      </c>
      <c r="B322" t="s">
        <v>437</v>
      </c>
      <c r="C322" s="40">
        <v>4.630973</v>
      </c>
      <c r="D322" s="40">
        <v>2.9840810000000002</v>
      </c>
      <c r="E322" s="40">
        <v>8.6699999999999999E-2</v>
      </c>
    </row>
    <row r="323" spans="1:5" x14ac:dyDescent="0.3">
      <c r="A323" t="s">
        <v>319</v>
      </c>
      <c r="B323" t="s">
        <v>437</v>
      </c>
      <c r="C323" s="40">
        <v>4.6525930000000004</v>
      </c>
      <c r="D323" s="40">
        <v>3.9133399999999998</v>
      </c>
      <c r="E323" s="40">
        <v>0.105846</v>
      </c>
    </row>
    <row r="324" spans="1:5" x14ac:dyDescent="0.3">
      <c r="A324" t="s">
        <v>319</v>
      </c>
      <c r="B324" t="s">
        <v>437</v>
      </c>
      <c r="C324" s="40">
        <v>8.3581470000000007</v>
      </c>
      <c r="D324" s="40">
        <v>4.7955269999999999</v>
      </c>
      <c r="E324" s="40">
        <v>0.166186</v>
      </c>
    </row>
    <row r="325" spans="1:5" x14ac:dyDescent="0.3">
      <c r="A325" t="s">
        <v>319</v>
      </c>
      <c r="B325" t="s">
        <v>437</v>
      </c>
      <c r="C325" s="40">
        <v>2.9767860000000002</v>
      </c>
      <c r="D325" s="40">
        <v>1.282419</v>
      </c>
      <c r="E325" s="40">
        <v>8.4392999999999996E-2</v>
      </c>
    </row>
    <row r="326" spans="1:5" x14ac:dyDescent="0.3">
      <c r="A326" t="s">
        <v>319</v>
      </c>
      <c r="B326" t="s">
        <v>437</v>
      </c>
      <c r="C326" s="40">
        <v>3.6422349999999999</v>
      </c>
      <c r="D326" s="40">
        <v>2.8429540000000002</v>
      </c>
      <c r="E326" s="40">
        <v>9.3214000000000005E-2</v>
      </c>
    </row>
    <row r="327" spans="1:5" x14ac:dyDescent="0.3">
      <c r="A327" t="s">
        <v>319</v>
      </c>
      <c r="B327" t="s">
        <v>437</v>
      </c>
      <c r="C327" s="40">
        <v>3.6007359999999999</v>
      </c>
      <c r="D327" s="40">
        <v>1.3878410000000001</v>
      </c>
      <c r="E327" s="40">
        <v>0.11085</v>
      </c>
    </row>
    <row r="328" spans="1:5" x14ac:dyDescent="0.3">
      <c r="A328" t="s">
        <v>319</v>
      </c>
      <c r="B328" t="s">
        <v>437</v>
      </c>
      <c r="C328" s="40">
        <v>4.1365629999999998</v>
      </c>
      <c r="D328" s="40">
        <v>1.385651</v>
      </c>
      <c r="E328" s="40">
        <v>8.4739999999999996E-2</v>
      </c>
    </row>
    <row r="329" spans="1:5" x14ac:dyDescent="0.3">
      <c r="A329" t="s">
        <v>319</v>
      </c>
      <c r="B329" t="s">
        <v>437</v>
      </c>
      <c r="C329" s="40">
        <v>3.73021</v>
      </c>
      <c r="D329" s="40">
        <v>2.7284130000000002</v>
      </c>
      <c r="E329" s="40">
        <v>8.4037000000000001E-2</v>
      </c>
    </row>
    <row r="330" spans="1:5" x14ac:dyDescent="0.3">
      <c r="A330" t="s">
        <v>319</v>
      </c>
      <c r="B330" t="s">
        <v>437</v>
      </c>
      <c r="C330" s="40">
        <v>2.9822000000000002</v>
      </c>
      <c r="D330" s="40">
        <v>1.3295509999999999</v>
      </c>
      <c r="E330" s="40">
        <v>8.3984000000000003E-2</v>
      </c>
    </row>
    <row r="331" spans="1:5" x14ac:dyDescent="0.3">
      <c r="A331" t="s">
        <v>319</v>
      </c>
      <c r="B331" t="s">
        <v>437</v>
      </c>
      <c r="C331" s="40">
        <v>3.195614</v>
      </c>
      <c r="D331" s="40">
        <v>1.4882409999999999</v>
      </c>
      <c r="E331" s="40">
        <v>7.1969000000000005E-2</v>
      </c>
    </row>
    <row r="332" spans="1:5" x14ac:dyDescent="0.3">
      <c r="A332" t="s">
        <v>319</v>
      </c>
      <c r="B332" t="s">
        <v>437</v>
      </c>
      <c r="C332" s="40">
        <v>3.5814849999999998</v>
      </c>
      <c r="D332" s="40">
        <v>2.5996579999999998</v>
      </c>
      <c r="E332" s="40">
        <v>8.3122000000000001E-2</v>
      </c>
    </row>
    <row r="333" spans="1:5" x14ac:dyDescent="0.3">
      <c r="A333" t="s">
        <v>319</v>
      </c>
      <c r="B333" t="s">
        <v>437</v>
      </c>
      <c r="C333" s="40">
        <v>4.6463390000000002</v>
      </c>
      <c r="D333" s="40">
        <v>2.8390420000000001</v>
      </c>
      <c r="E333" s="40">
        <v>0.108098</v>
      </c>
    </row>
    <row r="334" spans="1:5" x14ac:dyDescent="0.3">
      <c r="A334" t="s">
        <v>319</v>
      </c>
      <c r="B334" t="s">
        <v>437</v>
      </c>
      <c r="C334" s="40">
        <v>3.6146470000000002</v>
      </c>
      <c r="D334" s="40">
        <v>2.0218590000000001</v>
      </c>
      <c r="E334" s="40">
        <v>6.4723000000000003E-2</v>
      </c>
    </row>
    <row r="335" spans="1:5" x14ac:dyDescent="0.3">
      <c r="A335" t="s">
        <v>319</v>
      </c>
      <c r="B335" t="s">
        <v>437</v>
      </c>
      <c r="C335" s="40">
        <v>3.8306179999999999</v>
      </c>
      <c r="D335" s="40">
        <v>2.2539310000000001</v>
      </c>
      <c r="E335" s="40">
        <v>8.3432999999999993E-2</v>
      </c>
    </row>
    <row r="336" spans="1:5" x14ac:dyDescent="0.3">
      <c r="A336" t="s">
        <v>319</v>
      </c>
      <c r="B336" t="s">
        <v>437</v>
      </c>
      <c r="C336" s="40">
        <v>3.5336970000000001</v>
      </c>
      <c r="D336" s="40">
        <v>1.418623</v>
      </c>
      <c r="E336" s="40">
        <v>7.8603999999999993E-2</v>
      </c>
    </row>
    <row r="337" spans="1:5" x14ac:dyDescent="0.3">
      <c r="A337" t="s">
        <v>319</v>
      </c>
      <c r="B337" t="s">
        <v>437</v>
      </c>
      <c r="C337" s="40">
        <v>4.5286419999999996</v>
      </c>
      <c r="D337" s="40">
        <v>3.6531509999999998</v>
      </c>
      <c r="E337" s="40">
        <v>8.5344000000000003E-2</v>
      </c>
    </row>
    <row r="338" spans="1:5" x14ac:dyDescent="0.3">
      <c r="A338" t="s">
        <v>319</v>
      </c>
      <c r="B338" t="s">
        <v>437</v>
      </c>
      <c r="C338" s="40">
        <v>3.1227119999999999</v>
      </c>
      <c r="D338" s="40">
        <v>1.5129539999999999</v>
      </c>
      <c r="E338" s="40">
        <v>7.0765999999999996E-2</v>
      </c>
    </row>
    <row r="339" spans="1:5" x14ac:dyDescent="0.3">
      <c r="A339" t="s">
        <v>319</v>
      </c>
      <c r="B339" t="s">
        <v>437</v>
      </c>
      <c r="C339" s="40">
        <v>3.7775240000000001</v>
      </c>
      <c r="D339" s="40">
        <v>2.2685420000000001</v>
      </c>
      <c r="E339" s="40">
        <v>8.6238999999999996E-2</v>
      </c>
    </row>
    <row r="340" spans="1:5" x14ac:dyDescent="0.3">
      <c r="A340" t="s">
        <v>319</v>
      </c>
      <c r="B340" t="s">
        <v>437</v>
      </c>
      <c r="C340" s="40">
        <v>2.9696699999999998</v>
      </c>
      <c r="D340" s="40">
        <v>1.1842550000000001</v>
      </c>
      <c r="E340" s="40">
        <v>7.6033000000000003E-2</v>
      </c>
    </row>
    <row r="341" spans="1:5" x14ac:dyDescent="0.3">
      <c r="A341" t="s">
        <v>319</v>
      </c>
      <c r="B341" t="s">
        <v>437</v>
      </c>
      <c r="C341" s="40">
        <v>3.7177829999999998</v>
      </c>
      <c r="D341" s="40">
        <v>2.4003700000000001</v>
      </c>
      <c r="E341" s="40">
        <v>6.9603999999999999E-2</v>
      </c>
    </row>
    <row r="342" spans="1:5" x14ac:dyDescent="0.3">
      <c r="A342" t="s">
        <v>319</v>
      </c>
      <c r="B342" t="s">
        <v>437</v>
      </c>
      <c r="C342" s="40">
        <v>3.4202870000000001</v>
      </c>
      <c r="D342" s="40">
        <v>2.8413979999999999</v>
      </c>
      <c r="E342" s="40">
        <v>7.5128E-2</v>
      </c>
    </row>
    <row r="343" spans="1:5" x14ac:dyDescent="0.3">
      <c r="A343" t="s">
        <v>319</v>
      </c>
      <c r="B343" t="s">
        <v>437</v>
      </c>
      <c r="C343" s="40">
        <v>3.5797189999999999</v>
      </c>
      <c r="D343" s="40">
        <v>1.3859429999999999</v>
      </c>
      <c r="E343" s="40">
        <v>8.3302000000000001E-2</v>
      </c>
    </row>
    <row r="344" spans="1:5" x14ac:dyDescent="0.3">
      <c r="A344" t="s">
        <v>319</v>
      </c>
      <c r="B344" t="s">
        <v>437</v>
      </c>
      <c r="C344" s="40">
        <v>5.3836839999999997</v>
      </c>
      <c r="D344" s="40">
        <v>2.1455160000000002</v>
      </c>
      <c r="E344" s="40">
        <v>7.8810000000000005E-2</v>
      </c>
    </row>
    <row r="345" spans="1:5" x14ac:dyDescent="0.3">
      <c r="A345" t="s">
        <v>319</v>
      </c>
      <c r="B345" t="s">
        <v>437</v>
      </c>
      <c r="C345" s="40">
        <v>3.6971259999999999</v>
      </c>
      <c r="D345" s="40">
        <v>2.7287940000000002</v>
      </c>
      <c r="E345" s="40">
        <v>8.3501000000000006E-2</v>
      </c>
    </row>
    <row r="346" spans="1:5" x14ac:dyDescent="0.3">
      <c r="A346" t="s">
        <v>319</v>
      </c>
      <c r="B346" t="s">
        <v>437</v>
      </c>
      <c r="C346" s="40">
        <v>3.0699149999999999</v>
      </c>
      <c r="D346" s="40">
        <v>1.3258049999999999</v>
      </c>
      <c r="E346" s="40">
        <v>7.3629E-2</v>
      </c>
    </row>
    <row r="347" spans="1:5" x14ac:dyDescent="0.3">
      <c r="A347" t="s">
        <v>319</v>
      </c>
      <c r="B347" t="s">
        <v>437</v>
      </c>
      <c r="C347" s="40">
        <v>3.2718590000000001</v>
      </c>
      <c r="D347" s="40">
        <v>1.4891529999999999</v>
      </c>
      <c r="E347" s="40">
        <v>7.8543000000000002E-2</v>
      </c>
    </row>
    <row r="348" spans="1:5" x14ac:dyDescent="0.3">
      <c r="A348" t="s">
        <v>319</v>
      </c>
      <c r="B348" t="s">
        <v>437</v>
      </c>
      <c r="C348" s="40">
        <v>3.5290339999999998</v>
      </c>
      <c r="D348" s="40">
        <v>2.6005219999999998</v>
      </c>
      <c r="E348" s="40">
        <v>7.8658000000000006E-2</v>
      </c>
    </row>
    <row r="349" spans="1:5" x14ac:dyDescent="0.3">
      <c r="A349" t="s">
        <v>319</v>
      </c>
      <c r="B349" t="s">
        <v>437</v>
      </c>
      <c r="C349" s="40">
        <v>3.8306179999999999</v>
      </c>
      <c r="D349" s="40">
        <v>2.2539310000000001</v>
      </c>
      <c r="E349" s="40">
        <v>8.3432999999999993E-2</v>
      </c>
    </row>
    <row r="350" spans="1:5" x14ac:dyDescent="0.3">
      <c r="A350" t="s">
        <v>319</v>
      </c>
      <c r="B350" t="s">
        <v>437</v>
      </c>
      <c r="C350" s="40">
        <v>3.5112640000000002</v>
      </c>
      <c r="D350" s="40">
        <v>1.3149040000000001</v>
      </c>
      <c r="E350" s="40">
        <v>5.9810000000000002E-2</v>
      </c>
    </row>
    <row r="351" spans="1:5" x14ac:dyDescent="0.3">
      <c r="A351" t="s">
        <v>319</v>
      </c>
      <c r="B351" t="s">
        <v>437</v>
      </c>
      <c r="C351" s="40">
        <v>3.8691599999999999</v>
      </c>
      <c r="D351" s="40">
        <v>2.375162</v>
      </c>
      <c r="E351" s="40">
        <v>0.122015</v>
      </c>
    </row>
    <row r="352" spans="1:5" x14ac:dyDescent="0.3">
      <c r="A352" t="s">
        <v>319</v>
      </c>
      <c r="B352" t="s">
        <v>437</v>
      </c>
      <c r="C352" s="40">
        <v>3.1103809999999998</v>
      </c>
      <c r="D352" s="40">
        <v>1.5129030000000001</v>
      </c>
      <c r="E352" s="40">
        <v>6.3572000000000004E-2</v>
      </c>
    </row>
    <row r="353" spans="1:5" x14ac:dyDescent="0.3">
      <c r="A353" t="s">
        <v>319</v>
      </c>
      <c r="B353" t="s">
        <v>437</v>
      </c>
      <c r="C353" s="40">
        <v>4.5874649999999999</v>
      </c>
      <c r="D353" s="40">
        <v>3.9168539999999998</v>
      </c>
      <c r="E353" s="40">
        <v>8.3905999999999994E-2</v>
      </c>
    </row>
    <row r="354" spans="1:5" x14ac:dyDescent="0.3">
      <c r="A354" t="s">
        <v>319</v>
      </c>
      <c r="B354" t="s">
        <v>437</v>
      </c>
      <c r="C354" s="40">
        <v>5.3806010000000004</v>
      </c>
      <c r="D354" s="40">
        <v>5.276923</v>
      </c>
      <c r="E354" s="40">
        <v>9.1203000000000006E-2</v>
      </c>
    </row>
    <row r="355" spans="1:5" x14ac:dyDescent="0.3">
      <c r="A355" t="s">
        <v>319</v>
      </c>
      <c r="B355" t="s">
        <v>437</v>
      </c>
      <c r="C355" s="40">
        <v>4.5874649999999999</v>
      </c>
      <c r="D355" s="40">
        <v>3.9168539999999998</v>
      </c>
      <c r="E355" s="40">
        <v>8.3905999999999994E-2</v>
      </c>
    </row>
    <row r="356" spans="1:5" x14ac:dyDescent="0.3">
      <c r="A356" t="s">
        <v>319</v>
      </c>
      <c r="B356" t="s">
        <v>437</v>
      </c>
      <c r="C356" s="40">
        <v>3.7849919999999999</v>
      </c>
      <c r="D356" s="40">
        <v>2.7699769999999999</v>
      </c>
      <c r="E356" s="40">
        <v>0.10602300000000001</v>
      </c>
    </row>
    <row r="357" spans="1:5" x14ac:dyDescent="0.3">
      <c r="A357" t="s">
        <v>319</v>
      </c>
      <c r="B357" t="s">
        <v>437</v>
      </c>
      <c r="C357" s="40">
        <v>4.3516680000000001</v>
      </c>
      <c r="D357" s="40">
        <v>3.3814950000000001</v>
      </c>
      <c r="E357" s="40">
        <v>9.9751999999999993E-2</v>
      </c>
    </row>
    <row r="358" spans="1:5" x14ac:dyDescent="0.3">
      <c r="A358" t="s">
        <v>319</v>
      </c>
      <c r="B358" t="s">
        <v>437</v>
      </c>
      <c r="C358" s="40">
        <v>2.9882960000000001</v>
      </c>
      <c r="D358" s="40">
        <v>1.2822039999999999</v>
      </c>
      <c r="E358" s="40">
        <v>9.9713999999999997E-2</v>
      </c>
    </row>
    <row r="359" spans="1:5" x14ac:dyDescent="0.3">
      <c r="A359" t="s">
        <v>319</v>
      </c>
      <c r="B359" t="s">
        <v>437</v>
      </c>
      <c r="C359" s="40">
        <v>4.2838700000000003</v>
      </c>
      <c r="D359" s="40">
        <v>3.2026729999999999</v>
      </c>
      <c r="E359" s="40">
        <v>0.13490099999999999</v>
      </c>
    </row>
    <row r="360" spans="1:5" x14ac:dyDescent="0.3">
      <c r="A360" t="s">
        <v>319</v>
      </c>
      <c r="B360" t="s">
        <v>437</v>
      </c>
      <c r="C360" s="40">
        <v>4.8739109999999997</v>
      </c>
      <c r="D360" s="40">
        <v>2.8205870000000002</v>
      </c>
      <c r="E360" s="40">
        <v>0.126947</v>
      </c>
    </row>
    <row r="361" spans="1:5" x14ac:dyDescent="0.3">
      <c r="A361" t="s">
        <v>319</v>
      </c>
      <c r="B361" t="s">
        <v>437</v>
      </c>
      <c r="C361" s="40">
        <v>4.7297609999999999</v>
      </c>
      <c r="D361" s="40">
        <v>5.149025</v>
      </c>
      <c r="E361" s="40">
        <v>9.0878E-2</v>
      </c>
    </row>
    <row r="362" spans="1:5" x14ac:dyDescent="0.3">
      <c r="A362" t="s">
        <v>319</v>
      </c>
      <c r="B362" t="s">
        <v>437</v>
      </c>
      <c r="C362" s="40">
        <v>4.0398350000000001</v>
      </c>
      <c r="D362" s="40">
        <v>3.1483629999999998</v>
      </c>
      <c r="E362" s="40">
        <v>9.2440999999999995E-2</v>
      </c>
    </row>
    <row r="363" spans="1:5" x14ac:dyDescent="0.3">
      <c r="A363" t="s">
        <v>319</v>
      </c>
      <c r="B363" t="s">
        <v>437</v>
      </c>
      <c r="C363" s="40">
        <v>3.019571</v>
      </c>
      <c r="D363" s="40">
        <v>1.3288629999999999</v>
      </c>
      <c r="E363" s="40">
        <v>7.9561000000000007E-2</v>
      </c>
    </row>
    <row r="364" spans="1:5" x14ac:dyDescent="0.3">
      <c r="A364" t="s">
        <v>319</v>
      </c>
      <c r="B364" t="s">
        <v>437</v>
      </c>
      <c r="C364" s="40">
        <v>4.7407450000000004</v>
      </c>
      <c r="D364" s="40">
        <v>5.5638170000000002</v>
      </c>
      <c r="E364" s="40">
        <v>0.104474</v>
      </c>
    </row>
    <row r="365" spans="1:5" x14ac:dyDescent="0.3">
      <c r="A365" t="s">
        <v>319</v>
      </c>
      <c r="B365" t="s">
        <v>437</v>
      </c>
      <c r="C365" s="40">
        <v>3.7588949999999999</v>
      </c>
      <c r="D365" s="40">
        <v>2.2549009999999998</v>
      </c>
      <c r="E365" s="40">
        <v>7.7854000000000007E-2</v>
      </c>
    </row>
    <row r="366" spans="1:5" x14ac:dyDescent="0.3">
      <c r="A366" t="s">
        <v>319</v>
      </c>
      <c r="B366" t="s">
        <v>437</v>
      </c>
      <c r="C366" s="40">
        <v>3.515895</v>
      </c>
      <c r="D366" s="40">
        <v>1.4190339999999999</v>
      </c>
      <c r="E366" s="40">
        <v>7.7095999999999998E-2</v>
      </c>
    </row>
    <row r="367" spans="1:5" x14ac:dyDescent="0.3">
      <c r="A367" t="s">
        <v>319</v>
      </c>
      <c r="B367" t="s">
        <v>437</v>
      </c>
      <c r="C367" s="40">
        <v>3.8306179999999999</v>
      </c>
      <c r="D367" s="40">
        <v>2.2539310000000001</v>
      </c>
      <c r="E367" s="40">
        <v>8.3432999999999993E-2</v>
      </c>
    </row>
    <row r="368" spans="1:5" x14ac:dyDescent="0.3">
      <c r="A368" t="s">
        <v>319</v>
      </c>
      <c r="B368" t="s">
        <v>437</v>
      </c>
      <c r="C368" s="40">
        <v>3.5336970000000001</v>
      </c>
      <c r="D368" s="40">
        <v>1.418623</v>
      </c>
      <c r="E368" s="40">
        <v>7.8603999999999993E-2</v>
      </c>
    </row>
    <row r="369" spans="1:5" x14ac:dyDescent="0.3">
      <c r="A369" t="s">
        <v>319</v>
      </c>
      <c r="B369" t="s">
        <v>437</v>
      </c>
      <c r="C369" s="40">
        <v>4.7407450000000004</v>
      </c>
      <c r="D369" s="40">
        <v>5.5638170000000002</v>
      </c>
      <c r="E369" s="40">
        <v>0.104474</v>
      </c>
    </row>
    <row r="370" spans="1:5" x14ac:dyDescent="0.3">
      <c r="A370" t="s">
        <v>319</v>
      </c>
      <c r="B370" t="s">
        <v>437</v>
      </c>
      <c r="C370" s="40">
        <v>3.5681539999999998</v>
      </c>
      <c r="D370" s="40">
        <v>2.6007280000000002</v>
      </c>
      <c r="E370" s="40">
        <v>7.7582999999999999E-2</v>
      </c>
    </row>
    <row r="371" spans="1:5" x14ac:dyDescent="0.3">
      <c r="A371" t="s">
        <v>319</v>
      </c>
      <c r="B371" t="s">
        <v>437</v>
      </c>
      <c r="C371" s="40">
        <v>3.7588949999999999</v>
      </c>
      <c r="D371" s="40">
        <v>2.2549009999999998</v>
      </c>
      <c r="E371" s="40">
        <v>7.7854000000000007E-2</v>
      </c>
    </row>
    <row r="372" spans="1:5" x14ac:dyDescent="0.3">
      <c r="A372" t="s">
        <v>319</v>
      </c>
      <c r="B372" t="s">
        <v>437</v>
      </c>
      <c r="C372" s="40">
        <v>3.515895</v>
      </c>
      <c r="D372" s="40">
        <v>1.4190339999999999</v>
      </c>
      <c r="E372" s="40">
        <v>7.7095999999999998E-2</v>
      </c>
    </row>
    <row r="373" spans="1:5" x14ac:dyDescent="0.3">
      <c r="A373" t="s">
        <v>319</v>
      </c>
      <c r="B373" t="s">
        <v>437</v>
      </c>
      <c r="C373" s="40">
        <v>3.810146</v>
      </c>
      <c r="D373" s="40">
        <v>2.2554720000000001</v>
      </c>
      <c r="E373" s="40">
        <v>0.11781999999999999</v>
      </c>
    </row>
    <row r="374" spans="1:5" x14ac:dyDescent="0.3">
      <c r="A374" t="s">
        <v>319</v>
      </c>
      <c r="B374" t="s">
        <v>437</v>
      </c>
      <c r="C374" s="40">
        <v>3.5382020000000001</v>
      </c>
      <c r="D374" s="40">
        <v>1.419719</v>
      </c>
      <c r="E374" s="40">
        <v>8.4150000000000003E-2</v>
      </c>
    </row>
    <row r="375" spans="1:5" x14ac:dyDescent="0.3">
      <c r="A375" t="s">
        <v>319</v>
      </c>
      <c r="B375" t="s">
        <v>437</v>
      </c>
      <c r="C375" s="40">
        <v>4.5310990000000002</v>
      </c>
      <c r="D375" s="40">
        <v>3.6550120000000001</v>
      </c>
      <c r="E375" s="40">
        <v>8.301E-2</v>
      </c>
    </row>
    <row r="376" spans="1:5" x14ac:dyDescent="0.3">
      <c r="A376" t="s">
        <v>319</v>
      </c>
      <c r="B376" t="s">
        <v>437</v>
      </c>
      <c r="C376" s="40">
        <v>3.1661630000000001</v>
      </c>
      <c r="D376" s="40">
        <v>1.5148619999999999</v>
      </c>
      <c r="E376" s="40">
        <v>0.108586</v>
      </c>
    </row>
    <row r="377" spans="1:5" x14ac:dyDescent="0.3">
      <c r="A377" t="s">
        <v>319</v>
      </c>
      <c r="B377" t="s">
        <v>437</v>
      </c>
      <c r="C377" s="40">
        <v>3.7958349999999998</v>
      </c>
      <c r="D377" s="40">
        <v>3.2692260000000002</v>
      </c>
      <c r="E377" s="40">
        <v>0.10387299999999999</v>
      </c>
    </row>
    <row r="378" spans="1:5" x14ac:dyDescent="0.3">
      <c r="A378" t="s">
        <v>319</v>
      </c>
      <c r="B378" t="s">
        <v>437</v>
      </c>
      <c r="C378" s="40">
        <v>2.9871050000000001</v>
      </c>
      <c r="D378" s="40">
        <v>1.1859059999999999</v>
      </c>
      <c r="E378" s="40">
        <v>7.6479000000000005E-2</v>
      </c>
    </row>
    <row r="379" spans="1:5" x14ac:dyDescent="0.3">
      <c r="A379" t="s">
        <v>319</v>
      </c>
      <c r="B379" t="s">
        <v>437</v>
      </c>
      <c r="C379" s="40">
        <v>4.31271</v>
      </c>
      <c r="D379" s="40">
        <v>3.003552</v>
      </c>
      <c r="E379" s="40">
        <v>0.113443</v>
      </c>
    </row>
    <row r="380" spans="1:5" x14ac:dyDescent="0.3">
      <c r="A380" t="s">
        <v>319</v>
      </c>
      <c r="B380" t="s">
        <v>437</v>
      </c>
      <c r="C380" s="40">
        <v>4.3248540000000002</v>
      </c>
      <c r="D380" s="40">
        <v>3.2055370000000001</v>
      </c>
      <c r="E380" s="40">
        <v>0.125499</v>
      </c>
    </row>
    <row r="381" spans="1:5" x14ac:dyDescent="0.3">
      <c r="A381" t="s">
        <v>319</v>
      </c>
      <c r="B381" t="s">
        <v>437</v>
      </c>
      <c r="C381" s="40">
        <v>3.0757780000000001</v>
      </c>
      <c r="D381" s="40">
        <v>2.2110820000000002</v>
      </c>
      <c r="E381" s="40">
        <v>0.11122700000000001</v>
      </c>
    </row>
    <row r="382" spans="1:5" x14ac:dyDescent="0.3">
      <c r="A382" t="s">
        <v>319</v>
      </c>
      <c r="B382" t="s">
        <v>437</v>
      </c>
      <c r="C382" s="40">
        <v>3.159332</v>
      </c>
      <c r="D382" s="40">
        <v>1.3890039999999999</v>
      </c>
      <c r="E382" s="40">
        <v>0.12146999999999999</v>
      </c>
    </row>
    <row r="383" spans="1:5" x14ac:dyDescent="0.3">
      <c r="A383" t="s">
        <v>319</v>
      </c>
      <c r="B383" t="s">
        <v>437</v>
      </c>
      <c r="C383" s="40">
        <v>3.8128099999999998</v>
      </c>
      <c r="D383" s="40">
        <v>2.2558180000000001</v>
      </c>
      <c r="E383" s="40">
        <v>7.4256000000000003E-2</v>
      </c>
    </row>
    <row r="384" spans="1:5" x14ac:dyDescent="0.3">
      <c r="A384" t="s">
        <v>319</v>
      </c>
      <c r="B384" t="s">
        <v>437</v>
      </c>
      <c r="C384" s="40">
        <v>3.8691599999999999</v>
      </c>
      <c r="D384" s="40">
        <v>2.375162</v>
      </c>
      <c r="E384" s="40">
        <v>0.122015</v>
      </c>
    </row>
    <row r="385" spans="1:5" x14ac:dyDescent="0.3">
      <c r="A385" t="s">
        <v>319</v>
      </c>
      <c r="B385" t="s">
        <v>437</v>
      </c>
      <c r="C385" s="40">
        <v>4.5874649999999999</v>
      </c>
      <c r="D385" s="40">
        <v>3.9168539999999998</v>
      </c>
      <c r="E385" s="40">
        <v>8.3905999999999994E-2</v>
      </c>
    </row>
    <row r="386" spans="1:5" x14ac:dyDescent="0.3">
      <c r="A386" t="s">
        <v>319</v>
      </c>
      <c r="B386" t="s">
        <v>437</v>
      </c>
      <c r="C386" s="40">
        <v>2.9767860000000002</v>
      </c>
      <c r="D386" s="40">
        <v>1.282419</v>
      </c>
      <c r="E386" s="40">
        <v>8.4392999999999996E-2</v>
      </c>
    </row>
    <row r="387" spans="1:5" x14ac:dyDescent="0.3">
      <c r="A387" t="s">
        <v>319</v>
      </c>
      <c r="B387" t="s">
        <v>437</v>
      </c>
      <c r="C387" s="40">
        <v>3.7588949999999999</v>
      </c>
      <c r="D387" s="40">
        <v>2.2549009999999998</v>
      </c>
      <c r="E387" s="40">
        <v>7.7854000000000007E-2</v>
      </c>
    </row>
    <row r="388" spans="1:5" x14ac:dyDescent="0.3">
      <c r="A388" t="s">
        <v>319</v>
      </c>
      <c r="B388" t="s">
        <v>437</v>
      </c>
      <c r="C388" s="40">
        <v>2.9696699999999998</v>
      </c>
      <c r="D388" s="40">
        <v>1.1842550000000001</v>
      </c>
      <c r="E388" s="40">
        <v>7.6033000000000003E-2</v>
      </c>
    </row>
    <row r="389" spans="1:5" x14ac:dyDescent="0.3">
      <c r="A389" t="s">
        <v>319</v>
      </c>
      <c r="B389" t="s">
        <v>437</v>
      </c>
      <c r="C389" s="40">
        <v>3.7177829999999998</v>
      </c>
      <c r="D389" s="40">
        <v>2.4003700000000001</v>
      </c>
      <c r="E389" s="40">
        <v>6.9603999999999999E-2</v>
      </c>
    </row>
    <row r="390" spans="1:5" x14ac:dyDescent="0.3">
      <c r="A390" t="s">
        <v>319</v>
      </c>
      <c r="B390" t="s">
        <v>437</v>
      </c>
      <c r="C390" s="40">
        <v>2.9767860000000002</v>
      </c>
      <c r="D390" s="40">
        <v>1.282419</v>
      </c>
      <c r="E390" s="40">
        <v>8.4392999999999996E-2</v>
      </c>
    </row>
    <row r="391" spans="1:5" x14ac:dyDescent="0.3">
      <c r="A391" t="s">
        <v>319</v>
      </c>
      <c r="B391" t="s">
        <v>437</v>
      </c>
      <c r="C391" s="40">
        <v>4.5310990000000002</v>
      </c>
      <c r="D391" s="40">
        <v>3.6550120000000001</v>
      </c>
      <c r="E391" s="40">
        <v>8.301E-2</v>
      </c>
    </row>
    <row r="392" spans="1:5" x14ac:dyDescent="0.3">
      <c r="A392" t="s">
        <v>319</v>
      </c>
      <c r="B392" t="s">
        <v>437</v>
      </c>
      <c r="C392" s="40">
        <v>4.7297609999999999</v>
      </c>
      <c r="D392" s="40">
        <v>5.149025</v>
      </c>
      <c r="E392" s="40">
        <v>9.0878E-2</v>
      </c>
    </row>
    <row r="393" spans="1:5" x14ac:dyDescent="0.3">
      <c r="A393" t="s">
        <v>319</v>
      </c>
      <c r="B393" t="s">
        <v>437</v>
      </c>
      <c r="C393" s="40">
        <v>2.9871050000000001</v>
      </c>
      <c r="D393" s="40">
        <v>1.1859059999999999</v>
      </c>
      <c r="E393" s="40">
        <v>7.6479000000000005E-2</v>
      </c>
    </row>
    <row r="394" spans="1:5" x14ac:dyDescent="0.3">
      <c r="A394" t="s">
        <v>319</v>
      </c>
      <c r="B394" t="s">
        <v>437</v>
      </c>
      <c r="C394" s="40">
        <v>3.195614</v>
      </c>
      <c r="D394" s="40">
        <v>1.4882409999999999</v>
      </c>
      <c r="E394" s="40">
        <v>7.1969000000000005E-2</v>
      </c>
    </row>
    <row r="395" spans="1:5" x14ac:dyDescent="0.3">
      <c r="A395" t="s">
        <v>319</v>
      </c>
      <c r="B395" t="s">
        <v>437</v>
      </c>
      <c r="C395" s="40">
        <v>4.3248540000000002</v>
      </c>
      <c r="D395" s="40">
        <v>3.2055370000000001</v>
      </c>
      <c r="E395" s="40">
        <v>0.125499</v>
      </c>
    </row>
    <row r="396" spans="1:5" x14ac:dyDescent="0.3">
      <c r="A396" t="s">
        <v>319</v>
      </c>
      <c r="B396" t="s">
        <v>437</v>
      </c>
      <c r="C396" s="40">
        <v>3.8128099999999998</v>
      </c>
      <c r="D396" s="40">
        <v>2.2558180000000001</v>
      </c>
      <c r="E396" s="40">
        <v>7.4256000000000003E-2</v>
      </c>
    </row>
    <row r="397" spans="1:5" x14ac:dyDescent="0.3">
      <c r="A397" t="s">
        <v>319</v>
      </c>
      <c r="B397" t="s">
        <v>437</v>
      </c>
      <c r="C397" s="40">
        <v>3.8691599999999999</v>
      </c>
      <c r="D397" s="40">
        <v>1.675162</v>
      </c>
      <c r="E397" s="40">
        <v>0.122015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Testes estatísticos</vt:lpstr>
      <vt:lpstr>Estatística descritiva</vt:lpstr>
      <vt:lpstr>Testes emparelhados</vt:lpstr>
      <vt:lpstr>Hodges-Lehmann</vt:lpstr>
      <vt:lpstr>Sincronização</vt:lpstr>
      <vt:lpstr>Etapas do ciclo</vt:lpstr>
      <vt:lpstr>Pick-and-place</vt:lpstr>
      <vt:lpstr>TCP e erro</vt:lpstr>
      <vt:lpstr>Planeadores</vt:lpstr>
      <vt:lpstr>Obstáculos</vt:lpstr>
      <vt:lpstr>Segurança</vt:lpstr>
      <vt:lpstr>Dados auxiliares</vt:lpstr>
      <vt:lpstr>Dados planeadores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Mateus</dc:creator>
  <cp:lastModifiedBy>Mariana Mateus</cp:lastModifiedBy>
  <dcterms:created xsi:type="dcterms:W3CDTF">2026-08-30T16:07:28Z</dcterms:created>
  <dcterms:modified xsi:type="dcterms:W3CDTF">2026-10-08T17:01:40Z</dcterms:modified>
</cp:coreProperties>
</file>