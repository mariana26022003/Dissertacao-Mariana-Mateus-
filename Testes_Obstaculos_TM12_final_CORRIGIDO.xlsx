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ianaMateus\Desktop\Dissertação\Dissertação final\Testes\"/>
    </mc:Choice>
  </mc:AlternateContent>
  <xr:revisionPtr revIDLastSave="0" documentId="13_ncr:1_{E65E8CA6-EE26-4B2C-8CB3-A443A1C928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finição obstáculos" sheetId="1" r:id="rId1"/>
    <sheet name="Testes obstáculos" sheetId="5" r:id="rId2"/>
    <sheet name="Métricas Quantitativas" sheetId="3" r:id="rId3"/>
    <sheet name="Planners" sheetId="8" r:id="rId4"/>
    <sheet name="Resumo" sheetId="7" r:id="rId5"/>
    <sheet name="Dados Análise" sheetId="9" r:id="rId6"/>
    <sheet name="Análise Estatística" sheetId="10" r:id="rId7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0" l="1"/>
  <c r="E44" i="10"/>
  <c r="E43" i="10"/>
  <c r="E42" i="10"/>
  <c r="E41" i="10"/>
  <c r="E40" i="10"/>
  <c r="E39" i="10"/>
  <c r="E38" i="10"/>
  <c r="D33" i="10"/>
  <c r="D32" i="10"/>
  <c r="D31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C35" i="3"/>
  <c r="C36" i="3"/>
  <c r="C37" i="3"/>
  <c r="C38" i="3"/>
  <c r="Z2" i="9"/>
  <c r="D35" i="3"/>
  <c r="D36" i="3"/>
  <c r="D37" i="3"/>
  <c r="D38" i="3"/>
  <c r="Z3" i="9"/>
  <c r="F35" i="3"/>
  <c r="F36" i="3"/>
  <c r="F37" i="3"/>
  <c r="F38" i="3"/>
  <c r="Z4" i="9"/>
  <c r="G35" i="3"/>
  <c r="G36" i="3"/>
  <c r="G37" i="3"/>
  <c r="G38" i="3"/>
  <c r="Z5" i="9"/>
  <c r="I35" i="3"/>
  <c r="I36" i="3"/>
  <c r="I37" i="3"/>
  <c r="I38" i="3"/>
  <c r="Z6" i="9"/>
  <c r="J35" i="3"/>
  <c r="J36" i="3"/>
  <c r="J37" i="3"/>
  <c r="J38" i="3"/>
  <c r="Z7" i="9"/>
  <c r="L35" i="3"/>
  <c r="L36" i="3"/>
  <c r="L37" i="3"/>
  <c r="L38" i="3"/>
  <c r="Z8" i="9"/>
  <c r="M35" i="3"/>
  <c r="M36" i="3"/>
  <c r="M37" i="3"/>
  <c r="M38" i="3"/>
  <c r="Z9" i="9"/>
  <c r="N35" i="3"/>
  <c r="N36" i="3"/>
  <c r="N37" i="3"/>
  <c r="N38" i="3"/>
  <c r="Z10" i="9"/>
  <c r="O35" i="3"/>
  <c r="O36" i="3"/>
  <c r="O37" i="3"/>
  <c r="O38" i="3"/>
  <c r="Z11" i="9"/>
  <c r="P35" i="3"/>
  <c r="P36" i="3"/>
  <c r="P37" i="3"/>
  <c r="P38" i="3"/>
  <c r="Z12" i="9"/>
  <c r="Q35" i="3"/>
  <c r="Q36" i="3"/>
  <c r="Q37" i="3"/>
  <c r="Q38" i="3"/>
  <c r="Z13" i="9"/>
  <c r="R35" i="3"/>
  <c r="R36" i="3"/>
  <c r="R37" i="3"/>
  <c r="R38" i="3"/>
  <c r="Z14" i="9"/>
  <c r="S35" i="3"/>
  <c r="S36" i="3"/>
  <c r="S37" i="3"/>
  <c r="S38" i="3"/>
  <c r="Z15" i="9"/>
  <c r="T35" i="3"/>
  <c r="T36" i="3"/>
  <c r="T37" i="3"/>
  <c r="T38" i="3"/>
  <c r="Z16" i="9"/>
  <c r="U35" i="3"/>
  <c r="U36" i="3"/>
  <c r="U37" i="3"/>
  <c r="U38" i="3"/>
  <c r="Z17" i="9"/>
  <c r="V35" i="3"/>
  <c r="V36" i="3"/>
  <c r="V37" i="3"/>
  <c r="V38" i="3"/>
  <c r="Z18" i="9"/>
  <c r="G45" i="10"/>
  <c r="F45" i="10"/>
  <c r="D45" i="10"/>
  <c r="C45" i="10"/>
  <c r="Y2" i="9"/>
  <c r="Y3" i="9"/>
  <c r="Y4" i="9"/>
  <c r="Y5" i="9"/>
  <c r="Y6" i="9"/>
  <c r="Y7" i="9"/>
  <c r="Y8" i="9"/>
  <c r="Y9" i="9"/>
  <c r="Y10" i="9"/>
  <c r="Y11" i="9"/>
  <c r="Y12" i="9"/>
  <c r="Y13" i="9"/>
  <c r="Y14" i="9"/>
  <c r="Y15" i="9"/>
  <c r="Y16" i="9"/>
  <c r="Y17" i="9"/>
  <c r="Y18" i="9"/>
  <c r="G44" i="10"/>
  <c r="F44" i="10"/>
  <c r="D44" i="10"/>
  <c r="C44" i="10"/>
  <c r="X2" i="9"/>
  <c r="X3" i="9"/>
  <c r="X4" i="9"/>
  <c r="X5" i="9"/>
  <c r="X6" i="9"/>
  <c r="X7" i="9"/>
  <c r="X8" i="9"/>
  <c r="X9" i="9"/>
  <c r="X10" i="9"/>
  <c r="X11" i="9"/>
  <c r="X12" i="9"/>
  <c r="X13" i="9"/>
  <c r="X14" i="9"/>
  <c r="X15" i="9"/>
  <c r="X16" i="9"/>
  <c r="X17" i="9"/>
  <c r="X18" i="9"/>
  <c r="G43" i="10"/>
  <c r="F43" i="10"/>
  <c r="D43" i="10"/>
  <c r="C43" i="10"/>
  <c r="W2" i="9"/>
  <c r="W3" i="9"/>
  <c r="W4" i="9"/>
  <c r="W5" i="9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G42" i="10"/>
  <c r="F42" i="10"/>
  <c r="D42" i="10"/>
  <c r="C42" i="10"/>
  <c r="G14" i="3"/>
  <c r="G15" i="3"/>
  <c r="G16" i="3"/>
  <c r="G17" i="3"/>
  <c r="V2" i="9"/>
  <c r="J14" i="3"/>
  <c r="J15" i="3"/>
  <c r="J16" i="3"/>
  <c r="J17" i="3"/>
  <c r="V3" i="9"/>
  <c r="P14" i="3"/>
  <c r="P15" i="3"/>
  <c r="P16" i="3"/>
  <c r="P17" i="3"/>
  <c r="V4" i="9"/>
  <c r="S11" i="3"/>
  <c r="S14" i="3"/>
  <c r="S15" i="3"/>
  <c r="S16" i="3"/>
  <c r="S17" i="3"/>
  <c r="V5" i="9"/>
  <c r="Y14" i="3"/>
  <c r="Y15" i="3"/>
  <c r="Y16" i="3"/>
  <c r="Y17" i="3"/>
  <c r="V6" i="9"/>
  <c r="AB14" i="3"/>
  <c r="AB15" i="3"/>
  <c r="AB16" i="3"/>
  <c r="AB17" i="3"/>
  <c r="V7" i="9"/>
  <c r="AH14" i="3"/>
  <c r="AH15" i="3"/>
  <c r="AH16" i="3"/>
  <c r="AH17" i="3"/>
  <c r="V8" i="9"/>
  <c r="AK14" i="3"/>
  <c r="AK15" i="3"/>
  <c r="AK16" i="3"/>
  <c r="AK17" i="3"/>
  <c r="V9" i="9"/>
  <c r="AN14" i="3"/>
  <c r="AN15" i="3"/>
  <c r="AN16" i="3"/>
  <c r="AN17" i="3"/>
  <c r="V10" i="9"/>
  <c r="AQ14" i="3"/>
  <c r="AQ15" i="3"/>
  <c r="AQ16" i="3"/>
  <c r="AQ17" i="3"/>
  <c r="V11" i="9"/>
  <c r="AT14" i="3"/>
  <c r="AT15" i="3"/>
  <c r="AT16" i="3"/>
  <c r="AT17" i="3"/>
  <c r="V12" i="9"/>
  <c r="AW14" i="3"/>
  <c r="AW15" i="3"/>
  <c r="AW16" i="3"/>
  <c r="AW17" i="3"/>
  <c r="V13" i="9"/>
  <c r="AZ14" i="3"/>
  <c r="AZ15" i="3"/>
  <c r="AZ16" i="3"/>
  <c r="AZ17" i="3"/>
  <c r="V14" i="9"/>
  <c r="BC14" i="3"/>
  <c r="BC15" i="3"/>
  <c r="BC16" i="3"/>
  <c r="BC17" i="3"/>
  <c r="V15" i="9"/>
  <c r="BF14" i="3"/>
  <c r="BF15" i="3"/>
  <c r="BF16" i="3"/>
  <c r="BF17" i="3"/>
  <c r="V16" i="9"/>
  <c r="BI14" i="3"/>
  <c r="BI15" i="3"/>
  <c r="BI16" i="3"/>
  <c r="BI17" i="3"/>
  <c r="V17" i="9"/>
  <c r="BL14" i="3"/>
  <c r="BL15" i="3"/>
  <c r="BL16" i="3"/>
  <c r="BL17" i="3"/>
  <c r="V18" i="9"/>
  <c r="G41" i="10"/>
  <c r="F41" i="10"/>
  <c r="D41" i="10"/>
  <c r="C41" i="10"/>
  <c r="U2" i="9"/>
  <c r="U3" i="9"/>
  <c r="U4" i="9"/>
  <c r="U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G40" i="10"/>
  <c r="F40" i="10"/>
  <c r="D40" i="10"/>
  <c r="C40" i="10"/>
  <c r="T2" i="9"/>
  <c r="T3" i="9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G39" i="10"/>
  <c r="F39" i="10"/>
  <c r="D39" i="10"/>
  <c r="C39" i="10"/>
  <c r="S2" i="9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G38" i="10"/>
  <c r="F38" i="10"/>
  <c r="D38" i="10"/>
  <c r="C38" i="10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G33" i="10"/>
  <c r="F33" i="10"/>
  <c r="E33" i="10"/>
  <c r="C33" i="10"/>
  <c r="B33" i="10"/>
  <c r="O2" i="9"/>
  <c r="O3" i="9"/>
  <c r="O4" i="9"/>
  <c r="O5" i="9"/>
  <c r="O6" i="9"/>
  <c r="G32" i="10"/>
  <c r="F32" i="10"/>
  <c r="E32" i="10"/>
  <c r="C32" i="10"/>
  <c r="B32" i="10"/>
  <c r="T31" i="10"/>
  <c r="G31" i="10"/>
  <c r="F31" i="10"/>
  <c r="E31" i="10"/>
  <c r="C31" i="10"/>
  <c r="B31" i="10"/>
  <c r="T30" i="10"/>
  <c r="T26" i="10"/>
  <c r="T25" i="10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G25" i="10"/>
  <c r="F25" i="10"/>
  <c r="D25" i="10"/>
  <c r="C25" i="10"/>
  <c r="T24" i="10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4" i="10"/>
  <c r="F24" i="10"/>
  <c r="D24" i="10"/>
  <c r="C24" i="10"/>
  <c r="T23" i="10"/>
  <c r="E5" i="8"/>
  <c r="F172" i="9"/>
  <c r="E8" i="8"/>
  <c r="F173" i="9"/>
  <c r="E11" i="8"/>
  <c r="F174" i="9"/>
  <c r="F175" i="9"/>
  <c r="E17" i="8"/>
  <c r="F176" i="9"/>
  <c r="E20" i="8"/>
  <c r="F177" i="9"/>
  <c r="E23" i="8"/>
  <c r="F178" i="9"/>
  <c r="E26" i="8"/>
  <c r="F179" i="9"/>
  <c r="E29" i="8"/>
  <c r="F180" i="9"/>
  <c r="E32" i="8"/>
  <c r="F181" i="9"/>
  <c r="E35" i="8"/>
  <c r="F182" i="9"/>
  <c r="E38" i="8"/>
  <c r="F183" i="9"/>
  <c r="E41" i="8"/>
  <c r="F184" i="9"/>
  <c r="E44" i="8"/>
  <c r="F185" i="9"/>
  <c r="E47" i="8"/>
  <c r="F186" i="9"/>
  <c r="E50" i="8"/>
  <c r="F187" i="9"/>
  <c r="E53" i="8"/>
  <c r="F188" i="9"/>
  <c r="V5" i="8"/>
  <c r="F189" i="9"/>
  <c r="V8" i="8"/>
  <c r="F190" i="9"/>
  <c r="V11" i="8"/>
  <c r="F191" i="9"/>
  <c r="V14" i="8"/>
  <c r="F192" i="9"/>
  <c r="V17" i="8"/>
  <c r="F193" i="9"/>
  <c r="V20" i="8"/>
  <c r="F194" i="9"/>
  <c r="V23" i="8"/>
  <c r="F195" i="9"/>
  <c r="F196" i="9"/>
  <c r="V29" i="8"/>
  <c r="F197" i="9"/>
  <c r="V32" i="8"/>
  <c r="F198" i="9"/>
  <c r="V35" i="8"/>
  <c r="F199" i="9"/>
  <c r="V38" i="8"/>
  <c r="F200" i="9"/>
  <c r="V41" i="8"/>
  <c r="F201" i="9"/>
  <c r="V44" i="8"/>
  <c r="F202" i="9"/>
  <c r="V47" i="8"/>
  <c r="F203" i="9"/>
  <c r="V50" i="8"/>
  <c r="F204" i="9"/>
  <c r="V53" i="8"/>
  <c r="F205" i="9"/>
  <c r="E59" i="8"/>
  <c r="F206" i="9"/>
  <c r="E62" i="8"/>
  <c r="F207" i="9"/>
  <c r="E65" i="8"/>
  <c r="F208" i="9"/>
  <c r="F209" i="9"/>
  <c r="E71" i="8"/>
  <c r="F210" i="9"/>
  <c r="E74" i="8"/>
  <c r="F211" i="9"/>
  <c r="E77" i="8"/>
  <c r="F212" i="9"/>
  <c r="E80" i="8"/>
  <c r="F213" i="9"/>
  <c r="E83" i="8"/>
  <c r="F214" i="9"/>
  <c r="E86" i="8"/>
  <c r="F215" i="9"/>
  <c r="E89" i="8"/>
  <c r="F216" i="9"/>
  <c r="E92" i="8"/>
  <c r="F217" i="9"/>
  <c r="E95" i="8"/>
  <c r="F218" i="9"/>
  <c r="E98" i="8"/>
  <c r="F219" i="9"/>
  <c r="E101" i="8"/>
  <c r="F220" i="9"/>
  <c r="E104" i="8"/>
  <c r="F221" i="9"/>
  <c r="E107" i="8"/>
  <c r="F222" i="9"/>
  <c r="V59" i="8"/>
  <c r="F223" i="9"/>
  <c r="V62" i="8"/>
  <c r="F224" i="9"/>
  <c r="V65" i="8"/>
  <c r="F225" i="9"/>
  <c r="V68" i="8"/>
  <c r="F226" i="9"/>
  <c r="V71" i="8"/>
  <c r="F227" i="9"/>
  <c r="V74" i="8"/>
  <c r="F228" i="9"/>
  <c r="V77" i="8"/>
  <c r="F229" i="9"/>
  <c r="V80" i="8"/>
  <c r="F230" i="9"/>
  <c r="V83" i="8"/>
  <c r="F231" i="9"/>
  <c r="V86" i="8"/>
  <c r="F232" i="9"/>
  <c r="F233" i="9"/>
  <c r="V92" i="8"/>
  <c r="F234" i="9"/>
  <c r="V95" i="8"/>
  <c r="F235" i="9"/>
  <c r="V98" i="8"/>
  <c r="F236" i="9"/>
  <c r="V101" i="8"/>
  <c r="F237" i="9"/>
  <c r="V104" i="8"/>
  <c r="F238" i="9"/>
  <c r="V107" i="8"/>
  <c r="F239" i="9"/>
  <c r="E113" i="8"/>
  <c r="F240" i="9"/>
  <c r="E116" i="8"/>
  <c r="F241" i="9"/>
  <c r="E119" i="8"/>
  <c r="F242" i="9"/>
  <c r="E122" i="8"/>
  <c r="F243" i="9"/>
  <c r="E125" i="8"/>
  <c r="F244" i="9"/>
  <c r="E128" i="8"/>
  <c r="F245" i="9"/>
  <c r="E131" i="8"/>
  <c r="F246" i="9"/>
  <c r="E134" i="8"/>
  <c r="F247" i="9"/>
  <c r="E137" i="8"/>
  <c r="F248" i="9"/>
  <c r="F249" i="9"/>
  <c r="F250" i="9"/>
  <c r="E146" i="8"/>
  <c r="F251" i="9"/>
  <c r="E149" i="8"/>
  <c r="F252" i="9"/>
  <c r="E152" i="8"/>
  <c r="F253" i="9"/>
  <c r="E155" i="8"/>
  <c r="F254" i="9"/>
  <c r="E158" i="8"/>
  <c r="F255" i="9"/>
  <c r="E161" i="8"/>
  <c r="F256" i="9"/>
  <c r="G23" i="10"/>
  <c r="F23" i="10"/>
  <c r="D23" i="10"/>
  <c r="C23" i="10"/>
  <c r="T22" i="10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G22" i="10"/>
  <c r="F22" i="10"/>
  <c r="D22" i="10"/>
  <c r="C22" i="10"/>
  <c r="T21" i="10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G21" i="10"/>
  <c r="F21" i="10"/>
  <c r="D21" i="10"/>
  <c r="C21" i="10"/>
  <c r="T20" i="10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G20" i="10"/>
  <c r="F20" i="10"/>
  <c r="D20" i="10"/>
  <c r="C20" i="10"/>
  <c r="T19" i="10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9" i="10"/>
  <c r="F19" i="10"/>
  <c r="D19" i="10"/>
  <c r="C19" i="10"/>
  <c r="T18" i="10"/>
  <c r="E4" i="8"/>
  <c r="F87" i="9"/>
  <c r="E7" i="8"/>
  <c r="F88" i="9"/>
  <c r="E10" i="8"/>
  <c r="F89" i="9"/>
  <c r="E13" i="8"/>
  <c r="F90" i="9"/>
  <c r="E16" i="8"/>
  <c r="F91" i="9"/>
  <c r="E19" i="8"/>
  <c r="F92" i="9"/>
  <c r="E22" i="8"/>
  <c r="F93" i="9"/>
  <c r="E25" i="8"/>
  <c r="F94" i="9"/>
  <c r="E28" i="8"/>
  <c r="F95" i="9"/>
  <c r="E31" i="8"/>
  <c r="F96" i="9"/>
  <c r="E34" i="8"/>
  <c r="F97" i="9"/>
  <c r="E37" i="8"/>
  <c r="F98" i="9"/>
  <c r="E40" i="8"/>
  <c r="F99" i="9"/>
  <c r="E43" i="8"/>
  <c r="F100" i="9"/>
  <c r="E46" i="8"/>
  <c r="F101" i="9"/>
  <c r="E49" i="8"/>
  <c r="F102" i="9"/>
  <c r="E52" i="8"/>
  <c r="F103" i="9"/>
  <c r="V4" i="8"/>
  <c r="F104" i="9"/>
  <c r="V7" i="8"/>
  <c r="F105" i="9"/>
  <c r="V10" i="8"/>
  <c r="F106" i="9"/>
  <c r="V13" i="8"/>
  <c r="F107" i="9"/>
  <c r="V16" i="8"/>
  <c r="F108" i="9"/>
  <c r="V19" i="8"/>
  <c r="F109" i="9"/>
  <c r="V22" i="8"/>
  <c r="F110" i="9"/>
  <c r="V25" i="8"/>
  <c r="F111" i="9"/>
  <c r="V28" i="8"/>
  <c r="F112" i="9"/>
  <c r="V31" i="8"/>
  <c r="F113" i="9"/>
  <c r="V34" i="8"/>
  <c r="F114" i="9"/>
  <c r="V37" i="8"/>
  <c r="F115" i="9"/>
  <c r="V40" i="8"/>
  <c r="F116" i="9"/>
  <c r="V43" i="8"/>
  <c r="F117" i="9"/>
  <c r="V46" i="8"/>
  <c r="F118" i="9"/>
  <c r="V49" i="8"/>
  <c r="F119" i="9"/>
  <c r="V52" i="8"/>
  <c r="F120" i="9"/>
  <c r="E58" i="8"/>
  <c r="F121" i="9"/>
  <c r="F122" i="9"/>
  <c r="E64" i="8"/>
  <c r="F123" i="9"/>
  <c r="E67" i="8"/>
  <c r="F124" i="9"/>
  <c r="E70" i="8"/>
  <c r="F125" i="9"/>
  <c r="E73" i="8"/>
  <c r="F126" i="9"/>
  <c r="E76" i="8"/>
  <c r="F127" i="9"/>
  <c r="E79" i="8"/>
  <c r="F128" i="9"/>
  <c r="E82" i="8"/>
  <c r="F129" i="9"/>
  <c r="E85" i="8"/>
  <c r="F130" i="9"/>
  <c r="E88" i="8"/>
  <c r="F131" i="9"/>
  <c r="E91" i="8"/>
  <c r="F132" i="9"/>
  <c r="E94" i="8"/>
  <c r="F133" i="9"/>
  <c r="E97" i="8"/>
  <c r="F134" i="9"/>
  <c r="E100" i="8"/>
  <c r="F135" i="9"/>
  <c r="E103" i="8"/>
  <c r="F136" i="9"/>
  <c r="E106" i="8"/>
  <c r="F137" i="9"/>
  <c r="V58" i="8"/>
  <c r="F138" i="9"/>
  <c r="V61" i="8"/>
  <c r="F139" i="9"/>
  <c r="V64" i="8"/>
  <c r="F140" i="9"/>
  <c r="V67" i="8"/>
  <c r="F141" i="9"/>
  <c r="V70" i="8"/>
  <c r="F142" i="9"/>
  <c r="V73" i="8"/>
  <c r="F143" i="9"/>
  <c r="V76" i="8"/>
  <c r="F144" i="9"/>
  <c r="V79" i="8"/>
  <c r="F145" i="9"/>
  <c r="V82" i="8"/>
  <c r="F146" i="9"/>
  <c r="V85" i="8"/>
  <c r="F147" i="9"/>
  <c r="V88" i="8"/>
  <c r="F148" i="9"/>
  <c r="V91" i="8"/>
  <c r="F149" i="9"/>
  <c r="V94" i="8"/>
  <c r="F150" i="9"/>
  <c r="V97" i="8"/>
  <c r="F151" i="9"/>
  <c r="V100" i="8"/>
  <c r="F152" i="9"/>
  <c r="V103" i="8"/>
  <c r="F153" i="9"/>
  <c r="V106" i="8"/>
  <c r="F154" i="9"/>
  <c r="E112" i="8"/>
  <c r="F155" i="9"/>
  <c r="E115" i="8"/>
  <c r="F156" i="9"/>
  <c r="E118" i="8"/>
  <c r="F157" i="9"/>
  <c r="E121" i="8"/>
  <c r="F158" i="9"/>
  <c r="E124" i="8"/>
  <c r="F159" i="9"/>
  <c r="E127" i="8"/>
  <c r="F160" i="9"/>
  <c r="E130" i="8"/>
  <c r="F161" i="9"/>
  <c r="E133" i="8"/>
  <c r="F162" i="9"/>
  <c r="E136" i="8"/>
  <c r="F163" i="9"/>
  <c r="F164" i="9"/>
  <c r="F165" i="9"/>
  <c r="E145" i="8"/>
  <c r="F166" i="9"/>
  <c r="E148" i="8"/>
  <c r="F167" i="9"/>
  <c r="E151" i="8"/>
  <c r="F168" i="9"/>
  <c r="E154" i="8"/>
  <c r="F169" i="9"/>
  <c r="E157" i="8"/>
  <c r="F170" i="9"/>
  <c r="E160" i="8"/>
  <c r="F171" i="9"/>
  <c r="G18" i="10"/>
  <c r="F18" i="10"/>
  <c r="D18" i="10"/>
  <c r="C18" i="10"/>
  <c r="T17" i="10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G17" i="10"/>
  <c r="F17" i="10"/>
  <c r="D17" i="10"/>
  <c r="C17" i="10"/>
  <c r="T16" i="10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G16" i="10"/>
  <c r="F16" i="10"/>
  <c r="D16" i="10"/>
  <c r="C16" i="10"/>
  <c r="T15" i="10"/>
  <c r="H2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G15" i="10"/>
  <c r="F15" i="10"/>
  <c r="D15" i="10"/>
  <c r="C15" i="10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14" i="10"/>
  <c r="F14" i="10"/>
  <c r="D14" i="10"/>
  <c r="C14" i="10"/>
  <c r="E3" i="8"/>
  <c r="F2" i="9"/>
  <c r="E6" i="8"/>
  <c r="F3" i="9"/>
  <c r="E9" i="8"/>
  <c r="F4" i="9"/>
  <c r="E12" i="8"/>
  <c r="F5" i="9"/>
  <c r="E15" i="8"/>
  <c r="F6" i="9"/>
  <c r="E18" i="8"/>
  <c r="F7" i="9"/>
  <c r="E21" i="8"/>
  <c r="F8" i="9"/>
  <c r="E24" i="8"/>
  <c r="F9" i="9"/>
  <c r="E27" i="8"/>
  <c r="F10" i="9"/>
  <c r="E30" i="8"/>
  <c r="F11" i="9"/>
  <c r="E33" i="8"/>
  <c r="F12" i="9"/>
  <c r="E36" i="8"/>
  <c r="F13" i="9"/>
  <c r="E39" i="8"/>
  <c r="F14" i="9"/>
  <c r="E42" i="8"/>
  <c r="F15" i="9"/>
  <c r="E45" i="8"/>
  <c r="F16" i="9"/>
  <c r="E48" i="8"/>
  <c r="F17" i="9"/>
  <c r="E51" i="8"/>
  <c r="F18" i="9"/>
  <c r="V3" i="8"/>
  <c r="F19" i="9"/>
  <c r="V6" i="8"/>
  <c r="F20" i="9"/>
  <c r="V9" i="8"/>
  <c r="F21" i="9"/>
  <c r="V12" i="8"/>
  <c r="F22" i="9"/>
  <c r="V15" i="8"/>
  <c r="F23" i="9"/>
  <c r="V18" i="8"/>
  <c r="F24" i="9"/>
  <c r="V21" i="8"/>
  <c r="F25" i="9"/>
  <c r="V24" i="8"/>
  <c r="F26" i="9"/>
  <c r="V27" i="8"/>
  <c r="F27" i="9"/>
  <c r="V30" i="8"/>
  <c r="F28" i="9"/>
  <c r="V33" i="8"/>
  <c r="F29" i="9"/>
  <c r="V36" i="8"/>
  <c r="F30" i="9"/>
  <c r="V39" i="8"/>
  <c r="F31" i="9"/>
  <c r="V42" i="8"/>
  <c r="F32" i="9"/>
  <c r="V45" i="8"/>
  <c r="F33" i="9"/>
  <c r="V48" i="8"/>
  <c r="F34" i="9"/>
  <c r="V51" i="8"/>
  <c r="F35" i="9"/>
  <c r="E57" i="8"/>
  <c r="F36" i="9"/>
  <c r="E60" i="8"/>
  <c r="F37" i="9"/>
  <c r="E63" i="8"/>
  <c r="F38" i="9"/>
  <c r="E66" i="8"/>
  <c r="F39" i="9"/>
  <c r="E69" i="8"/>
  <c r="F40" i="9"/>
  <c r="E72" i="8"/>
  <c r="F41" i="9"/>
  <c r="E75" i="8"/>
  <c r="F42" i="9"/>
  <c r="E78" i="8"/>
  <c r="F43" i="9"/>
  <c r="E81" i="8"/>
  <c r="F44" i="9"/>
  <c r="E84" i="8"/>
  <c r="F45" i="9"/>
  <c r="E87" i="8"/>
  <c r="F46" i="9"/>
  <c r="E90" i="8"/>
  <c r="F47" i="9"/>
  <c r="E93" i="8"/>
  <c r="F48" i="9"/>
  <c r="E96" i="8"/>
  <c r="F49" i="9"/>
  <c r="E99" i="8"/>
  <c r="F50" i="9"/>
  <c r="E102" i="8"/>
  <c r="F51" i="9"/>
  <c r="E105" i="8"/>
  <c r="F52" i="9"/>
  <c r="V57" i="8"/>
  <c r="F53" i="9"/>
  <c r="V60" i="8"/>
  <c r="F54" i="9"/>
  <c r="V63" i="8"/>
  <c r="F55" i="9"/>
  <c r="V66" i="8"/>
  <c r="F56" i="9"/>
  <c r="V69" i="8"/>
  <c r="F57" i="9"/>
  <c r="V72" i="8"/>
  <c r="F58" i="9"/>
  <c r="V75" i="8"/>
  <c r="F59" i="9"/>
  <c r="V78" i="8"/>
  <c r="F60" i="9"/>
  <c r="V81" i="8"/>
  <c r="F61" i="9"/>
  <c r="V84" i="8"/>
  <c r="F62" i="9"/>
  <c r="V87" i="8"/>
  <c r="F63" i="9"/>
  <c r="V90" i="8"/>
  <c r="F64" i="9"/>
  <c r="V93" i="8"/>
  <c r="F65" i="9"/>
  <c r="V96" i="8"/>
  <c r="F66" i="9"/>
  <c r="V99" i="8"/>
  <c r="F67" i="9"/>
  <c r="V102" i="8"/>
  <c r="F68" i="9"/>
  <c r="V105" i="8"/>
  <c r="F69" i="9"/>
  <c r="E111" i="8"/>
  <c r="F70" i="9"/>
  <c r="E114" i="8"/>
  <c r="F71" i="9"/>
  <c r="E117" i="8"/>
  <c r="F72" i="9"/>
  <c r="E120" i="8"/>
  <c r="F73" i="9"/>
  <c r="E123" i="8"/>
  <c r="F74" i="9"/>
  <c r="E126" i="8"/>
  <c r="F75" i="9"/>
  <c r="E129" i="8"/>
  <c r="F76" i="9"/>
  <c r="E132" i="8"/>
  <c r="F77" i="9"/>
  <c r="E135" i="8"/>
  <c r="F78" i="9"/>
  <c r="E138" i="8"/>
  <c r="F79" i="9"/>
  <c r="E141" i="8"/>
  <c r="F80" i="9"/>
  <c r="E144" i="8"/>
  <c r="F81" i="9"/>
  <c r="E147" i="8"/>
  <c r="F82" i="9"/>
  <c r="E150" i="8"/>
  <c r="F83" i="9"/>
  <c r="E153" i="8"/>
  <c r="F84" i="9"/>
  <c r="E156" i="8"/>
  <c r="F85" i="9"/>
  <c r="E159" i="8"/>
  <c r="F86" i="9"/>
  <c r="G13" i="10"/>
  <c r="F13" i="10"/>
  <c r="D13" i="10"/>
  <c r="C13" i="10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G12" i="10"/>
  <c r="F12" i="10"/>
  <c r="D12" i="10"/>
  <c r="C12" i="10"/>
  <c r="T11" i="10"/>
  <c r="D2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G11" i="10"/>
  <c r="F11" i="10"/>
  <c r="D11" i="10"/>
  <c r="C11" i="10"/>
  <c r="T10" i="10"/>
  <c r="T9" i="10"/>
  <c r="J3" i="9"/>
  <c r="J63" i="9"/>
  <c r="J66" i="9"/>
  <c r="F4" i="10"/>
  <c r="J135" i="9"/>
  <c r="J140" i="9"/>
  <c r="F5" i="10"/>
  <c r="J174" i="9"/>
  <c r="J178" i="9"/>
  <c r="J210" i="9"/>
  <c r="J220" i="9"/>
  <c r="J225" i="9"/>
  <c r="F6" i="10"/>
  <c r="F7" i="10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B4" i="10"/>
  <c r="B5" i="10"/>
  <c r="B6" i="10"/>
  <c r="B7" i="10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C4" i="10"/>
  <c r="C5" i="10"/>
  <c r="C6" i="10"/>
  <c r="C7" i="10"/>
  <c r="E7" i="10"/>
  <c r="D4" i="10"/>
  <c r="D5" i="10"/>
  <c r="D6" i="10"/>
  <c r="D7" i="10"/>
  <c r="E6" i="10"/>
  <c r="T5" i="10"/>
  <c r="E5" i="10"/>
  <c r="T4" i="10"/>
  <c r="E4" i="10"/>
  <c r="T3" i="10"/>
  <c r="J256" i="9"/>
  <c r="B256" i="9"/>
  <c r="J255" i="9"/>
  <c r="B255" i="9"/>
  <c r="J254" i="9"/>
  <c r="B254" i="9"/>
  <c r="J253" i="9"/>
  <c r="B253" i="9"/>
  <c r="J252" i="9"/>
  <c r="B252" i="9"/>
  <c r="J251" i="9"/>
  <c r="B251" i="9"/>
  <c r="J250" i="9"/>
  <c r="B250" i="9"/>
  <c r="J249" i="9"/>
  <c r="B249" i="9"/>
  <c r="J248" i="9"/>
  <c r="B248" i="9"/>
  <c r="J247" i="9"/>
  <c r="B247" i="9"/>
  <c r="J246" i="9"/>
  <c r="B246" i="9"/>
  <c r="J245" i="9"/>
  <c r="B245" i="9"/>
  <c r="J244" i="9"/>
  <c r="B244" i="9"/>
  <c r="J243" i="9"/>
  <c r="B243" i="9"/>
  <c r="J242" i="9"/>
  <c r="B242" i="9"/>
  <c r="J241" i="9"/>
  <c r="B241" i="9"/>
  <c r="J240" i="9"/>
  <c r="B240" i="9"/>
  <c r="J239" i="9"/>
  <c r="B239" i="9"/>
  <c r="J238" i="9"/>
  <c r="B238" i="9"/>
  <c r="J237" i="9"/>
  <c r="B237" i="9"/>
  <c r="J236" i="9"/>
  <c r="B236" i="9"/>
  <c r="J235" i="9"/>
  <c r="B235" i="9"/>
  <c r="J234" i="9"/>
  <c r="B234" i="9"/>
  <c r="J233" i="9"/>
  <c r="B233" i="9"/>
  <c r="J232" i="9"/>
  <c r="B232" i="9"/>
  <c r="J231" i="9"/>
  <c r="B231" i="9"/>
  <c r="J230" i="9"/>
  <c r="B230" i="9"/>
  <c r="J229" i="9"/>
  <c r="B229" i="9"/>
  <c r="J228" i="9"/>
  <c r="B228" i="9"/>
  <c r="J227" i="9"/>
  <c r="B227" i="9"/>
  <c r="J226" i="9"/>
  <c r="B226" i="9"/>
  <c r="B225" i="9"/>
  <c r="J224" i="9"/>
  <c r="B224" i="9"/>
  <c r="J223" i="9"/>
  <c r="B223" i="9"/>
  <c r="J222" i="9"/>
  <c r="B222" i="9"/>
  <c r="J221" i="9"/>
  <c r="B221" i="9"/>
  <c r="B220" i="9"/>
  <c r="J219" i="9"/>
  <c r="B219" i="9"/>
  <c r="J218" i="9"/>
  <c r="B218" i="9"/>
  <c r="J217" i="9"/>
  <c r="B217" i="9"/>
  <c r="J216" i="9"/>
  <c r="B216" i="9"/>
  <c r="J215" i="9"/>
  <c r="B215" i="9"/>
  <c r="J214" i="9"/>
  <c r="B214" i="9"/>
  <c r="J213" i="9"/>
  <c r="B213" i="9"/>
  <c r="J212" i="9"/>
  <c r="B212" i="9"/>
  <c r="J211" i="9"/>
  <c r="B211" i="9"/>
  <c r="B210" i="9"/>
  <c r="J209" i="9"/>
  <c r="B209" i="9"/>
  <c r="J208" i="9"/>
  <c r="B208" i="9"/>
  <c r="J207" i="9"/>
  <c r="B207" i="9"/>
  <c r="J206" i="9"/>
  <c r="B206" i="9"/>
  <c r="J205" i="9"/>
  <c r="B205" i="9"/>
  <c r="J204" i="9"/>
  <c r="B204" i="9"/>
  <c r="J203" i="9"/>
  <c r="B203" i="9"/>
  <c r="J202" i="9"/>
  <c r="B202" i="9"/>
  <c r="J201" i="9"/>
  <c r="B201" i="9"/>
  <c r="J200" i="9"/>
  <c r="B200" i="9"/>
  <c r="J199" i="9"/>
  <c r="B199" i="9"/>
  <c r="J198" i="9"/>
  <c r="B198" i="9"/>
  <c r="J197" i="9"/>
  <c r="B197" i="9"/>
  <c r="J196" i="9"/>
  <c r="B196" i="9"/>
  <c r="J195" i="9"/>
  <c r="B195" i="9"/>
  <c r="J194" i="9"/>
  <c r="B194" i="9"/>
  <c r="J193" i="9"/>
  <c r="B193" i="9"/>
  <c r="J192" i="9"/>
  <c r="B192" i="9"/>
  <c r="J191" i="9"/>
  <c r="B191" i="9"/>
  <c r="J190" i="9"/>
  <c r="B190" i="9"/>
  <c r="J189" i="9"/>
  <c r="B189" i="9"/>
  <c r="J188" i="9"/>
  <c r="B188" i="9"/>
  <c r="J187" i="9"/>
  <c r="B187" i="9"/>
  <c r="J186" i="9"/>
  <c r="B186" i="9"/>
  <c r="J185" i="9"/>
  <c r="B185" i="9"/>
  <c r="J184" i="9"/>
  <c r="B184" i="9"/>
  <c r="J183" i="9"/>
  <c r="B183" i="9"/>
  <c r="J182" i="9"/>
  <c r="B182" i="9"/>
  <c r="J181" i="9"/>
  <c r="B181" i="9"/>
  <c r="J180" i="9"/>
  <c r="B180" i="9"/>
  <c r="J179" i="9"/>
  <c r="B179" i="9"/>
  <c r="B178" i="9"/>
  <c r="J177" i="9"/>
  <c r="B177" i="9"/>
  <c r="J176" i="9"/>
  <c r="B176" i="9"/>
  <c r="J175" i="9"/>
  <c r="B175" i="9"/>
  <c r="B174" i="9"/>
  <c r="J173" i="9"/>
  <c r="B173" i="9"/>
  <c r="J172" i="9"/>
  <c r="B172" i="9"/>
  <c r="J171" i="9"/>
  <c r="B171" i="9"/>
  <c r="J170" i="9"/>
  <c r="B170" i="9"/>
  <c r="J169" i="9"/>
  <c r="B169" i="9"/>
  <c r="J168" i="9"/>
  <c r="B168" i="9"/>
  <c r="J167" i="9"/>
  <c r="B167" i="9"/>
  <c r="J166" i="9"/>
  <c r="B166" i="9"/>
  <c r="J165" i="9"/>
  <c r="B165" i="9"/>
  <c r="J164" i="9"/>
  <c r="B164" i="9"/>
  <c r="J163" i="9"/>
  <c r="B163" i="9"/>
  <c r="J162" i="9"/>
  <c r="B162" i="9"/>
  <c r="J161" i="9"/>
  <c r="B161" i="9"/>
  <c r="J160" i="9"/>
  <c r="B160" i="9"/>
  <c r="J159" i="9"/>
  <c r="B159" i="9"/>
  <c r="J158" i="9"/>
  <c r="B158" i="9"/>
  <c r="J157" i="9"/>
  <c r="B157" i="9"/>
  <c r="J156" i="9"/>
  <c r="B156" i="9"/>
  <c r="J155" i="9"/>
  <c r="B155" i="9"/>
  <c r="J154" i="9"/>
  <c r="B154" i="9"/>
  <c r="J153" i="9"/>
  <c r="B153" i="9"/>
  <c r="J152" i="9"/>
  <c r="B152" i="9"/>
  <c r="J151" i="9"/>
  <c r="B151" i="9"/>
  <c r="J150" i="9"/>
  <c r="B150" i="9"/>
  <c r="J149" i="9"/>
  <c r="B149" i="9"/>
  <c r="J148" i="9"/>
  <c r="B148" i="9"/>
  <c r="J147" i="9"/>
  <c r="B147" i="9"/>
  <c r="J146" i="9"/>
  <c r="B146" i="9"/>
  <c r="J145" i="9"/>
  <c r="B145" i="9"/>
  <c r="J144" i="9"/>
  <c r="B144" i="9"/>
  <c r="J143" i="9"/>
  <c r="B143" i="9"/>
  <c r="J142" i="9"/>
  <c r="B142" i="9"/>
  <c r="J141" i="9"/>
  <c r="B141" i="9"/>
  <c r="B140" i="9"/>
  <c r="J139" i="9"/>
  <c r="B139" i="9"/>
  <c r="J138" i="9"/>
  <c r="B138" i="9"/>
  <c r="J137" i="9"/>
  <c r="B137" i="9"/>
  <c r="J136" i="9"/>
  <c r="B136" i="9"/>
  <c r="B135" i="9"/>
  <c r="J134" i="9"/>
  <c r="B134" i="9"/>
  <c r="J133" i="9"/>
  <c r="B133" i="9"/>
  <c r="J132" i="9"/>
  <c r="B132" i="9"/>
  <c r="J131" i="9"/>
  <c r="B131" i="9"/>
  <c r="J130" i="9"/>
  <c r="B130" i="9"/>
  <c r="J129" i="9"/>
  <c r="B129" i="9"/>
  <c r="J128" i="9"/>
  <c r="B128" i="9"/>
  <c r="J127" i="9"/>
  <c r="B127" i="9"/>
  <c r="J126" i="9"/>
  <c r="B126" i="9"/>
  <c r="J125" i="9"/>
  <c r="B125" i="9"/>
  <c r="J124" i="9"/>
  <c r="B124" i="9"/>
  <c r="J123" i="9"/>
  <c r="B123" i="9"/>
  <c r="J122" i="9"/>
  <c r="B122" i="9"/>
  <c r="J121" i="9"/>
  <c r="B121" i="9"/>
  <c r="J120" i="9"/>
  <c r="B120" i="9"/>
  <c r="J119" i="9"/>
  <c r="B119" i="9"/>
  <c r="J118" i="9"/>
  <c r="B118" i="9"/>
  <c r="J117" i="9"/>
  <c r="B117" i="9"/>
  <c r="J116" i="9"/>
  <c r="B116" i="9"/>
  <c r="J115" i="9"/>
  <c r="B115" i="9"/>
  <c r="J114" i="9"/>
  <c r="B114" i="9"/>
  <c r="J113" i="9"/>
  <c r="B113" i="9"/>
  <c r="J112" i="9"/>
  <c r="B112" i="9"/>
  <c r="J111" i="9"/>
  <c r="B111" i="9"/>
  <c r="J110" i="9"/>
  <c r="B110" i="9"/>
  <c r="J109" i="9"/>
  <c r="B109" i="9"/>
  <c r="J108" i="9"/>
  <c r="B108" i="9"/>
  <c r="J107" i="9"/>
  <c r="B107" i="9"/>
  <c r="J106" i="9"/>
  <c r="B106" i="9"/>
  <c r="J105" i="9"/>
  <c r="B105" i="9"/>
  <c r="J104" i="9"/>
  <c r="B104" i="9"/>
  <c r="J103" i="9"/>
  <c r="B103" i="9"/>
  <c r="J102" i="9"/>
  <c r="B102" i="9"/>
  <c r="J101" i="9"/>
  <c r="B101" i="9"/>
  <c r="J100" i="9"/>
  <c r="B100" i="9"/>
  <c r="J99" i="9"/>
  <c r="B99" i="9"/>
  <c r="J98" i="9"/>
  <c r="B98" i="9"/>
  <c r="J97" i="9"/>
  <c r="B97" i="9"/>
  <c r="J96" i="9"/>
  <c r="B96" i="9"/>
  <c r="J95" i="9"/>
  <c r="B95" i="9"/>
  <c r="J94" i="9"/>
  <c r="B94" i="9"/>
  <c r="J93" i="9"/>
  <c r="B93" i="9"/>
  <c r="J92" i="9"/>
  <c r="B92" i="9"/>
  <c r="J91" i="9"/>
  <c r="B91" i="9"/>
  <c r="J90" i="9"/>
  <c r="B90" i="9"/>
  <c r="J89" i="9"/>
  <c r="B89" i="9"/>
  <c r="J88" i="9"/>
  <c r="B88" i="9"/>
  <c r="J87" i="9"/>
  <c r="B87" i="9"/>
  <c r="J86" i="9"/>
  <c r="B86" i="9"/>
  <c r="J85" i="9"/>
  <c r="B85" i="9"/>
  <c r="J84" i="9"/>
  <c r="B84" i="9"/>
  <c r="J83" i="9"/>
  <c r="B83" i="9"/>
  <c r="J82" i="9"/>
  <c r="B82" i="9"/>
  <c r="J81" i="9"/>
  <c r="B81" i="9"/>
  <c r="J80" i="9"/>
  <c r="B80" i="9"/>
  <c r="J79" i="9"/>
  <c r="B79" i="9"/>
  <c r="J78" i="9"/>
  <c r="B78" i="9"/>
  <c r="J77" i="9"/>
  <c r="B77" i="9"/>
  <c r="J76" i="9"/>
  <c r="B76" i="9"/>
  <c r="J75" i="9"/>
  <c r="B75" i="9"/>
  <c r="J74" i="9"/>
  <c r="B74" i="9"/>
  <c r="J73" i="9"/>
  <c r="B73" i="9"/>
  <c r="J72" i="9"/>
  <c r="B72" i="9"/>
  <c r="J71" i="9"/>
  <c r="B71" i="9"/>
  <c r="J70" i="9"/>
  <c r="B70" i="9"/>
  <c r="J69" i="9"/>
  <c r="B69" i="9"/>
  <c r="J68" i="9"/>
  <c r="B68" i="9"/>
  <c r="J67" i="9"/>
  <c r="B67" i="9"/>
  <c r="B66" i="9"/>
  <c r="J65" i="9"/>
  <c r="B65" i="9"/>
  <c r="J64" i="9"/>
  <c r="B64" i="9"/>
  <c r="B63" i="9"/>
  <c r="J62" i="9"/>
  <c r="B62" i="9"/>
  <c r="J61" i="9"/>
  <c r="B61" i="9"/>
  <c r="J60" i="9"/>
  <c r="B60" i="9"/>
  <c r="J59" i="9"/>
  <c r="B59" i="9"/>
  <c r="J58" i="9"/>
  <c r="B58" i="9"/>
  <c r="J57" i="9"/>
  <c r="B57" i="9"/>
  <c r="J56" i="9"/>
  <c r="B56" i="9"/>
  <c r="J55" i="9"/>
  <c r="B55" i="9"/>
  <c r="J54" i="9"/>
  <c r="B54" i="9"/>
  <c r="J53" i="9"/>
  <c r="B53" i="9"/>
  <c r="J52" i="9"/>
  <c r="B52" i="9"/>
  <c r="J51" i="9"/>
  <c r="B51" i="9"/>
  <c r="J50" i="9"/>
  <c r="B50" i="9"/>
  <c r="J49" i="9"/>
  <c r="B49" i="9"/>
  <c r="J48" i="9"/>
  <c r="B48" i="9"/>
  <c r="J47" i="9"/>
  <c r="B47" i="9"/>
  <c r="J46" i="9"/>
  <c r="B46" i="9"/>
  <c r="J45" i="9"/>
  <c r="B45" i="9"/>
  <c r="J44" i="9"/>
  <c r="B44" i="9"/>
  <c r="J43" i="9"/>
  <c r="B43" i="9"/>
  <c r="J42" i="9"/>
  <c r="B42" i="9"/>
  <c r="J41" i="9"/>
  <c r="B41" i="9"/>
  <c r="J40" i="9"/>
  <c r="B40" i="9"/>
  <c r="J39" i="9"/>
  <c r="B39" i="9"/>
  <c r="J38" i="9"/>
  <c r="B38" i="9"/>
  <c r="J37" i="9"/>
  <c r="B37" i="9"/>
  <c r="J36" i="9"/>
  <c r="B36" i="9"/>
  <c r="J35" i="9"/>
  <c r="B35" i="9"/>
  <c r="J34" i="9"/>
  <c r="B34" i="9"/>
  <c r="J33" i="9"/>
  <c r="B33" i="9"/>
  <c r="J32" i="9"/>
  <c r="B32" i="9"/>
  <c r="J31" i="9"/>
  <c r="B31" i="9"/>
  <c r="J30" i="9"/>
  <c r="B30" i="9"/>
  <c r="J29" i="9"/>
  <c r="B29" i="9"/>
  <c r="J28" i="9"/>
  <c r="B28" i="9"/>
  <c r="J27" i="9"/>
  <c r="B27" i="9"/>
  <c r="J26" i="9"/>
  <c r="B26" i="9"/>
  <c r="J25" i="9"/>
  <c r="B25" i="9"/>
  <c r="J24" i="9"/>
  <c r="B24" i="9"/>
  <c r="J23" i="9"/>
  <c r="B23" i="9"/>
  <c r="J22" i="9"/>
  <c r="B22" i="9"/>
  <c r="M21" i="9"/>
  <c r="L21" i="9"/>
  <c r="J21" i="9"/>
  <c r="B21" i="9"/>
  <c r="M20" i="9"/>
  <c r="L20" i="9"/>
  <c r="J20" i="9"/>
  <c r="B20" i="9"/>
  <c r="M19" i="9"/>
  <c r="L19" i="9"/>
  <c r="J19" i="9"/>
  <c r="B19" i="9"/>
  <c r="AA18" i="9"/>
  <c r="M18" i="9"/>
  <c r="L18" i="9"/>
  <c r="J18" i="9"/>
  <c r="B18" i="9"/>
  <c r="AA17" i="9"/>
  <c r="M17" i="9"/>
  <c r="L17" i="9"/>
  <c r="J17" i="9"/>
  <c r="B17" i="9"/>
  <c r="AA16" i="9"/>
  <c r="M16" i="9"/>
  <c r="L16" i="9"/>
  <c r="J16" i="9"/>
  <c r="B16" i="9"/>
  <c r="AA15" i="9"/>
  <c r="M15" i="9"/>
  <c r="L15" i="9"/>
  <c r="J15" i="9"/>
  <c r="B15" i="9"/>
  <c r="AA14" i="9"/>
  <c r="M14" i="9"/>
  <c r="L14" i="9"/>
  <c r="J14" i="9"/>
  <c r="B14" i="9"/>
  <c r="AA13" i="9"/>
  <c r="M13" i="9"/>
  <c r="L13" i="9"/>
  <c r="J13" i="9"/>
  <c r="B13" i="9"/>
  <c r="AA12" i="9"/>
  <c r="M12" i="9"/>
  <c r="L12" i="9"/>
  <c r="J12" i="9"/>
  <c r="B12" i="9"/>
  <c r="AA11" i="9"/>
  <c r="M11" i="9"/>
  <c r="L11" i="9"/>
  <c r="J11" i="9"/>
  <c r="B11" i="9"/>
  <c r="AA10" i="9"/>
  <c r="M10" i="9"/>
  <c r="L10" i="9"/>
  <c r="J10" i="9"/>
  <c r="B10" i="9"/>
  <c r="AA9" i="9"/>
  <c r="M9" i="9"/>
  <c r="L9" i="9"/>
  <c r="J9" i="9"/>
  <c r="B9" i="9"/>
  <c r="AA8" i="9"/>
  <c r="M8" i="9"/>
  <c r="L8" i="9"/>
  <c r="J8" i="9"/>
  <c r="B8" i="9"/>
  <c r="AA7" i="9"/>
  <c r="M7" i="9"/>
  <c r="L7" i="9"/>
  <c r="J7" i="9"/>
  <c r="B7" i="9"/>
  <c r="AA6" i="9"/>
  <c r="M6" i="9"/>
  <c r="L6" i="9"/>
  <c r="J6" i="9"/>
  <c r="B6" i="9"/>
  <c r="AA5" i="9"/>
  <c r="M5" i="9"/>
  <c r="L5" i="9"/>
  <c r="J5" i="9"/>
  <c r="B5" i="9"/>
  <c r="AA4" i="9"/>
  <c r="M4" i="9"/>
  <c r="L4" i="9"/>
  <c r="J4" i="9"/>
  <c r="B4" i="9"/>
  <c r="AA3" i="9"/>
  <c r="M3" i="9"/>
  <c r="L3" i="9"/>
  <c r="B3" i="9"/>
  <c r="AA2" i="9"/>
  <c r="M2" i="9"/>
  <c r="L2" i="9"/>
  <c r="J2" i="9"/>
  <c r="B2" i="9"/>
  <c r="C28" i="3"/>
  <c r="D28" i="3"/>
  <c r="F28" i="3"/>
  <c r="G28" i="3"/>
  <c r="I28" i="3"/>
  <c r="J28" i="3"/>
  <c r="L28" i="3"/>
  <c r="M28" i="3"/>
  <c r="N28" i="3"/>
  <c r="O28" i="3"/>
  <c r="P28" i="3"/>
  <c r="Q28" i="3"/>
  <c r="R28" i="3"/>
  <c r="S28" i="3"/>
  <c r="T28" i="3"/>
  <c r="U28" i="3"/>
  <c r="V28" i="3"/>
  <c r="I17" i="7"/>
  <c r="H17" i="7"/>
  <c r="G17" i="7"/>
  <c r="B37" i="3"/>
  <c r="E37" i="3"/>
  <c r="H37" i="3"/>
  <c r="K37" i="3"/>
  <c r="F17" i="7"/>
  <c r="E17" i="7"/>
  <c r="D17" i="7"/>
  <c r="C17" i="7"/>
  <c r="B17" i="7"/>
  <c r="G7" i="3"/>
  <c r="J7" i="3"/>
  <c r="P7" i="3"/>
  <c r="S7" i="3"/>
  <c r="Y7" i="3"/>
  <c r="AB7" i="3"/>
  <c r="AH7" i="3"/>
  <c r="AK7" i="3"/>
  <c r="AN7" i="3"/>
  <c r="AQ7" i="3"/>
  <c r="AT7" i="3"/>
  <c r="AW7" i="3"/>
  <c r="AZ7" i="3"/>
  <c r="BC7" i="3"/>
  <c r="BF7" i="3"/>
  <c r="BI7" i="3"/>
  <c r="BL7" i="3"/>
  <c r="I16" i="7"/>
  <c r="H16" i="7"/>
  <c r="G16" i="7"/>
  <c r="F16" i="7"/>
  <c r="E16" i="7"/>
  <c r="D16" i="7"/>
  <c r="C16" i="7"/>
  <c r="B16" i="7"/>
  <c r="B9" i="7"/>
  <c r="B10" i="7"/>
  <c r="B11" i="7"/>
  <c r="B12" i="7"/>
  <c r="C9" i="7"/>
  <c r="C10" i="7"/>
  <c r="C11" i="7"/>
  <c r="C12" i="7"/>
  <c r="D12" i="7"/>
  <c r="I11" i="7"/>
  <c r="H11" i="7"/>
  <c r="G11" i="7"/>
  <c r="F11" i="7"/>
  <c r="E11" i="7"/>
  <c r="D11" i="7"/>
  <c r="I10" i="7"/>
  <c r="H10" i="7"/>
  <c r="G10" i="7"/>
  <c r="F10" i="7"/>
  <c r="E10" i="7"/>
  <c r="D10" i="7"/>
  <c r="I9" i="7"/>
  <c r="H9" i="7"/>
  <c r="G9" i="7"/>
  <c r="F9" i="7"/>
  <c r="E9" i="7"/>
  <c r="D9" i="7"/>
  <c r="D6" i="7"/>
  <c r="P120" i="8"/>
  <c r="O120" i="8"/>
  <c r="N120" i="8"/>
  <c r="M120" i="8"/>
  <c r="L120" i="8"/>
  <c r="P119" i="8"/>
  <c r="O119" i="8"/>
  <c r="N119" i="8"/>
  <c r="M119" i="8"/>
  <c r="L119" i="8"/>
  <c r="P118" i="8"/>
  <c r="O118" i="8"/>
  <c r="N118" i="8"/>
  <c r="M118" i="8"/>
  <c r="L118" i="8"/>
  <c r="AG69" i="8"/>
  <c r="AF69" i="8"/>
  <c r="AE69" i="8"/>
  <c r="AD69" i="8"/>
  <c r="AC69" i="8"/>
  <c r="P69" i="8"/>
  <c r="O69" i="8"/>
  <c r="N69" i="8"/>
  <c r="M69" i="8"/>
  <c r="L69" i="8"/>
  <c r="AG68" i="8"/>
  <c r="AF68" i="8"/>
  <c r="AE68" i="8"/>
  <c r="AD68" i="8"/>
  <c r="AC68" i="8"/>
  <c r="P68" i="8"/>
  <c r="O68" i="8"/>
  <c r="N68" i="8"/>
  <c r="M68" i="8"/>
  <c r="L68" i="8"/>
  <c r="AG67" i="8"/>
  <c r="AF67" i="8"/>
  <c r="AE67" i="8"/>
  <c r="AD67" i="8"/>
  <c r="AC67" i="8"/>
  <c r="P67" i="8"/>
  <c r="O67" i="8"/>
  <c r="N67" i="8"/>
  <c r="M67" i="8"/>
  <c r="L67" i="8"/>
  <c r="AG23" i="8"/>
  <c r="AF23" i="8"/>
  <c r="AE23" i="8"/>
  <c r="AD23" i="8"/>
  <c r="AC23" i="8"/>
  <c r="P23" i="8"/>
  <c r="O23" i="8"/>
  <c r="N23" i="8"/>
  <c r="M23" i="8"/>
  <c r="L23" i="8"/>
  <c r="AG22" i="8"/>
  <c r="AF22" i="8"/>
  <c r="AE22" i="8"/>
  <c r="AD22" i="8"/>
  <c r="AC22" i="8"/>
  <c r="P22" i="8"/>
  <c r="O22" i="8"/>
  <c r="N22" i="8"/>
  <c r="M22" i="8"/>
  <c r="L22" i="8"/>
  <c r="AG21" i="8"/>
  <c r="AF21" i="8"/>
  <c r="AE21" i="8"/>
  <c r="AD21" i="8"/>
  <c r="AC21" i="8"/>
  <c r="P21" i="8"/>
  <c r="O21" i="8"/>
  <c r="N21" i="8"/>
  <c r="M21" i="8"/>
  <c r="L21" i="8"/>
  <c r="K35" i="3"/>
  <c r="K36" i="3"/>
  <c r="K38" i="3"/>
  <c r="H35" i="3"/>
  <c r="H36" i="3"/>
  <c r="H38" i="3"/>
  <c r="E35" i="3"/>
  <c r="E36" i="3"/>
  <c r="E38" i="3"/>
  <c r="B35" i="3"/>
  <c r="B36" i="3"/>
  <c r="B38" i="3"/>
  <c r="K28" i="3"/>
  <c r="H28" i="3"/>
  <c r="E28" i="3"/>
  <c r="B28" i="3"/>
  <c r="BK14" i="3"/>
  <c r="BK15" i="3"/>
  <c r="BK16" i="3"/>
  <c r="BK17" i="3"/>
  <c r="BJ17" i="3"/>
  <c r="BH14" i="3"/>
  <c r="BH15" i="3"/>
  <c r="BH16" i="3"/>
  <c r="BH17" i="3"/>
  <c r="BG17" i="3"/>
  <c r="BE14" i="3"/>
  <c r="BE15" i="3"/>
  <c r="BE16" i="3"/>
  <c r="BE17" i="3"/>
  <c r="BD17" i="3"/>
  <c r="BB14" i="3"/>
  <c r="BB15" i="3"/>
  <c r="BB16" i="3"/>
  <c r="BB17" i="3"/>
  <c r="BA17" i="3"/>
  <c r="AY14" i="3"/>
  <c r="AY15" i="3"/>
  <c r="AY16" i="3"/>
  <c r="AY17" i="3"/>
  <c r="AX17" i="3"/>
  <c r="AV14" i="3"/>
  <c r="AV15" i="3"/>
  <c r="AV16" i="3"/>
  <c r="AV17" i="3"/>
  <c r="AU17" i="3"/>
  <c r="AS14" i="3"/>
  <c r="AS15" i="3"/>
  <c r="AS16" i="3"/>
  <c r="AS17" i="3"/>
  <c r="AR17" i="3"/>
  <c r="AP14" i="3"/>
  <c r="AP15" i="3"/>
  <c r="AP16" i="3"/>
  <c r="AP17" i="3"/>
  <c r="AO17" i="3"/>
  <c r="AM14" i="3"/>
  <c r="AM15" i="3"/>
  <c r="AM16" i="3"/>
  <c r="AM17" i="3"/>
  <c r="AL17" i="3"/>
  <c r="AJ14" i="3"/>
  <c r="AJ15" i="3"/>
  <c r="AJ16" i="3"/>
  <c r="AJ17" i="3"/>
  <c r="AI17" i="3"/>
  <c r="AG14" i="3"/>
  <c r="AG15" i="3"/>
  <c r="AG16" i="3"/>
  <c r="AG17" i="3"/>
  <c r="AF17" i="3"/>
  <c r="AE14" i="3"/>
  <c r="AE15" i="3"/>
  <c r="AE16" i="3"/>
  <c r="AE17" i="3"/>
  <c r="AD14" i="3"/>
  <c r="AD15" i="3"/>
  <c r="AD16" i="3"/>
  <c r="AD17" i="3"/>
  <c r="AC17" i="3"/>
  <c r="AA14" i="3"/>
  <c r="AA15" i="3"/>
  <c r="AA16" i="3"/>
  <c r="AA17" i="3"/>
  <c r="Z17" i="3"/>
  <c r="X14" i="3"/>
  <c r="X15" i="3"/>
  <c r="X16" i="3"/>
  <c r="X17" i="3"/>
  <c r="W17" i="3"/>
  <c r="V14" i="3"/>
  <c r="V15" i="3"/>
  <c r="V16" i="3"/>
  <c r="V17" i="3"/>
  <c r="U14" i="3"/>
  <c r="U15" i="3"/>
  <c r="U16" i="3"/>
  <c r="U17" i="3"/>
  <c r="T17" i="3"/>
  <c r="R14" i="3"/>
  <c r="R15" i="3"/>
  <c r="R16" i="3"/>
  <c r="R17" i="3"/>
  <c r="Q17" i="3"/>
  <c r="O14" i="3"/>
  <c r="O15" i="3"/>
  <c r="O16" i="3"/>
  <c r="O17" i="3"/>
  <c r="N17" i="3"/>
  <c r="M14" i="3"/>
  <c r="M15" i="3"/>
  <c r="M16" i="3"/>
  <c r="M17" i="3"/>
  <c r="L14" i="3"/>
  <c r="L15" i="3"/>
  <c r="L16" i="3"/>
  <c r="L17" i="3"/>
  <c r="K17" i="3"/>
  <c r="I14" i="3"/>
  <c r="I15" i="3"/>
  <c r="I16" i="3"/>
  <c r="I17" i="3"/>
  <c r="H17" i="3"/>
  <c r="F14" i="3"/>
  <c r="F15" i="3"/>
  <c r="F16" i="3"/>
  <c r="F17" i="3"/>
  <c r="E17" i="3"/>
  <c r="D14" i="3"/>
  <c r="D15" i="3"/>
  <c r="D16" i="3"/>
  <c r="D17" i="3"/>
  <c r="C14" i="3"/>
  <c r="C15" i="3"/>
  <c r="C16" i="3"/>
  <c r="C17" i="3"/>
  <c r="B17" i="3"/>
  <c r="BJ16" i="3"/>
  <c r="BG16" i="3"/>
  <c r="BD16" i="3"/>
  <c r="BA16" i="3"/>
  <c r="AX16" i="3"/>
  <c r="AU16" i="3"/>
  <c r="AR16" i="3"/>
  <c r="AO16" i="3"/>
  <c r="AL16" i="3"/>
  <c r="AI16" i="3"/>
  <c r="AF16" i="3"/>
  <c r="AC16" i="3"/>
  <c r="Z16" i="3"/>
  <c r="W16" i="3"/>
  <c r="T16" i="3"/>
  <c r="Q16" i="3"/>
  <c r="N16" i="3"/>
  <c r="K16" i="3"/>
  <c r="H16" i="3"/>
  <c r="E16" i="3"/>
  <c r="B16" i="3"/>
  <c r="BJ15" i="3"/>
  <c r="BG15" i="3"/>
  <c r="BD15" i="3"/>
  <c r="BA15" i="3"/>
  <c r="AX15" i="3"/>
  <c r="AU15" i="3"/>
  <c r="AR15" i="3"/>
  <c r="AO15" i="3"/>
  <c r="AL15" i="3"/>
  <c r="AI15" i="3"/>
  <c r="AF15" i="3"/>
  <c r="AC15" i="3"/>
  <c r="Z15" i="3"/>
  <c r="W15" i="3"/>
  <c r="T15" i="3"/>
  <c r="Q15" i="3"/>
  <c r="N15" i="3"/>
  <c r="K15" i="3"/>
  <c r="H15" i="3"/>
  <c r="E15" i="3"/>
  <c r="B15" i="3"/>
  <c r="BJ14" i="3"/>
  <c r="BG14" i="3"/>
  <c r="BD14" i="3"/>
  <c r="BA14" i="3"/>
  <c r="AX14" i="3"/>
  <c r="AU14" i="3"/>
  <c r="AR14" i="3"/>
  <c r="AO14" i="3"/>
  <c r="AL14" i="3"/>
  <c r="AI14" i="3"/>
  <c r="AF14" i="3"/>
  <c r="AC14" i="3"/>
  <c r="Z14" i="3"/>
  <c r="W14" i="3"/>
  <c r="T14" i="3"/>
  <c r="Q14" i="3"/>
  <c r="N14" i="3"/>
  <c r="K14" i="3"/>
  <c r="H14" i="3"/>
  <c r="E14" i="3"/>
  <c r="B14" i="3"/>
  <c r="BJ13" i="3"/>
  <c r="BG13" i="3"/>
  <c r="BD13" i="3"/>
  <c r="BA13" i="3"/>
  <c r="AX13" i="3"/>
  <c r="AU13" i="3"/>
  <c r="AR13" i="3"/>
  <c r="AO13" i="3"/>
  <c r="AL13" i="3"/>
  <c r="AI13" i="3"/>
  <c r="AF13" i="3"/>
  <c r="AC13" i="3"/>
  <c r="Z13" i="3"/>
  <c r="W13" i="3"/>
  <c r="T13" i="3"/>
  <c r="Q13" i="3"/>
  <c r="N13" i="3"/>
  <c r="K13" i="3"/>
  <c r="H13" i="3"/>
  <c r="E13" i="3"/>
  <c r="B13" i="3"/>
  <c r="BJ12" i="3"/>
  <c r="BG12" i="3"/>
  <c r="BD12" i="3"/>
  <c r="BA12" i="3"/>
  <c r="AX12" i="3"/>
  <c r="AU12" i="3"/>
  <c r="AR12" i="3"/>
  <c r="AO12" i="3"/>
  <c r="AL12" i="3"/>
  <c r="AI12" i="3"/>
  <c r="AF12" i="3"/>
  <c r="AC12" i="3"/>
  <c r="Z12" i="3"/>
  <c r="W12" i="3"/>
  <c r="T12" i="3"/>
  <c r="Q12" i="3"/>
  <c r="N12" i="3"/>
  <c r="K12" i="3"/>
  <c r="H12" i="3"/>
  <c r="E12" i="3"/>
  <c r="B12" i="3"/>
  <c r="BJ11" i="3"/>
  <c r="BG11" i="3"/>
  <c r="BD11" i="3"/>
  <c r="BA11" i="3"/>
  <c r="AX11" i="3"/>
  <c r="AU11" i="3"/>
  <c r="AR11" i="3"/>
  <c r="AO11" i="3"/>
  <c r="AL11" i="3"/>
  <c r="AI11" i="3"/>
  <c r="AF11" i="3"/>
  <c r="AC11" i="3"/>
  <c r="Z11" i="3"/>
  <c r="W11" i="3"/>
  <c r="T11" i="3"/>
  <c r="Q11" i="3"/>
  <c r="N11" i="3"/>
  <c r="K11" i="3"/>
  <c r="H11" i="3"/>
  <c r="E11" i="3"/>
  <c r="B11" i="3"/>
  <c r="BJ10" i="3"/>
  <c r="BG10" i="3"/>
  <c r="BD10" i="3"/>
  <c r="BA10" i="3"/>
  <c r="AX10" i="3"/>
  <c r="AU10" i="3"/>
  <c r="AR10" i="3"/>
  <c r="AO10" i="3"/>
  <c r="AL10" i="3"/>
  <c r="AI10" i="3"/>
  <c r="AF10" i="3"/>
  <c r="AC10" i="3"/>
  <c r="Z10" i="3"/>
  <c r="W10" i="3"/>
  <c r="T10" i="3"/>
  <c r="Q10" i="3"/>
  <c r="N10" i="3"/>
  <c r="K10" i="3"/>
  <c r="H10" i="3"/>
  <c r="E10" i="3"/>
  <c r="B10" i="3"/>
  <c r="BJ9" i="3"/>
  <c r="BG9" i="3"/>
  <c r="BD9" i="3"/>
  <c r="BA9" i="3"/>
  <c r="AX9" i="3"/>
  <c r="AU9" i="3"/>
  <c r="AR9" i="3"/>
  <c r="AO9" i="3"/>
  <c r="AL9" i="3"/>
  <c r="AI9" i="3"/>
  <c r="AF9" i="3"/>
  <c r="AC9" i="3"/>
  <c r="Z9" i="3"/>
  <c r="W9" i="3"/>
  <c r="T9" i="3"/>
  <c r="Q9" i="3"/>
  <c r="N9" i="3"/>
  <c r="K9" i="3"/>
  <c r="H9" i="3"/>
  <c r="E9" i="3"/>
  <c r="B9" i="3"/>
  <c r="BJ8" i="3"/>
  <c r="BG8" i="3"/>
  <c r="BD8" i="3"/>
  <c r="BA8" i="3"/>
  <c r="AX8" i="3"/>
  <c r="AU8" i="3"/>
  <c r="AR8" i="3"/>
  <c r="AO8" i="3"/>
  <c r="AL8" i="3"/>
  <c r="AI8" i="3"/>
  <c r="AF8" i="3"/>
  <c r="AC8" i="3"/>
  <c r="Z8" i="3"/>
  <c r="W8" i="3"/>
  <c r="T8" i="3"/>
  <c r="Q8" i="3"/>
  <c r="N8" i="3"/>
  <c r="K8" i="3"/>
  <c r="H8" i="3"/>
  <c r="E8" i="3"/>
  <c r="B8" i="3"/>
  <c r="BJ7" i="3"/>
  <c r="BH7" i="3"/>
  <c r="BG7" i="3"/>
  <c r="BE7" i="3"/>
  <c r="BD7" i="3"/>
  <c r="BB7" i="3"/>
  <c r="BA7" i="3"/>
  <c r="AY7" i="3"/>
  <c r="AX7" i="3"/>
  <c r="AU7" i="3"/>
  <c r="AR7" i="3"/>
  <c r="AP5" i="3"/>
  <c r="AP7" i="3"/>
  <c r="AO7" i="3"/>
  <c r="AM7" i="3"/>
  <c r="AL7" i="3"/>
  <c r="AJ7" i="3"/>
  <c r="AI7" i="3"/>
  <c r="AF7" i="3"/>
  <c r="AE7" i="3"/>
  <c r="AC7" i="3"/>
  <c r="Z7" i="3"/>
  <c r="W7" i="3"/>
  <c r="V7" i="3"/>
  <c r="T7" i="3"/>
  <c r="R7" i="3"/>
  <c r="Q7" i="3"/>
  <c r="O7" i="3"/>
  <c r="N7" i="3"/>
  <c r="M7" i="3"/>
  <c r="L7" i="3"/>
  <c r="K7" i="3"/>
  <c r="H7" i="3"/>
  <c r="F7" i="3"/>
  <c r="E7" i="3"/>
  <c r="D7" i="3"/>
  <c r="B7" i="3"/>
  <c r="BJ6" i="3"/>
  <c r="BG6" i="3"/>
  <c r="BD6" i="3"/>
  <c r="BA6" i="3"/>
  <c r="AX6" i="3"/>
  <c r="AU6" i="3"/>
  <c r="AR6" i="3"/>
  <c r="AO6" i="3"/>
  <c r="AL6" i="3"/>
  <c r="AI6" i="3"/>
  <c r="AF6" i="3"/>
  <c r="AC6" i="3"/>
  <c r="Z6" i="3"/>
  <c r="W6" i="3"/>
  <c r="T6" i="3"/>
  <c r="Q6" i="3"/>
  <c r="N6" i="3"/>
  <c r="K6" i="3"/>
  <c r="H6" i="3"/>
  <c r="E6" i="3"/>
  <c r="B6" i="3"/>
  <c r="BJ5" i="3"/>
  <c r="BG5" i="3"/>
  <c r="BD5" i="3"/>
  <c r="BA5" i="3"/>
  <c r="AX5" i="3"/>
  <c r="AU5" i="3"/>
  <c r="AR5" i="3"/>
  <c r="AO5" i="3"/>
  <c r="AL5" i="3"/>
  <c r="AI5" i="3"/>
  <c r="AF5" i="3"/>
  <c r="AC5" i="3"/>
  <c r="Z5" i="3"/>
  <c r="W5" i="3"/>
  <c r="T5" i="3"/>
  <c r="Q5" i="3"/>
  <c r="N5" i="3"/>
  <c r="K5" i="3"/>
  <c r="H5" i="3"/>
  <c r="E5" i="3"/>
  <c r="B5" i="3"/>
</calcChain>
</file>

<file path=xl/sharedStrings.xml><?xml version="1.0" encoding="utf-8"?>
<sst xmlns="http://schemas.openxmlformats.org/spreadsheetml/2006/main" count="1774" uniqueCount="358">
  <si>
    <t>Definição dos obstáculos físicos e respetiva posição de colocação</t>
  </si>
  <si>
    <t>ID</t>
  </si>
  <si>
    <t>Objeto físico</t>
  </si>
  <si>
    <t>Comprimento (m)</t>
  </si>
  <si>
    <t>Largura (m)</t>
  </si>
  <si>
    <t>Altura (m)</t>
  </si>
  <si>
    <t>Centro  X (m)</t>
  </si>
  <si>
    <t>Centro Y (m)</t>
  </si>
  <si>
    <t>Centro Z (m)</t>
  </si>
  <si>
    <t>Referencial</t>
  </si>
  <si>
    <t>Onde colocar fisicamente</t>
  </si>
  <si>
    <t>Comando para aparecer no RViz/Planning Scene</t>
  </si>
  <si>
    <t>OBS_H_P1</t>
  </si>
  <si>
    <t>Caixa de sapatos horizontal</t>
  </si>
  <si>
    <t>base (45° rotação)</t>
  </si>
  <si>
    <t xml:space="preserve">Em cima da mesa — posição 1 </t>
  </si>
  <si>
    <t>ros2 topic pub --once /obstaculo_cmd std_msgs/msg/String "{data: 'ADD A OBS_H 0.9320 0.2390 -0.1800'}"</t>
  </si>
  <si>
    <t>OBS_H_P2</t>
  </si>
  <si>
    <t>Em cima da mesa no limite esquerdo da mesa — posição 2,5cm de extermidade</t>
  </si>
  <si>
    <t>ros2 topic pub --once /obstaculo_cmd std_msgs/msg/String "{data: 'ADD B OBS_H 0.5770 0.7570 -0.1800'}"</t>
  </si>
  <si>
    <t>OBS_H_P3</t>
  </si>
  <si>
    <t>Em cima da mesa  encostado  à parede direita -posição 3</t>
  </si>
  <si>
    <t>ros2 topic pub --once /obstaculo_cmd std_msgs/msg/String "{data: 'ADD C OBS_H 1.4500 -0.1200 -0.1800'}"</t>
  </si>
  <si>
    <t>OBS_V_P1</t>
  </si>
  <si>
    <t>Caixa de sapatos vertical</t>
  </si>
  <si>
    <t>Em cima da mesa centrada— posição vertical 1 Medidas:centro nos 90cm riscas do meio a bater</t>
  </si>
  <si>
    <t>ros2 topic pub --once /obstaculo_cmd std_msgs/msg/String "{data: 'ADD D OBS_V 1.0170 0.3220 -0.0625'}"</t>
  </si>
  <si>
    <t>OBS_V_P2</t>
  </si>
  <si>
    <t xml:space="preserve">Em cima da mesa na extermidade esquerda da mesa — posição vertical 2 EXTERMIDADE ESQUERDA A 8,5CM </t>
  </si>
  <si>
    <t>ros2 topic pub --once /obstaculo_cmd std_msgs/msg/String "{data: 'ADD E OBS_V 0.4950 0.8450 -0.0625'}"</t>
  </si>
  <si>
    <t>OBS_H_P4</t>
  </si>
  <si>
    <t>Em cima da mesa centrada— posição horizontal 4</t>
  </si>
  <si>
    <t>ros2 topic pub --once /obstaculo_cmd std_msgs/msg/String "{data: 'ADD F OBS_H 1.0200 0.3200 -0.1800'}"</t>
  </si>
  <si>
    <t>OBS_H_P5</t>
  </si>
  <si>
    <t>Em cima da mesa no limite esquerdo da mesa — posição 5</t>
  </si>
  <si>
    <t>ros2 topic pub --once /obstaculo_cmd std_msgs/msg/String "{data: 'ADD G OBS_H 0.5770 0.7570 -0.0590'}"</t>
  </si>
  <si>
    <t>Plano de testes com obstáculos — TM12 real + RViz/MoveIt — Caixa horizontal e vertical</t>
  </si>
  <si>
    <t>ID TESTE</t>
  </si>
  <si>
    <t>Tipo de teste</t>
  </si>
  <si>
    <t>Objetivo do teste</t>
  </si>
  <si>
    <t>ID obstáculo</t>
  </si>
  <si>
    <t>Onde colocar o objeto</t>
  </si>
  <si>
    <t>Comandos da sequência</t>
  </si>
  <si>
    <t>Resultado esperado</t>
  </si>
  <si>
    <t>Resultado obtido comando</t>
  </si>
  <si>
    <t>Resultado</t>
  </si>
  <si>
    <t>Observações</t>
  </si>
  <si>
    <t>Colisão evitada?</t>
  </si>
  <si>
    <t>Trajetória alterada?</t>
  </si>
  <si>
    <t>Nº de tentativas</t>
  </si>
  <si>
    <t>O01</t>
  </si>
  <si>
    <t>Visualização</t>
  </si>
  <si>
    <t>Criar OBS_H na posição 1 e confirmar coincidência com a caixa física horizontal.</t>
  </si>
  <si>
    <t>Em cima da mesa, caixa horizontal, posição 1.</t>
  </si>
  <si>
    <t>Obstáculo visível no RViz e coincidente com a caixa real.</t>
  </si>
  <si>
    <t>Obstáculo visível no RViz</t>
  </si>
  <si>
    <t>✓ Sucesso visual</t>
  </si>
  <si>
    <t>Trajetória feita com sucesso sem colisão; desvia-se em vez de seguir em linha reta.</t>
  </si>
  <si>
    <t>-</t>
  </si>
  <si>
    <t>O02</t>
  </si>
  <si>
    <t>Bloqueio</t>
  </si>
  <si>
    <t>Validar que o robô não atravessa a caixa horizontal na posição 1.</t>
  </si>
  <si>
    <t>Mesmo posicionamento do O01.</t>
  </si>
  <si>
    <t>ros2 topic pub --once /target_pose geometry_msgs/msg/PoseStamped "{header: {frame_id: 'base'}, pose: {position: {x: 0.932, y: 0.239, z: -0.180}, orientation: {x: 0.0, y: 1.0, z: 0.0, w: 0.0}}}"
ros2 topic pub --once /tm12_step std_msgs/msg/String "{data: 'IR_POSE'}"</t>
  </si>
  <si>
    <t>ERROR MOVE_FAILED ou planeamento rejeitado de forma segura.</t>
  </si>
  <si>
    <t>ERRO MOVE_FAILED falha na descida</t>
  </si>
  <si>
    <t>✓ Bloqueio seguro</t>
  </si>
  <si>
    <t>Erro esperado na descida por colisão com o objeto. TESTE DE SEGURANÇA APROVADO</t>
  </si>
  <si>
    <t>SIM</t>
  </si>
  <si>
    <t>NÃO</t>
  </si>
  <si>
    <t>O03</t>
  </si>
  <si>
    <t>Contorno</t>
  </si>
  <si>
    <t>Executar movimento de um lado para o outro da caixa horizontal na posição 1.</t>
  </si>
  <si>
    <t>ros2 topic pub --once /target_pose geometry_msgs/msg/PoseStamped "{header: {frame_id: 'base'}, pose: {position: {x: 1.050, y: -0.050, z: -0.140}, orientation: {x: 0.0, y: 1.0, z: 0.0, w: 0.0}}}"
ros2 topic pub --once /tm12_step std_msgs/msg/String "{data: 'IR_POSE'}"
ros2 topic pub --once /target_pose geometry_msgs/msg/PoseStamped "{header: {frame_id: 'base'}, pose: {position: {x: 0.700, y: 0.320, z: -0.140}, orientation: {x: 0.0, y: 1.0, z: 0.0, w: 0.0}}}"
ros2 topic pub --once /tm12_step std_msgs/msg/String "{data: 'IR_POSE'}"</t>
  </si>
  <si>
    <t>OK MOVE_DONE com trajetória desviada e sem tocar no obstáculo.</t>
  </si>
  <si>
    <t xml:space="preserve">OK MOVE_DONE </t>
  </si>
  <si>
    <t>✓ Sucesso execução</t>
  </si>
  <si>
    <t>O04</t>
  </si>
  <si>
    <t>Repetição contorno</t>
  </si>
  <si>
    <t>Repetir O03 para confirmar consistência do planeamento com OBS_H_P1.</t>
  </si>
  <si>
    <t>Repetir sequência do O03.</t>
  </si>
  <si>
    <t>OK MOVE_DONE.</t>
  </si>
  <si>
    <t>----</t>
  </si>
  <si>
    <t>O05</t>
  </si>
  <si>
    <t>Criar OBS_H numa segunda posição da mesa e confirmar coincidência RViz/real.</t>
  </si>
  <si>
    <t>Em cima da mesa, posição 2 lateral.</t>
  </si>
  <si>
    <t>ros2 topic pub --once /obstaculo_cmd std_msgs/msg/String "{data: 'CLEAR'}"
ros2 topic pub --once /obstaculo_cmd std_msgs/msg/String "{data: 'ADD B OBS_H 0.5770 0.7570 -0.1800'}"</t>
  </si>
  <si>
    <t>Obstáculo visível e coincidente na nova posição.</t>
  </si>
  <si>
    <t>O06</t>
  </si>
  <si>
    <t>Validar bloqueio na posição 2.</t>
  </si>
  <si>
    <t>Mesmo posicionamento do O05.</t>
  </si>
  <si>
    <t>ros2 topic pub --once /target_pose geometry_msgs/msg/PoseStamped "{header: {frame_id: 'base'}, pose: {position: {x: 0.577, y: 0.757, z: -0.180}, orientation: {x: 0.0, y: 1.0, z: 0.0, w: 0.0}}}"
ros2 topic pub --once /tm12_step std_msgs/msg/String "{data: 'IR_POSE'}"</t>
  </si>
  <si>
    <t>ERROR MOVE_FAILED ou falha segura na descida.</t>
  </si>
  <si>
    <t>O07</t>
  </si>
  <si>
    <t>Executar contorno da caixa na posição 2.</t>
  </si>
  <si>
    <t>ros2 topic pub --once /target_pose geometry_msgs/msg/PoseStamped "{header: {frame_id: 'base'}, pose: {position: {x: 0.88, y: 0.45, z: -0.10}, orientation: {x: 0.0, y: 1.0, z: 0.0, w: 0.0}}}"
ros2 topic pub --once /tm12_step std_msgs/msg/String "{data: 'IR_POSE'}"
ros2 topic pub --once /target_pose geometry_msgs/msg/PoseStamped "{header: {frame_id: 'base'}, pose: {position: {x: 0.390, y: 0.930, z: -0.140}, orientation: {x: 0.0, y: 1.0, z: 0.0, w: 0.0}}}"
ros2 topic pub --once /tm12_step std_msgs/msg/String "{data: 'IR_POSE'}"</t>
  </si>
  <si>
    <t>OK MOVE_DONE com desvio e sem colisão.</t>
  </si>
  <si>
    <t>O08</t>
  </si>
  <si>
    <t>Repetir O07 para verificar consistência noutra posição.</t>
  </si>
  <si>
    <t>Repetir sequência do O07.</t>
  </si>
  <si>
    <t>O09</t>
  </si>
  <si>
    <t>Criar OBS_H numa terceira posição da mesa.</t>
  </si>
  <si>
    <t>Em cima da mesa, posição 3 mais avançada/lateral.</t>
  </si>
  <si>
    <t>ros2 topic pub --once /obstaculo_cmd std_msgs/msg/String "{data: 'CLEAR'}"
ros2 topic pub --once /obstaculo_cmd std_msgs/msg/String "{data: 'ADD C OBS_H 1.4500 -0.1200 -0.1800'}"</t>
  </si>
  <si>
    <t>Obstáculo visível e coincidente na terceira posição.</t>
  </si>
  <si>
    <t>O10</t>
  </si>
  <si>
    <t>Validar bloqueio na posição 3.</t>
  </si>
  <si>
    <t>Mesmo posicionamento do O09.</t>
  </si>
  <si>
    <t>ros2 topic pub --once /target_pose geometry_msgs/msg/PoseStamped "{header: {frame_id: 'base'}, pose: {position: {x: 1.250, y: -0.12, z: -0.180}, orientation: {x: 0.0, y: 1.0, z: 0.0, w: 0.0}}}"                                                                                              ros2 topic pub --once /tm12_step std_msgs/msg/String "{data: 'IR_POSE'}"</t>
  </si>
  <si>
    <t xml:space="preserve">ERRO MOVE_FAILED </t>
  </si>
  <si>
    <t>O11</t>
  </si>
  <si>
    <t>Criar OBS_V na posição vertical 1 e confirmar coincidência RViz/real.</t>
  </si>
  <si>
    <t>Em cima da mesa, caixa em pé, posição 1.</t>
  </si>
  <si>
    <t>ros2 topic pub --once /obstaculo_cmd std_msgs/msg/String "{data: 'CLEAR'}"
ros2 topic pub --once /obstaculo_cmd std_msgs/msg/String "{data: 'ADD D OBS_V 1.0170 0.3220 -0.0625'}"</t>
  </si>
  <si>
    <t>Obstáculo vertical visível no RViz e coincidente com a caixa real.</t>
  </si>
  <si>
    <t>O12</t>
  </si>
  <si>
    <t>Validar que o robô não atravessa a caixa vertical na posição 1.</t>
  </si>
  <si>
    <t>Mesmo posicionamento do O11.</t>
  </si>
  <si>
    <t>ros2 topic pub --once /target_pose geometry_msgs/msg/PoseStamped "{header: {frame_id: 'base'}, pose: {position: {x: 1.017, y: 0.322, z: -0.0625}, orientation: {x: 0.0, y: 1.0, z: 0.0, w: 0.0}}}"
ros2 topic pub --once /tm12_step std_msgs/msg/String "{data: 'IR_POSE'}"</t>
  </si>
  <si>
    <t>O13</t>
  </si>
  <si>
    <t>Executar movimento de um lado para o outro da caixa vertical na posição 1.</t>
  </si>
  <si>
    <t>ros2 topic pub --once /target_pose geometry_msgs/msg/PoseStamped "{header: {frame_id: 'base'}, pose: {position: {x: 1.21, y: 0.11, z: -0.02}, orientation: {x: 0.0, y: 1.0, z: 0.0, w: 0.0}}}"
ros2 topic pub --once /tm12_step std_msgs/msg/String "{data: 'IR_POSE'}"
ros2 topic pub --once /target_pose geometry_msgs/msg/PoseStamped "{header: {frame_id: 'base'}, pose: {position: {x: 0.88, y: 0.48, z: -0.03}, orientation: {x: 0.0, y: 1.0, z: 0.0, w: 0.0}}}"
ros2 topic pub --once /tm12_step std_msgs/msg/String "{data: 'IR_POSE'}"</t>
  </si>
  <si>
    <t>O14</t>
  </si>
  <si>
    <t>Repetir O13 para confirmar consistência do planeamento com OBS_V_P1.</t>
  </si>
  <si>
    <t>Repetir sequência do O13.</t>
  </si>
  <si>
    <t>O15</t>
  </si>
  <si>
    <t>Criar OBS_V numa segunda posição vertical da mesa e confirmar coincidência RViz/real.</t>
  </si>
  <si>
    <t>Em cima da mesa, caixa em pé, posição 2.</t>
  </si>
  <si>
    <t>ros2 topic pub --once /obstaculo_cmd std_msgs/msg/String "{data: 'CLEAR'}"
ros2 topic pub --once /obstaculo_cmd std_msgs/msg/String "{data: 'ADD E OBS_V 0.4950 0.8450 -0.0625'}"</t>
  </si>
  <si>
    <t>O16</t>
  </si>
  <si>
    <t>Validar bloqueio da caixa vertical na posição 2.</t>
  </si>
  <si>
    <t>Mesmo posicionamento do O15.</t>
  </si>
  <si>
    <t>ros2 topic pub --once /target_pose geometry_msgs/msg/PoseStamped "{header: {frame_id: 'base'}, pose: {position: {x: 0.495, y: 0.845, z: -0.0625}, orientation: {x: 0.0, y: 1.0, z: 0.0, w: 0.0}}}"
ros2 topic pub --once /tm12_step std_msgs/msg/String "{data: 'IR_POSE'}"</t>
  </si>
  <si>
    <t>O17</t>
  </si>
  <si>
    <t>Executar contorno da caixa vertical na posição 2.</t>
  </si>
  <si>
    <t>ros2 topic pub --once /target_pose geometry_msgs/msg/PoseStamped "{header: {frame_id: 'base'}, pose: {position: {x: 0.72, y: 0.63, z: -0.03}, orientation: {x: 0.0, y: 1.0, z: 0.0, w: 0.0}}}"
ros2 topic pub --once /tm12_step std_msgs/msg/String "{data: 'IR_POSE'}"
ros2 topic pub --once /target_pose geometry_msgs/msg/PoseStamped "{header: {frame_id: 'base'}, pose: {position: {x: 0.25, y: 0.97, z: -0.05}, orientation: {x: 0.0, y: 1.0, z: 0.0, w: 0.0}}}"
ros2 topic pub --once /tm12_step std_msgs/msg/String "{data: 'IR_POSE'}"</t>
  </si>
  <si>
    <t>OK MOVE_DONE com trajetória desviada.</t>
  </si>
  <si>
    <t>O18</t>
  </si>
  <si>
    <t>Repetir O17 para confirmar consistência do planeamento com OBS_V_P2.</t>
  </si>
  <si>
    <t>Repetir sequência do O17.</t>
  </si>
  <si>
    <t>Dois obstáculos na mesma cena</t>
  </si>
  <si>
    <t>O19</t>
  </si>
  <si>
    <t>Desvio de trajetória sem colisão</t>
  </si>
  <si>
    <t>Mostrar contorno pelos 2 objetos</t>
  </si>
  <si>
    <t>OBS_V_P1 + OBS_V_P2</t>
  </si>
  <si>
    <t>Posição 1 e 2 das caixas verticais</t>
  </si>
  <si>
    <t>ros2 topic pub --once /obstaculo_cmd std_msgs/msg/String "{data: 'ADD D OBS_V 1.0170 0.3220 -0.0625'}"                                                                                                                                                                                                                                                                                    ros2 topic pub --once /obstaculo_cmd std_msgs/msg/String "{data: 'ADD E OBS_V 0.4950 0.8450 -0.0625'}"                                                                                                                                                                                                                                                                                      ros2 topic pub --once /target_pose geometry_msgs/msg/PoseStamped "{header: {frame_id: 'base'}, pose: {position: {x: 0.223, y: 1.140, z: 0.037}, orientation: {x: -0.12164731150558128, y: 0.7417252259015115, z: -0.1309097106398482, w: 0.6464582496379847}}}"
ros2 topic pub --once /tm12_step std_msgs/msg/String "{data: 'IR_POSE'}"
ros2 topic pub --once /target_pose geometry_msgs/msg/PoseStamped "{header: {frame_id: 'base'}, pose: {position: {x: 0.883, y: 0.587, z: 0.051}, orientation: {x: 0.47930059157978466, y: 0.8494841402145467, z: 0.2205587952337683, w: -0.0012067643720697907}}}"
ros2 topic pub --once /tm12_step std_msgs/msg/String "{data: 'IR_POSE'}"                                                                                                                                                                                                                                                                                                                                                                 ros2 topic pub --once /target_pose geometry_msgs/msg/PoseStamped "{header: {frame_id: 'base'}, pose: {position: {x: 1.15, y: -0.05, z: 0.05}, orientation: {x: -0.7730392009226255, y: -0.6182865791650175, z: 0.11703008521554474, w: 0.08022505229522497}}}"
ros2 topic pub --once /tm12_step std_msgs/msg/String "{data: 'IR_POSE'}"</t>
  </si>
  <si>
    <t>O20 (CORREDOR ESTREITO)</t>
  </si>
  <si>
    <t>OBS_H_P4 + OBS_H_P2</t>
  </si>
  <si>
    <t>Posição 2 e 4 da caixa horizontal</t>
  </si>
  <si>
    <t>ros2 topic pub --once /obstaculo_cmd std_msgs/msg/String "{data: 'ADD F OBS_H 1.0200 0.3200 -0.1800'}"                                                                                                                                                                                                                                                                                       ros2 topic pub --once /obstaculo_cmd std_msgs/msg/String "{data: 'ADD B OBS_H 0.5770 0.7570 -0.1800'}"                                                                                                                                                                                                                                                                                      ros2 topic pub --once /target_pose geometry_msgs/msg/PoseStamped "{header: {frame_id: 'base'}, pose: {position: {x: 0.339, y: 0.954, z: -0.049}, orientation: {x: -0.19048426829942827, y: -0.9724934308561571, z: 0.1332808507788149, w: -0.01443901962488419}}}"
ros2 topic pub --once /tm12_step std_msgs/msg/String "{data: 'IR_POSE'}"
ros2 topic pub --once /target_pose geometry_msgs/msg/PoseStamped "{header: {frame_id: 'base'}, pose: {position: {x: 0.828, y: 0.631, z: -0.080}, orientation: {x: -0.46234949028963895, y: -0.8776495638375028, z: 0.12437648489733448, w: 0.022241446206014523}}}"
ros2 topic pub --once /tm12_step std_msgs/msg/String "{data: 'IR_POSE'}"
ros2 topic pub --once /target_pose geometry_msgs/msg/PoseStamped "{header: {frame_id: 'base'}, pose: {position: {x: 1.201, y: 0.005, z: -0.086}, orientation: {x: -0.7315420258177688, y: -0.6816260642905323, z: 0.014026416482747238, w: -0.0059525274368440045}}}" 
ros2 topic pub --once /tm12_step std_msgs/msg/String "{data: 'IR_POSE'}"</t>
  </si>
  <si>
    <t>O21</t>
  </si>
  <si>
    <t xml:space="preserve">Contorno </t>
  </si>
  <si>
    <t>Mostrar contorno pelos 2 objetos(um em cima do outro para dar mais altura)</t>
  </si>
  <si>
    <t>OBS_H_P2 + OBS_H_P5</t>
  </si>
  <si>
    <t>Posição 2 e 5 horizontal</t>
  </si>
  <si>
    <t>ros2 topic pub --once /obstaculo_cmd std_msgs/msg/String "{data: 'ADD G OBS_H 0.5770 0.7570 -0.0590'}"                                                                                                                                                                                                                                                                                      ros2 topic pub --once /obstaculo_cmd std_msgs/msg/String "{data: 'ADD B OBS_H 0.5770 0.7570 -0.1800'}"                                                                                                                                                                
 ros2 topic pub --once /target_pose geometry_msgs/msg/PoseStamped "{header: {frame_id: 'base'}, pose: {position: {x: 0.792, y: 0.964, z: 0.058}, orientation: {x: 0.3684941753801578, y: 0.9048163675734938, z: 0.2074448309317149, w: 0.04986006219127582}}}"
ros2 topic pub --once /tm12_step std_msgs/msg/String "{data: 'IR_POSE'}"</t>
  </si>
  <si>
    <t>O22</t>
  </si>
  <si>
    <t>Controlo sem obstáculos</t>
  </si>
  <si>
    <t>Executar a mesma trajetória de O03 sem qualquer obstáculo, criando a referência para comparar métricas</t>
  </si>
  <si>
    <t>SEM_OBSTACULOS</t>
  </si>
  <si>
    <t>Retirar fisicamente as caixas da zona de trabalho e confirmar que a planning scene está vazia.</t>
  </si>
  <si>
    <t>ros2 topic pub --once /obstaculo_cmd std_msgs/msg/String "{data: 'CLEAR'}"
ros2 topic pub --once /target_pose geometry_msgs/msg/PoseStamped "{header: {frame_id: 'base'}, pose: {position: {x: 1.050, y: -0.050, z: -0.140}, orientation: {x: 0.0, y: 1.0, z: 0.0, w: 0.0}}}"
ros2 topic pub --once /tm12_step std_msgs/msg/String "{data: 'IR_POSE'}"
ros2 topic pub --once /target_pose geometry_msgs/msg/PoseStamped "{header: {frame_id: 'base'}, pose: {position: {x: 0.700, y: 0.320, z: -0.140}, orientation: {x: 0.0, y: 1.0, z: 0.0, w: 0.0}}}"
ros2 topic pub --once /tm12_step std_msgs/msg/String "{data: 'IR_POSE'}"</t>
  </si>
  <si>
    <t>Usar exatamente as mesmas poses, planeador, tolerâncias e fatores de velocidade/aceleração usados no cenário com obstáculo.</t>
  </si>
  <si>
    <t>Não</t>
  </si>
  <si>
    <t>Métricas</t>
  </si>
  <si>
    <t>O20</t>
  </si>
  <si>
    <t>O22 (IGUAL A O03 MAS S/OBSTÁCULO)</t>
  </si>
  <si>
    <t>MÉTRICAS</t>
  </si>
  <si>
    <t>IR_POSE1</t>
  </si>
  <si>
    <t>IR_POSE2</t>
  </si>
  <si>
    <t>IR_POSE3</t>
  </si>
  <si>
    <t>Diferença entre físico e simulado</t>
  </si>
  <si>
    <t>Simulação</t>
  </si>
  <si>
    <t>Físico</t>
  </si>
  <si>
    <t>Tempo de Planeamento (s)</t>
  </si>
  <si>
    <t>Tempo de Execução (s)</t>
  </si>
  <si>
    <t>Tempo Total de ciclo (s)</t>
  </si>
  <si>
    <t>Pose X alvo (m)</t>
  </si>
  <si>
    <t>Pose Y alvo (m)</t>
  </si>
  <si>
    <t>Pose Z alvo (m)</t>
  </si>
  <si>
    <t>Pose X real (m)</t>
  </si>
  <si>
    <t>Pose Y real (m)</t>
  </si>
  <si>
    <t>Pose Z real (m)</t>
  </si>
  <si>
    <t>Erro de pose X (mm)</t>
  </si>
  <si>
    <t>Erro de pose Y (mm)</t>
  </si>
  <si>
    <t>Erro de pose Z (mm)</t>
  </si>
  <si>
    <t>Erro euclidiano de pose (mm)</t>
  </si>
  <si>
    <t>Trajetória visualmente coerente</t>
  </si>
  <si>
    <t>-----</t>
  </si>
  <si>
    <t>coincide</t>
  </si>
  <si>
    <t>---</t>
  </si>
  <si>
    <t>Os testes de segurança mostram um erro de pose elevado mas não são considerados erros de posicionamento pois o robô bloqueia para não colidir com os objetos</t>
  </si>
  <si>
    <t>Quando a orientação não é 0 1 0 0 há um erro em todos os eixos que tem a ver com as diferenças do tcp porque o mbiente simulado encontra-se rodado 45°</t>
  </si>
  <si>
    <t>Métricas com Correção do TCP</t>
  </si>
  <si>
    <t>Definiu-se um TCP no TMFlow com 5cm na cordenada Z</t>
  </si>
  <si>
    <t>1ª Execução</t>
  </si>
  <si>
    <t>2ª Execução</t>
  </si>
  <si>
    <t>Planner</t>
  </si>
  <si>
    <t>Tempo planeamento (s)</t>
  </si>
  <si>
    <t>Tempo execução (s)</t>
  </si>
  <si>
    <t>Tempo total (s)</t>
  </si>
  <si>
    <t>Nº de pontos da trajetória planeados</t>
  </si>
  <si>
    <t>Comprimento trajetória planeada (m)</t>
  </si>
  <si>
    <t>Sucesso/Falha</t>
  </si>
  <si>
    <t>Comprimento cartesiano TCP (m)</t>
  </si>
  <si>
    <t>O03_1</t>
  </si>
  <si>
    <t>RRTConnect</t>
  </si>
  <si>
    <t>✓</t>
  </si>
  <si>
    <t>RRTstar</t>
  </si>
  <si>
    <t>PRMstar</t>
  </si>
  <si>
    <t>O03_2</t>
  </si>
  <si>
    <t>Replaneou a meio</t>
  </si>
  <si>
    <t>Planeadores</t>
  </si>
  <si>
    <t>O07_1</t>
  </si>
  <si>
    <t>planner_id: "RRTConnectkConfigDefault",</t>
  </si>
  <si>
    <t>planner_id: "RRTstarkConfigDefault",</t>
  </si>
  <si>
    <t>planner_id: "PRMstarkConfigDefault",</t>
  </si>
  <si>
    <t>O07_2</t>
  </si>
  <si>
    <t>⮾</t>
  </si>
  <si>
    <t>tcp exceeds limit</t>
  </si>
  <si>
    <t>O13_1</t>
  </si>
  <si>
    <t>O13_2</t>
  </si>
  <si>
    <t>Tempo 
planeamento (s)</t>
  </si>
  <si>
    <t>Tempo
 execução(s)</t>
  </si>
  <si>
    <t>Tempo 
total (s)</t>
  </si>
  <si>
    <t>Pontos
 planeados</t>
  </si>
  <si>
    <t>Comprimento 
cartesiano TCP (m)</t>
  </si>
  <si>
    <t>Pontos 
planeados</t>
  </si>
  <si>
    <t>Comprimento
 cartesiano TCP (m)</t>
  </si>
  <si>
    <t>O17_1</t>
  </si>
  <si>
    <t>O17_2</t>
  </si>
  <si>
    <t>O19_1</t>
  </si>
  <si>
    <t>O19_2</t>
  </si>
  <si>
    <t>O19_3</t>
  </si>
  <si>
    <t>O20_1</t>
  </si>
  <si>
    <t>O20_2</t>
  </si>
  <si>
    <t>O20_3</t>
  </si>
  <si>
    <t>O22_1</t>
  </si>
  <si>
    <t>O22_2</t>
  </si>
  <si>
    <t>3ª Execução</t>
  </si>
  <si>
    <t>4ª Execução</t>
  </si>
  <si>
    <t>Replaneou</t>
  </si>
  <si>
    <t>5ª Execução</t>
  </si>
  <si>
    <t>tcp speed exceeds limit</t>
  </si>
  <si>
    <t>Ciclo parou em O19_2</t>
  </si>
  <si>
    <t>Resumo dos testes com obstáculos — caixa horizontal e vertical</t>
  </si>
  <si>
    <t>Teste de Obstáculos</t>
  </si>
  <si>
    <t>Sucesso de Comando /Comunicação</t>
  </si>
  <si>
    <t>Sucesso de Movimento</t>
  </si>
  <si>
    <t>Sucesso de Ciclo</t>
  </si>
  <si>
    <t>Sucesso de Teste de Seurança (Bloqueios por colisão)</t>
  </si>
  <si>
    <t>Falha de Planeamento</t>
  </si>
  <si>
    <t>Falha de Execução</t>
  </si>
  <si>
    <t>Falha de Comunicação</t>
  </si>
  <si>
    <t>Total de testes</t>
  </si>
  <si>
    <t>Falhas</t>
  </si>
  <si>
    <t>Sucessos</t>
  </si>
  <si>
    <t>Taxa de Sucesso</t>
  </si>
  <si>
    <t>Planeador</t>
  </si>
  <si>
    <t>Sucessos (✓)</t>
  </si>
  <si>
    <t>Falhas (✗)</t>
  </si>
  <si>
    <t>Taxa (%)</t>
  </si>
  <si>
    <t>Tempo Médio Total  (s)</t>
  </si>
  <si>
    <t>Comprimento médio 
da trajetória cartesiano do TCP (m)</t>
  </si>
  <si>
    <t>Média do nº de pontos planeados</t>
  </si>
  <si>
    <t>Tempo médio
de planeamento (s)</t>
  </si>
  <si>
    <t>Tempo médio
de execução (s)</t>
  </si>
  <si>
    <t xml:space="preserve">TOTAL </t>
  </si>
  <si>
    <t>Teste de Métricas</t>
  </si>
  <si>
    <t>Erro Médio de Pose X (mm)</t>
  </si>
  <si>
    <t>Erro Médio de Pose Y (mm)</t>
  </si>
  <si>
    <t>Erro Médio de Pose Z (mm)</t>
  </si>
  <si>
    <t>Erro Médio
 Euclidiano de Pose (mm)</t>
  </si>
  <si>
    <t>Distância média ao obstáculo nos testes de bloqueio (mm)</t>
  </si>
  <si>
    <t>Tempo médio de execução (s)</t>
  </si>
  <si>
    <t>Tempo médio de planemento (s)</t>
  </si>
  <si>
    <t>Tempo médio total (s)</t>
  </si>
  <si>
    <t>TCP na flange</t>
  </si>
  <si>
    <t>TCP com offset de 50mm como na simulação</t>
  </si>
  <si>
    <t>Análise detalhada, estatísticas, gráficos e discussão: consultar a folha «Análise Estatística».</t>
  </si>
  <si>
    <t>Execução</t>
  </si>
  <si>
    <t>Teste</t>
  </si>
  <si>
    <t>t_plan (s)</t>
  </si>
  <si>
    <t>t_exec (s)</t>
  </si>
  <si>
    <t>t_total (s)</t>
  </si>
  <si>
    <t>Comprimento TCP (m)</t>
  </si>
  <si>
    <t>Pontos</t>
  </si>
  <si>
    <t>Tipo</t>
  </si>
  <si>
    <t>IR_POSE</t>
  </si>
  <si>
    <t>Distância mínima (mm)</t>
  </si>
  <si>
    <t>Grupo</t>
  </si>
  <si>
    <t>Ponto</t>
  </si>
  <si>
    <t>X flange (mm)</t>
  </si>
  <si>
    <t>Y flange (mm)</t>
  </si>
  <si>
    <t>Z flange (mm)</t>
  </si>
  <si>
    <t>Euclidiano flange (mm)</t>
  </si>
  <si>
    <t>X TCP corrigido (mm)</t>
  </si>
  <si>
    <t>Y TCP corrigido (mm)</t>
  </si>
  <si>
    <t>Z TCP corrigido (mm)</t>
  </si>
  <si>
    <t>Euclidiano corrigido (mm)</t>
  </si>
  <si>
    <t>Redução do erro</t>
  </si>
  <si>
    <t>IR_POSE 1</t>
  </si>
  <si>
    <t>Contorno/desvio</t>
  </si>
  <si>
    <t>IR_POSE 2</t>
  </si>
  <si>
    <t>IR_POSE 3</t>
  </si>
  <si>
    <t>ANÁLISE ESTATÍSTICA — OBSTÁCULOS E PLANEADORES TM12</t>
  </si>
  <si>
    <t>Tempo total médio (s)</t>
  </si>
  <si>
    <t>Ensaios</t>
  </si>
  <si>
    <t>Taxa de sucesso</t>
  </si>
  <si>
    <t>Replaneamentos</t>
  </si>
  <si>
    <t>TOTAL</t>
  </si>
  <si>
    <t>Tempo médio de planeamento (s)</t>
  </si>
  <si>
    <t>Métrica</t>
  </si>
  <si>
    <t>n</t>
  </si>
  <si>
    <t>Média</t>
  </si>
  <si>
    <t>Desvio padrão</t>
  </si>
  <si>
    <t>Mínimo</t>
  </si>
  <si>
    <t>Máximo</t>
  </si>
  <si>
    <t>Unidade</t>
  </si>
  <si>
    <t>Tempo de planeamento</t>
  </si>
  <si>
    <t>s</t>
  </si>
  <si>
    <t>Tempo de execução</t>
  </si>
  <si>
    <t>Tempo total</t>
  </si>
  <si>
    <t>Comprimento cartesiano TCP</t>
  </si>
  <si>
    <t>m</t>
  </si>
  <si>
    <t>Menor distância registada (mm)</t>
  </si>
  <si>
    <t>Pontos planeados</t>
  </si>
  <si>
    <t>n.º</t>
  </si>
  <si>
    <t>Distâncias mínimas aos obstáculos</t>
  </si>
  <si>
    <t>Condição</t>
  </si>
  <si>
    <t>Erro euclidiano médio (mm)</t>
  </si>
  <si>
    <t>Média (mm)</t>
  </si>
  <si>
    <t>Desvio padrão (mm)</t>
  </si>
  <si>
    <t>Mínimo (mm)</t>
  </si>
  <si>
    <t>Máximo (mm)</t>
  </si>
  <si>
    <t>Mediana (mm)</t>
  </si>
  <si>
    <t>Total</t>
  </si>
  <si>
    <t>TCP corrigido</t>
  </si>
  <si>
    <t>Erro de pose: flange sem correção vs. TCP corrigido</t>
  </si>
  <si>
    <t>Erro X</t>
  </si>
  <si>
    <t>mm</t>
  </si>
  <si>
    <t>Erro Y</t>
  </si>
  <si>
    <t>Erro Z</t>
  </si>
  <si>
    <t>Erro euclidiano</t>
  </si>
  <si>
    <t>TCP corrigido (+50 mm)</t>
  </si>
  <si>
    <t>Discussão e interpretação dos resultados</t>
  </si>
  <si>
    <t>Nos ensaios com obstáculos, RRTConnect foi o único planeador com 100% de sucesso (85/85). RRTstar registou 3 falhas e PRMstar 6, sobretudo associadas a limites de velocidade/posição do TCP e à interrupção subsequente do ciclo.</t>
  </si>
  <si>
    <t>RRTstar obteve um tempo total médio ligeiramente inferior (3.828 s) ao de RRTConnect (3.878 s), mas com maior variabilidade e sem a mesma taxa de sucesso. Para operação real, a robustez do RRTConnect tem maior peso do que uma diferença média inferior a uma décima de segundo.</t>
  </si>
  <si>
    <t>A correção do TCP reduziu o erro euclidiano médio de 50.285 mm para 0.932 mm. O maior valor após correção foi 1.584 mm em O07_1. Os desvios residuais mais elevados permanecem inferiores a 1,6 mm e são compatíveis com tolerâncias de calibração do TCP, arredondamento das poses, orientação do efetuador e precisão do controlo real; não foi observada perda de segurança associada.</t>
  </si>
  <si>
    <t>A distância O10 (2017.6 mm) é um valor atípico e eleva a média global para 328.8 mm. Foi mantida por corresponder ao registo experimental, mas deve ser apresentada em conjunto com a mediana e revista quanto ao referencial e ao instante de captura da métrica antes da versão final da dissertação.</t>
  </si>
  <si>
    <t>Em conjunto, os resultados justificam a seleção do RRTConnect: método bidirecional adequado a consultas individuais, taxa de sucesso máxima nos cenários com obstáculos, menor dispersão do tempo total do que os restantes planeadores e ausência de falhas de planeamento/execução no conjunto de obstáculos.</t>
  </si>
  <si>
    <t>Critérios e fontes</t>
  </si>
  <si>
    <t>Cálculos: valores numéricos em falta são excluídos das estatísticas contínuas; todas as tentativas entram na taxa de sucesso. O desvio padrão é amostral (STDEV.S). Nos gráficos de distância usa-se o menor valor registado entre as IR_POSE de cada teste.</t>
  </si>
  <si>
    <t>Fonte dos dados: folhas originais do ficheiro experimental. Referência técnica: https://ompl.kavrakilab.org/classompl_1_1geometric_1_1RRTConnect.html | https://ompl.kavrakilab.org/planners.html</t>
  </si>
  <si>
    <t>Distância tcp- obstáculo na sua pose final— IR_POSE 1 (mm)</t>
  </si>
  <si>
    <t>Distância tcp- obstáculo na sua pose final — IR_POSE 2 (mm)</t>
  </si>
  <si>
    <t>Distância tcp- obstáculo na sua pose final — IR_POSE 3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</si>
</sst>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&quot;%&quot;"/>
    <numFmt numFmtId="165" formatCode="0.0000"/>
    <numFmt numFmtId="166" formatCode="0.00000"/>
    <numFmt numFmtId="167" formatCode="0.000"/>
    <numFmt numFmtId="168" formatCode="0.0"/>
    <numFmt numFmtId="169" formatCode="0.0%"/>
  </numFmts>
  <fonts count="19">
    <font>
      <sz val="11"/>
      <name val="Carlito"/>
    </font>
    <font>
      <b/>
      <sz val="11"/>
      <color rgb="FFFFFFFF"/>
      <name val="Carlito"/>
    </font>
    <font>
      <b/>
      <sz val="13"/>
      <color rgb="FFFFFFFF"/>
      <name val="Carlito"/>
    </font>
    <font>
      <b/>
      <sz val="11"/>
      <color rgb="FF000000"/>
      <name val="Carlito"/>
    </font>
    <font>
      <b/>
      <sz val="11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2"/>
      <color theme="0"/>
      <name val="Carlito"/>
    </font>
    <font>
      <sz val="11"/>
      <color theme="0"/>
      <name val="Carlito"/>
    </font>
    <font>
      <b/>
      <sz val="11"/>
      <color theme="0"/>
      <name val="Carlito"/>
    </font>
    <font>
      <sz val="9"/>
      <color rgb="FF1F2937"/>
      <name val="Carlito"/>
    </font>
    <font>
      <sz val="11"/>
      <name val="Aptos Narrow"/>
    </font>
    <font>
      <b/>
      <sz val="10"/>
      <color rgb="FFFFFFFF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sz val="10"/>
      <color rgb="FF222222"/>
      <name val="Carlito"/>
    </font>
    <font>
      <sz val="9"/>
      <color rgb="FF5B9BD5"/>
      <name val="Carlito"/>
    </font>
    <font>
      <i/>
      <sz val="11"/>
      <color rgb="FF1F4E78"/>
      <name val="Carlito"/>
    </font>
    <font>
      <sz val="11"/>
      <color rgb="FF1F2937"/>
      <name val="Carlito"/>
    </font>
  </fonts>
  <fills count="39">
    <fill>
      <patternFill patternType="none"/>
    </fill>
    <fill>
      <patternFill patternType="gray125"/>
    </fill>
    <fill>
      <patternFill patternType="solid">
        <fgColor rgb="FF5B9BD5"/>
      </patternFill>
    </fill>
    <fill>
      <patternFill patternType="solid">
        <fgColor theme="4" tint="0.79985961485641044"/>
        <bgColor indexed="65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0"/>
      </patternFill>
    </fill>
    <fill>
      <patternFill patternType="solid">
        <fgColor theme="4" tint="0.79989013336588644"/>
        <bgColor indexed="65"/>
      </patternFill>
    </fill>
    <fill>
      <patternFill patternType="solid">
        <fgColor theme="0"/>
      </patternFill>
    </fill>
    <fill>
      <patternFill patternType="solid">
        <fgColor rgb="FF366092"/>
      </patternFill>
    </fill>
    <fill>
      <patternFill patternType="solid">
        <fgColor rgb="FFD4EDDA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3" tint="0.4998931852168340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D966"/>
      </patternFill>
    </fill>
    <fill>
      <patternFill patternType="solid">
        <fgColor theme="4"/>
      </patternFill>
    </fill>
    <fill>
      <patternFill patternType="solid">
        <fgColor theme="9" tint="0.79989013336588644"/>
        <bgColor indexed="65"/>
      </patternFill>
    </fill>
    <fill>
      <patternFill patternType="solid">
        <fgColor rgb="FFFFC000"/>
      </patternFill>
    </fill>
    <fill>
      <patternFill patternType="solid">
        <fgColor rgb="FFFFE07D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3" tint="0.89992980742820516"/>
        <bgColor indexed="65"/>
      </patternFill>
    </fill>
    <fill>
      <patternFill patternType="solid">
        <fgColor theme="3" tint="0.49992370372631001"/>
        <bgColor indexed="65"/>
      </patternFill>
    </fill>
    <fill>
      <patternFill patternType="solid">
        <fgColor theme="4" tint="-0.249977111117893"/>
        <bgColor indexed="65"/>
      </patternFill>
    </fill>
    <fill>
      <patternFill patternType="solid">
        <fgColor theme="4" tint="-0.49992370372631001"/>
        <bgColor indexed="65"/>
      </patternFill>
    </fill>
    <fill>
      <patternFill patternType="solid">
        <fgColor theme="0"/>
      </patternFill>
    </fill>
    <fill>
      <patternFill patternType="solid">
        <fgColor theme="4" tint="0.599932859279152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1F4E78"/>
      </patternFill>
    </fill>
    <fill>
      <patternFill patternType="solid">
        <fgColor rgb="FFED7D31"/>
      </patternFill>
    </fill>
    <fill>
      <patternFill patternType="solid">
        <fgColor rgb="FF70AD47"/>
      </patternFill>
    </fill>
    <fill>
      <patternFill patternType="solid">
        <fgColor rgb="FFD9EAF7"/>
      </patternFill>
    </fill>
    <fill>
      <patternFill patternType="solid">
        <fgColor rgb="FF66666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6B7280"/>
      </left>
      <right style="thin">
        <color rgb="FF6B7280"/>
      </right>
      <top style="thin">
        <color rgb="FF6B7280"/>
      </top>
      <bottom style="thin">
        <color rgb="FF6B728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</borders>
  <cellStyleXfs count="1">
    <xf numFmtId="0" fontId="0" fillId="0" borderId="1"/>
  </cellStyleXfs>
  <cellXfs count="156">
    <xf numFmtId="0" fontId="0" fillId="0" borderId="0" xfId="0" applyBorder="1"/>
    <xf numFmtId="0" fontId="0" fillId="0" borderId="0" xfId="0" applyBorder="1" applyAlignment="1">
      <alignment wrapText="1"/>
    </xf>
    <xf numFmtId="0" fontId="1" fillId="2" borderId="0" xfId="0" applyFont="1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0" borderId="1" xfId="0" applyFont="1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0" fillId="0" borderId="1" xfId="0" applyAlignment="1">
      <alignment wrapText="1"/>
    </xf>
    <xf numFmtId="0" fontId="0" fillId="0" borderId="1" xfId="0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/>
    </xf>
    <xf numFmtId="0" fontId="8" fillId="15" borderId="2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164" fontId="0" fillId="0" borderId="1" xfId="0" applyNumberFormat="1"/>
    <xf numFmtId="0" fontId="4" fillId="17" borderId="1" xfId="0" applyFont="1" applyFill="1"/>
    <xf numFmtId="164" fontId="4" fillId="17" borderId="1" xfId="0" applyNumberFormat="1" applyFont="1" applyFill="1"/>
    <xf numFmtId="0" fontId="2" fillId="0" borderId="0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167" fontId="0" fillId="0" borderId="2" xfId="0" applyNumberFormat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165" fontId="0" fillId="6" borderId="2" xfId="0" applyNumberFormat="1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6" borderId="0" xfId="0" applyFill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 wrapText="1"/>
    </xf>
    <xf numFmtId="10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wrapText="1"/>
    </xf>
    <xf numFmtId="0" fontId="9" fillId="14" borderId="2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165" fontId="0" fillId="0" borderId="2" xfId="0" applyNumberFormat="1" applyBorder="1" applyAlignment="1">
      <alignment horizontal="center"/>
    </xf>
    <xf numFmtId="0" fontId="0" fillId="0" borderId="1" xfId="0" applyAlignment="1">
      <alignment horizontal="center"/>
    </xf>
    <xf numFmtId="0" fontId="0" fillId="0" borderId="0" xfId="0" applyBorder="1" applyAlignment="1">
      <alignment horizontal="center"/>
    </xf>
    <xf numFmtId="0" fontId="7" fillId="0" borderId="1" xfId="0" applyFont="1" applyAlignment="1">
      <alignment vertical="center"/>
    </xf>
    <xf numFmtId="0" fontId="0" fillId="0" borderId="1" xfId="0" applyAlignment="1">
      <alignment vertical="center"/>
    </xf>
    <xf numFmtId="0" fontId="8" fillId="0" borderId="0" xfId="0" applyFont="1" applyBorder="1" applyAlignment="1">
      <alignment wrapText="1"/>
    </xf>
    <xf numFmtId="0" fontId="0" fillId="23" borderId="2" xfId="0" applyFill="1" applyBorder="1" applyAlignment="1">
      <alignment horizontal="center" vertical="center" wrapText="1"/>
    </xf>
    <xf numFmtId="0" fontId="0" fillId="23" borderId="8" xfId="0" applyFill="1" applyBorder="1" applyAlignment="1">
      <alignment horizontal="center" vertical="center" wrapText="1"/>
    </xf>
    <xf numFmtId="0" fontId="0" fillId="22" borderId="10" xfId="0" applyFill="1" applyBorder="1" applyAlignment="1">
      <alignment horizontal="center" vertical="center" wrapText="1"/>
    </xf>
    <xf numFmtId="0" fontId="8" fillId="25" borderId="10" xfId="0" applyFont="1" applyFill="1" applyBorder="1" applyAlignment="1">
      <alignment horizontal="center" vertical="center" wrapText="1"/>
    </xf>
    <xf numFmtId="0" fontId="8" fillId="24" borderId="2" xfId="0" applyFont="1" applyFill="1" applyBorder="1" applyAlignment="1">
      <alignment horizontal="center" vertical="center" wrapText="1"/>
    </xf>
    <xf numFmtId="0" fontId="0" fillId="27" borderId="2" xfId="0" applyFill="1" applyBorder="1" applyAlignment="1">
      <alignment horizontal="center" vertical="center" wrapText="1"/>
    </xf>
    <xf numFmtId="0" fontId="0" fillId="23" borderId="1" xfId="0" applyFill="1" applyAlignment="1">
      <alignment horizontal="center"/>
    </xf>
    <xf numFmtId="0" fontId="4" fillId="28" borderId="1" xfId="0" applyFont="1" applyFill="1" applyAlignment="1">
      <alignment horizontal="center" vertical="center"/>
    </xf>
    <xf numFmtId="0" fontId="9" fillId="26" borderId="1" xfId="0" applyFont="1" applyFill="1" applyAlignment="1">
      <alignment horizontal="center"/>
    </xf>
    <xf numFmtId="0" fontId="0" fillId="27" borderId="2" xfId="0" applyFill="1" applyBorder="1" applyAlignment="1">
      <alignment horizontal="center" vertical="center"/>
    </xf>
    <xf numFmtId="0" fontId="0" fillId="27" borderId="0" xfId="0" applyFill="1" applyBorder="1"/>
    <xf numFmtId="0" fontId="0" fillId="27" borderId="1" xfId="0" applyFill="1"/>
    <xf numFmtId="165" fontId="0" fillId="27" borderId="2" xfId="0" applyNumberFormat="1" applyFill="1" applyBorder="1" applyAlignment="1">
      <alignment horizontal="center" vertical="center" wrapText="1"/>
    </xf>
    <xf numFmtId="165" fontId="0" fillId="27" borderId="2" xfId="0" applyNumberFormat="1" applyFill="1" applyBorder="1" applyAlignment="1">
      <alignment horizontal="center" vertical="center"/>
    </xf>
    <xf numFmtId="0" fontId="1" fillId="10" borderId="1" xfId="0" applyFont="1" applyFill="1" applyAlignment="1">
      <alignment horizontal="center" vertical="center" wrapText="1"/>
    </xf>
    <xf numFmtId="0" fontId="0" fillId="23" borderId="2" xfId="0" applyFill="1" applyBorder="1"/>
    <xf numFmtId="0" fontId="4" fillId="0" borderId="1" xfId="0" applyFont="1" applyAlignment="1">
      <alignment horizontal="center" vertical="center"/>
    </xf>
    <xf numFmtId="0" fontId="9" fillId="0" borderId="1" xfId="0" applyFont="1" applyAlignment="1">
      <alignment horizontal="center"/>
    </xf>
    <xf numFmtId="0" fontId="1" fillId="0" borderId="1" xfId="0" applyFont="1" applyAlignment="1">
      <alignment horizontal="center" vertical="center" wrapText="1"/>
    </xf>
    <xf numFmtId="0" fontId="0" fillId="0" borderId="1" xfId="0" applyAlignment="1">
      <alignment horizontal="center" vertical="center"/>
    </xf>
    <xf numFmtId="0" fontId="0" fillId="27" borderId="12" xfId="0" applyFill="1" applyBorder="1" applyAlignment="1">
      <alignment horizontal="center" vertical="center" wrapText="1"/>
    </xf>
    <xf numFmtId="0" fontId="0" fillId="27" borderId="2" xfId="0" applyFill="1" applyBorder="1"/>
    <xf numFmtId="0" fontId="0" fillId="0" borderId="0" xfId="0" applyBorder="1" applyAlignment="1">
      <alignment horizontal="center" vertical="center"/>
    </xf>
    <xf numFmtId="0" fontId="11" fillId="0" borderId="2" xfId="0" applyFont="1" applyBorder="1"/>
    <xf numFmtId="0" fontId="0" fillId="29" borderId="2" xfId="0" applyFill="1" applyBorder="1"/>
    <xf numFmtId="165" fontId="0" fillId="28" borderId="2" xfId="0" applyNumberFormat="1" applyFill="1" applyBorder="1" applyAlignment="1">
      <alignment horizontal="center" vertical="center"/>
    </xf>
    <xf numFmtId="165" fontId="0" fillId="22" borderId="2" xfId="0" applyNumberFormat="1" applyFill="1" applyBorder="1" applyAlignment="1">
      <alignment horizontal="center" vertical="center"/>
    </xf>
    <xf numFmtId="165" fontId="0" fillId="27" borderId="2" xfId="0" applyNumberFormat="1" applyFill="1" applyBorder="1"/>
    <xf numFmtId="165" fontId="0" fillId="22" borderId="2" xfId="0" applyNumberFormat="1" applyFill="1" applyBorder="1"/>
    <xf numFmtId="0" fontId="11" fillId="27" borderId="2" xfId="0" applyFont="1" applyFill="1" applyBorder="1"/>
    <xf numFmtId="165" fontId="0" fillId="0" borderId="2" xfId="0" applyNumberFormat="1" applyBorder="1" applyAlignment="1">
      <alignment horizontal="left" vertical="center" wrapText="1"/>
    </xf>
    <xf numFmtId="0" fontId="3" fillId="30" borderId="13" xfId="0" applyFont="1" applyFill="1" applyBorder="1" applyAlignment="1">
      <alignment horizontal="center" vertical="center" wrapText="1"/>
    </xf>
    <xf numFmtId="165" fontId="0" fillId="31" borderId="13" xfId="0" applyNumberFormat="1" applyFill="1" applyBorder="1" applyAlignment="1">
      <alignment horizontal="center" vertical="center"/>
    </xf>
    <xf numFmtId="1" fontId="0" fillId="31" borderId="13" xfId="0" applyNumberFormat="1" applyFill="1" applyBorder="1" applyAlignment="1">
      <alignment horizontal="center" vertical="center"/>
    </xf>
    <xf numFmtId="165" fontId="0" fillId="31" borderId="13" xfId="0" applyNumberFormat="1" applyFill="1" applyBorder="1" applyAlignment="1">
      <alignment horizontal="center" vertical="center" wrapText="1"/>
    </xf>
    <xf numFmtId="165" fontId="10" fillId="31" borderId="13" xfId="0" applyNumberFormat="1" applyFont="1" applyFill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0" fontId="12" fillId="32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65" fontId="0" fillId="0" borderId="15" xfId="0" applyNumberFormat="1" applyBorder="1" applyAlignment="1">
      <alignment vertical="center"/>
    </xf>
    <xf numFmtId="165" fontId="0" fillId="0" borderId="16" xfId="0" applyNumberFormat="1" applyBorder="1" applyAlignment="1">
      <alignment vertical="center"/>
    </xf>
    <xf numFmtId="1" fontId="0" fillId="0" borderId="15" xfId="0" applyNumberFormat="1" applyBorder="1" applyAlignment="1">
      <alignment vertical="center"/>
    </xf>
    <xf numFmtId="1" fontId="0" fillId="0" borderId="16" xfId="0" applyNumberFormat="1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12" fillId="33" borderId="14" xfId="0" applyFont="1" applyFill="1" applyBorder="1" applyAlignment="1">
      <alignment horizontal="center" vertical="center" wrapText="1"/>
    </xf>
    <xf numFmtId="168" fontId="0" fillId="0" borderId="15" xfId="0" applyNumberFormat="1" applyBorder="1" applyAlignment="1">
      <alignment vertical="center"/>
    </xf>
    <xf numFmtId="168" fontId="0" fillId="0" borderId="16" xfId="0" applyNumberFormat="1" applyBorder="1" applyAlignment="1">
      <alignment vertical="center"/>
    </xf>
    <xf numFmtId="0" fontId="12" fillId="34" borderId="14" xfId="0" applyFont="1" applyFill="1" applyBorder="1" applyAlignment="1">
      <alignment horizontal="center" vertical="center" wrapText="1"/>
    </xf>
    <xf numFmtId="167" fontId="0" fillId="0" borderId="15" xfId="0" applyNumberFormat="1" applyBorder="1" applyAlignment="1">
      <alignment vertical="center"/>
    </xf>
    <xf numFmtId="167" fontId="0" fillId="0" borderId="16" xfId="0" applyNumberFormat="1" applyBorder="1" applyAlignment="1">
      <alignment vertical="center"/>
    </xf>
    <xf numFmtId="169" fontId="0" fillId="0" borderId="15" xfId="0" applyNumberFormat="1" applyBorder="1" applyAlignment="1">
      <alignment vertical="center"/>
    </xf>
    <xf numFmtId="169" fontId="0" fillId="0" borderId="16" xfId="0" applyNumberFormat="1" applyBorder="1" applyAlignment="1">
      <alignment vertical="center"/>
    </xf>
    <xf numFmtId="0" fontId="14" fillId="35" borderId="14" xfId="0" applyFont="1" applyFill="1" applyBorder="1" applyAlignment="1">
      <alignment vertical="center"/>
    </xf>
    <xf numFmtId="169" fontId="14" fillId="35" borderId="14" xfId="0" applyNumberFormat="1" applyFont="1" applyFill="1" applyBorder="1" applyAlignment="1">
      <alignment vertical="center"/>
    </xf>
    <xf numFmtId="1" fontId="14" fillId="35" borderId="14" xfId="0" applyNumberFormat="1" applyFont="1" applyFill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16" xfId="0" applyFont="1" applyBorder="1" applyAlignment="1">
      <alignment vertical="center"/>
    </xf>
    <xf numFmtId="0" fontId="12" fillId="36" borderId="14" xfId="0" applyFont="1" applyFill="1" applyBorder="1" applyAlignment="1">
      <alignment horizontal="center" vertical="center" wrapText="1"/>
    </xf>
    <xf numFmtId="0" fontId="0" fillId="38" borderId="2" xfId="0" applyFill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3" fillId="32" borderId="0" xfId="0" applyFont="1" applyFill="1" applyBorder="1" applyAlignment="1">
      <alignment horizontal="left" vertical="center"/>
    </xf>
    <xf numFmtId="0" fontId="14" fillId="35" borderId="0" xfId="0" applyFont="1" applyFill="1" applyBorder="1" applyAlignment="1">
      <alignment vertical="center"/>
    </xf>
    <xf numFmtId="0" fontId="15" fillId="37" borderId="17" xfId="0" applyFont="1" applyFill="1" applyBorder="1" applyAlignment="1">
      <alignment vertical="center" wrapText="1"/>
    </xf>
    <xf numFmtId="0" fontId="15" fillId="37" borderId="18" xfId="0" applyFont="1" applyFill="1" applyBorder="1" applyAlignment="1">
      <alignment vertical="center" wrapText="1"/>
    </xf>
    <xf numFmtId="0" fontId="15" fillId="37" borderId="19" xfId="0" applyFont="1" applyFill="1" applyBorder="1" applyAlignment="1">
      <alignment vertical="center" wrapText="1"/>
    </xf>
    <xf numFmtId="0" fontId="15" fillId="37" borderId="20" xfId="0" applyFont="1" applyFill="1" applyBorder="1" applyAlignment="1">
      <alignment vertical="center" wrapText="1"/>
    </xf>
    <xf numFmtId="0" fontId="15" fillId="37" borderId="21" xfId="0" applyFont="1" applyFill="1" applyBorder="1" applyAlignment="1">
      <alignment vertical="center" wrapText="1"/>
    </xf>
    <xf numFmtId="0" fontId="15" fillId="37" borderId="22" xfId="0" applyFont="1" applyFill="1" applyBorder="1" applyAlignment="1">
      <alignment vertical="center" wrapText="1"/>
    </xf>
    <xf numFmtId="0" fontId="16" fillId="0" borderId="0" xfId="0" applyFont="1" applyBorder="1" applyAlignment="1">
      <alignment wrapText="1"/>
    </xf>
    <xf numFmtId="0" fontId="15" fillId="37" borderId="23" xfId="0" applyFont="1" applyFill="1" applyBorder="1" applyAlignment="1">
      <alignment vertical="center" wrapText="1"/>
    </xf>
    <xf numFmtId="0" fontId="15" fillId="37" borderId="0" xfId="0" applyFont="1" applyFill="1" applyBorder="1" applyAlignment="1">
      <alignment vertical="center" wrapText="1"/>
    </xf>
    <xf numFmtId="0" fontId="15" fillId="37" borderId="24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2" fillId="4" borderId="3" xfId="0" applyFont="1" applyFill="1" applyBorder="1" applyAlignment="1">
      <alignment horizontal="center" vertical="center" wrapText="1"/>
    </xf>
    <xf numFmtId="0" fontId="2" fillId="4" borderId="1" xfId="0" applyFont="1" applyFill="1" applyAlignment="1">
      <alignment horizontal="center" vertical="center" wrapText="1"/>
    </xf>
    <xf numFmtId="0" fontId="0" fillId="0" borderId="0" xfId="0" applyBorder="1"/>
    <xf numFmtId="165" fontId="2" fillId="4" borderId="13" xfId="0" applyNumberFormat="1" applyFont="1" applyFill="1" applyBorder="1" applyAlignment="1">
      <alignment horizontal="center" vertical="center" wrapText="1"/>
    </xf>
    <xf numFmtId="165" fontId="0" fillId="0" borderId="13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4" fillId="20" borderId="5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/>
    </xf>
    <xf numFmtId="0" fontId="9" fillId="14" borderId="2" xfId="0" applyFont="1" applyFill="1" applyBorder="1" applyAlignment="1">
      <alignment horizontal="center" vertical="center"/>
    </xf>
    <xf numFmtId="0" fontId="0" fillId="0" borderId="1" xfId="0" applyAlignment="1">
      <alignment horizontal="center" vertical="center"/>
    </xf>
    <xf numFmtId="0" fontId="0" fillId="0" borderId="1" xfId="0" applyAlignment="1">
      <alignment horizontal="center"/>
    </xf>
    <xf numFmtId="0" fontId="0" fillId="0" borderId="2" xfId="0" applyBorder="1" applyAlignment="1">
      <alignment horizontal="center"/>
    </xf>
    <xf numFmtId="0" fontId="0" fillId="27" borderId="2" xfId="0" applyFill="1" applyBorder="1" applyAlignment="1">
      <alignment horizontal="center" vertical="center"/>
    </xf>
    <xf numFmtId="0" fontId="0" fillId="23" borderId="1" xfId="0" applyFill="1" applyAlignment="1">
      <alignment horizontal="center"/>
    </xf>
    <xf numFmtId="0" fontId="9" fillId="26" borderId="11" xfId="0" applyFont="1" applyFill="1" applyBorder="1" applyAlignment="1">
      <alignment horizontal="center"/>
    </xf>
    <xf numFmtId="0" fontId="9" fillId="26" borderId="1" xfId="0" applyFont="1" applyFill="1" applyAlignment="1">
      <alignment horizontal="center"/>
    </xf>
    <xf numFmtId="0" fontId="4" fillId="28" borderId="1" xfId="0" applyFont="1" applyFill="1" applyAlignment="1">
      <alignment horizontal="center" vertical="center"/>
    </xf>
    <xf numFmtId="0" fontId="9" fillId="26" borderId="2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 vertical="center" wrapText="1"/>
    </xf>
    <xf numFmtId="0" fontId="9" fillId="22" borderId="9" xfId="0" applyFont="1" applyFill="1" applyBorder="1" applyAlignment="1">
      <alignment horizontal="center" vertical="center" wrapText="1"/>
    </xf>
    <xf numFmtId="0" fontId="9" fillId="22" borderId="2" xfId="0" applyFont="1" applyFill="1" applyBorder="1" applyAlignment="1">
      <alignment horizontal="center" vertical="center" wrapText="1"/>
    </xf>
    <xf numFmtId="0" fontId="17" fillId="35" borderId="0" xfId="0" applyFont="1" applyFill="1" applyBorder="1" applyAlignment="1">
      <alignment wrapText="1"/>
    </xf>
  </cellXfs>
  <cellStyles count="1">
    <cellStyle name="Normal" xfId="0" builtinId="0"/>
  </cellStyles>
  <dxfs count="19"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Tempo total médio por planner (s)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 total médio (s)</c:v>
          </c:tx>
          <c:spPr>
            <a:solidFill>
              <a:srgbClr val="5B9BD5"/>
            </a:solidFill>
          </c:spPr>
          <c:invertIfNegative val="1"/>
          <c:cat>
            <c:strRef>
              <c:f>'Análise Estatística'!$S$3:$S$5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'Análise Estatística'!$T$3:$T$5</c:f>
              <c:numCache>
                <c:formatCode>0.000</c:formatCode>
                <c:ptCount val="3"/>
                <c:pt idx="0">
                  <c:v>3.8778369058823525</c:v>
                </c:pt>
                <c:pt idx="1">
                  <c:v>3.8276770365853663</c:v>
                </c:pt>
                <c:pt idx="2">
                  <c:v>3.9200068354430386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7929-4B8E-86E6-8D24C89C4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Tempo médio de planeamento por planner (s)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Tempo médio de planeamento (s)</c:v>
          </c:tx>
          <c:spPr>
            <a:solidFill>
              <a:srgbClr val="ED7D31"/>
            </a:solidFill>
          </c:spPr>
          <c:invertIfNegative val="1"/>
          <c:cat>
            <c:strRef>
              <c:f>'Análise Estatística'!$S$9:$S$11</c:f>
              <c:strCache>
                <c:ptCount val="3"/>
                <c:pt idx="0">
                  <c:v>RRTConnect</c:v>
                </c:pt>
                <c:pt idx="1">
                  <c:v>RRTstar</c:v>
                </c:pt>
                <c:pt idx="2">
                  <c:v>PRMstar</c:v>
                </c:pt>
              </c:strCache>
            </c:strRef>
          </c:cat>
          <c:val>
            <c:numRef>
              <c:f>'Análise Estatística'!$T$9:$T$11</c:f>
              <c:numCache>
                <c:formatCode>0.0000</c:formatCode>
                <c:ptCount val="3"/>
                <c:pt idx="0">
                  <c:v>9.113234117647058E-2</c:v>
                </c:pt>
                <c:pt idx="1">
                  <c:v>8.8657865853658507E-2</c:v>
                </c:pt>
                <c:pt idx="2">
                  <c:v>9.1157316455696219E-2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828-40A3-A512-65AF5CE90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Menor distância registada por teste (mm)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Menor distância registada (mm)</c:v>
          </c:tx>
          <c:spPr>
            <a:solidFill>
              <a:srgbClr val="ED7D31"/>
            </a:solidFill>
          </c:spPr>
          <c:invertIfNegative val="1"/>
          <c:cat>
            <c:strRef>
              <c:f>'Análise Estatística'!$S$15:$S$26</c:f>
              <c:strCache>
                <c:ptCount val="12"/>
                <c:pt idx="0">
                  <c:v>O02</c:v>
                </c:pt>
                <c:pt idx="1">
                  <c:v>O03</c:v>
                </c:pt>
                <c:pt idx="2">
                  <c:v>O06</c:v>
                </c:pt>
                <c:pt idx="3">
                  <c:v>O07</c:v>
                </c:pt>
                <c:pt idx="4">
                  <c:v>O10</c:v>
                </c:pt>
                <c:pt idx="5">
                  <c:v>O12</c:v>
                </c:pt>
                <c:pt idx="6">
                  <c:v>O13</c:v>
                </c:pt>
                <c:pt idx="7">
                  <c:v>O16</c:v>
                </c:pt>
                <c:pt idx="8">
                  <c:v>O17</c:v>
                </c:pt>
                <c:pt idx="9">
                  <c:v>O19</c:v>
                </c:pt>
                <c:pt idx="10">
                  <c:v>O20</c:v>
                </c:pt>
                <c:pt idx="11">
                  <c:v>O21</c:v>
                </c:pt>
              </c:strCache>
            </c:strRef>
          </c:cat>
          <c:val>
            <c:numRef>
              <c:f>'Análise Estatística'!$T$15:$T$26</c:f>
              <c:numCache>
                <c:formatCode>0.0</c:formatCode>
                <c:ptCount val="12"/>
                <c:pt idx="0">
                  <c:v>549.42470000000003</c:v>
                </c:pt>
                <c:pt idx="1">
                  <c:v>42.056199999999997</c:v>
                </c:pt>
                <c:pt idx="2">
                  <c:v>570.35720000000003</c:v>
                </c:pt>
                <c:pt idx="3">
                  <c:v>76.151399999999995</c:v>
                </c:pt>
                <c:pt idx="4">
                  <c:v>2017.57</c:v>
                </c:pt>
                <c:pt idx="5">
                  <c:v>334.91160000000002</c:v>
                </c:pt>
                <c:pt idx="6">
                  <c:v>145.37639999999999</c:v>
                </c:pt>
                <c:pt idx="7">
                  <c:v>335.12220000000002</c:v>
                </c:pt>
                <c:pt idx="8">
                  <c:v>202.28819999999999</c:v>
                </c:pt>
                <c:pt idx="9">
                  <c:v>216.982</c:v>
                </c:pt>
                <c:pt idx="10">
                  <c:v>98.072500000000005</c:v>
                </c:pt>
                <c:pt idx="11">
                  <c:v>180.71279999999999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A6D-48CA-81B9-4FC08E60E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c:style val="2"/>
  <c:chart>
    <c:title>
      <c:tx>
        <c:rich>
          <a:bodyPr/>
          <a:lstStyle/>
          <a:p>
            <a:r>
              <a:rPr lang="pt-PT"/>
              <a:t>Efeito da correção do TCP no erro médio (mm)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Erro euclidiano médio (mm)</c:v>
          </c:tx>
          <c:spPr>
            <a:solidFill>
              <a:srgbClr val="70AD47"/>
            </a:solidFill>
          </c:spPr>
          <c:invertIfNegative val="1"/>
          <c:cat>
            <c:strRef>
              <c:f>'Análise Estatística'!$S$30:$S$31</c:f>
              <c:strCache>
                <c:ptCount val="2"/>
                <c:pt idx="0">
                  <c:v>TCP na flange</c:v>
                </c:pt>
                <c:pt idx="1">
                  <c:v>TCP corrigido</c:v>
                </c:pt>
              </c:strCache>
            </c:strRef>
          </c:cat>
          <c:val>
            <c:numRef>
              <c:f>'Análise Estatística'!$T$30:$T$31</c:f>
              <c:numCache>
                <c:formatCode>0.000</c:formatCode>
                <c:ptCount val="2"/>
                <c:pt idx="0">
                  <c:v>50.284818567646667</c:v>
                </c:pt>
                <c:pt idx="1">
                  <c:v>0.932426987857227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A836-4AC5-A1C7-C1AD0A57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17</xdr:col>
      <xdr:colOff>0</xdr:colOff>
      <xdr:row>53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54</xdr:row>
      <xdr:rowOff>0</xdr:rowOff>
    </xdr:from>
    <xdr:to>
      <xdr:col>17</xdr:col>
      <xdr:colOff>0</xdr:colOff>
      <xdr:row>70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Obstaculos" displayName="TabelaObstaculos" ref="A2:K9">
  <tableColumns count="11">
    <tableColumn id="1" xr3:uid="{00000000-0010-0000-0000-000001000000}" name="ID" dataDxfId="18"/>
    <tableColumn id="2" xr3:uid="{00000000-0010-0000-0000-000002000000}" name="Objeto físico" dataDxfId="17"/>
    <tableColumn id="3" xr3:uid="{00000000-0010-0000-0000-000003000000}" name="Comprimento (m)" dataDxfId="16"/>
    <tableColumn id="4" xr3:uid="{00000000-0010-0000-0000-000004000000}" name="Largura (m)" dataDxfId="15"/>
    <tableColumn id="5" xr3:uid="{00000000-0010-0000-0000-000005000000}" name="Altura (m)" dataDxfId="14"/>
    <tableColumn id="7" xr3:uid="{00000000-0010-0000-0000-000007000000}" name="Centro  X (m)" dataDxfId="13"/>
    <tableColumn id="9" xr3:uid="{00000000-0010-0000-0000-000009000000}" name="Centro Y (m)" dataDxfId="12"/>
    <tableColumn id="10" xr3:uid="{00000000-0010-0000-0000-00000A000000}" name="Centro Z (m)" dataDxfId="11"/>
    <tableColumn id="12" xr3:uid="{00000000-0010-0000-0000-00000C000000}" name="Referencial" dataDxfId="10"/>
    <tableColumn id="6" xr3:uid="{00000000-0010-0000-0000-000006000000}" name="Onde colocar fisicamente" dataDxfId="9"/>
    <tableColumn id="8" xr3:uid="{00000000-0010-0000-0000-000008000000}" name="Comando para aparecer no RViz/Planning Scene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TestesObstaculos" displayName="TabelaTestesObstaculos" ref="A2:H12">
  <tableColumns count="8">
    <tableColumn id="1" xr3:uid="{00000000-0010-0000-0100-000001000000}" name="ID TESTE" dataDxfId="7"/>
    <tableColumn id="2" xr3:uid="{00000000-0010-0000-0100-000002000000}" name="Tipo de teste" dataDxfId="6"/>
    <tableColumn id="3" xr3:uid="{00000000-0010-0000-0100-000003000000}" name="Objetivo do teste" dataDxfId="5"/>
    <tableColumn id="4" xr3:uid="{00000000-0010-0000-0100-000004000000}" name="ID obstáculo" dataDxfId="4"/>
    <tableColumn id="5" xr3:uid="{00000000-0010-0000-0100-000005000000}" name="Onde colocar o objeto" dataDxfId="3"/>
    <tableColumn id="9" xr3:uid="{00000000-0010-0000-0100-000009000000}" name="Comandos da sequência" dataDxfId="2"/>
    <tableColumn id="10" xr3:uid="{00000000-0010-0000-0100-00000A000000}" name="Resultado esperado" dataDxfId="1"/>
    <tableColumn id="11" xr3:uid="{00000000-0010-0000-0100-00000B000000}" name="Resultado obtido comando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bstaclePlannerData" displayName="ObstaclePlannerData" ref="A1:J256" totalsRowShown="0">
  <tableColumns count="10">
    <tableColumn id="1" xr3:uid="{00000000-0010-0000-0200-000001000000}" name="Execução"/>
    <tableColumn id="2" xr3:uid="{00000000-0010-0000-0200-000002000000}" name="Teste"/>
    <tableColumn id="3" xr3:uid="{00000000-0010-0000-0200-000003000000}" name="Planner"/>
    <tableColumn id="4" xr3:uid="{00000000-0010-0000-0200-000004000000}" name="t_plan (s)"/>
    <tableColumn id="5" xr3:uid="{00000000-0010-0000-0200-000005000000}" name="t_exec (s)"/>
    <tableColumn id="6" xr3:uid="{00000000-0010-0000-0200-000006000000}" name="t_total (s)"/>
    <tableColumn id="7" xr3:uid="{00000000-0010-0000-0200-000007000000}" name="Comprimento TCP (m)"/>
    <tableColumn id="8" xr3:uid="{00000000-0010-0000-0200-000008000000}" name="Pontos"/>
    <tableColumn id="9" xr3:uid="{00000000-0010-0000-0200-000009000000}" name="Resultado"/>
    <tableColumn id="10" xr3:uid="{00000000-0010-0000-0200-00000A000000}" name="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"/>
  <sheetViews>
    <sheetView workbookViewId="0">
      <selection sqref="A1:K1"/>
    </sheetView>
  </sheetViews>
  <sheetFormatPr defaultRowHeight="13.8"/>
  <cols>
    <col min="1" max="1" width="14" customWidth="1"/>
    <col min="2" max="2" width="28" customWidth="1"/>
    <col min="3" max="3" width="16.3984375" customWidth="1"/>
    <col min="4" max="4" width="20.19921875" customWidth="1"/>
    <col min="5" max="5" width="13.796875" customWidth="1"/>
    <col min="6" max="6" width="17.296875" style="15" customWidth="1"/>
    <col min="7" max="7" width="12" style="15" customWidth="1"/>
    <col min="8" max="8" width="15.5" style="15" customWidth="1"/>
    <col min="9" max="9" width="15.3984375" style="15" customWidth="1"/>
    <col min="10" max="11" width="38" customWidth="1"/>
  </cols>
  <sheetData>
    <row r="1" spans="1:13" ht="21.6" customHeight="1">
      <c r="A1" s="125" t="s">
        <v>0</v>
      </c>
      <c r="B1" s="126"/>
      <c r="C1" s="126"/>
      <c r="D1" s="126"/>
      <c r="E1" s="126"/>
      <c r="F1" s="126"/>
      <c r="G1" s="126"/>
      <c r="H1" s="126"/>
      <c r="I1" s="126"/>
      <c r="J1" s="126"/>
      <c r="K1" s="126"/>
      <c r="L1" s="5"/>
      <c r="M1" s="5"/>
    </row>
    <row r="2" spans="1:13" ht="13.9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</row>
    <row r="3" spans="1:13" ht="21.15" customHeight="1">
      <c r="A3" s="8" t="s">
        <v>12</v>
      </c>
      <c r="B3" s="3" t="s">
        <v>13</v>
      </c>
      <c r="C3" s="3">
        <v>0.35499999999999998</v>
      </c>
      <c r="D3" s="3">
        <v>0.255</v>
      </c>
      <c r="E3" s="3">
        <v>0.12</v>
      </c>
      <c r="F3" s="81">
        <v>0.93200000000000005</v>
      </c>
      <c r="G3" s="81">
        <v>0.23899999999999999</v>
      </c>
      <c r="H3" s="81">
        <v>-0.18</v>
      </c>
      <c r="I3" s="20" t="s">
        <v>14</v>
      </c>
      <c r="J3" s="3" t="s">
        <v>15</v>
      </c>
      <c r="K3" s="3" t="s">
        <v>16</v>
      </c>
      <c r="L3" s="1"/>
      <c r="M3" s="1"/>
    </row>
    <row r="4" spans="1:13" ht="21.15" customHeight="1">
      <c r="A4" s="3" t="s">
        <v>17</v>
      </c>
      <c r="B4" s="3" t="s">
        <v>13</v>
      </c>
      <c r="C4" s="3">
        <v>0.35499999999999998</v>
      </c>
      <c r="D4" s="3">
        <v>0.255</v>
      </c>
      <c r="E4" s="3">
        <v>0.12</v>
      </c>
      <c r="F4" s="81">
        <v>0.57699999999999996</v>
      </c>
      <c r="G4" s="81">
        <v>0.75700000000000001</v>
      </c>
      <c r="H4" s="81">
        <v>-0.18</v>
      </c>
      <c r="I4" s="20" t="s">
        <v>14</v>
      </c>
      <c r="J4" s="3" t="s">
        <v>18</v>
      </c>
      <c r="K4" s="3" t="s">
        <v>19</v>
      </c>
      <c r="L4" s="1"/>
      <c r="M4" s="1"/>
    </row>
    <row r="5" spans="1:13" ht="21.15" customHeight="1">
      <c r="A5" s="8" t="s">
        <v>20</v>
      </c>
      <c r="B5" s="8" t="s">
        <v>13</v>
      </c>
      <c r="C5" s="8">
        <v>0.35499999999999998</v>
      </c>
      <c r="D5" s="8">
        <v>0.255</v>
      </c>
      <c r="E5" s="8">
        <v>0.12</v>
      </c>
      <c r="F5" s="81">
        <v>1.45</v>
      </c>
      <c r="G5" s="81">
        <v>-0.12</v>
      </c>
      <c r="H5" s="81">
        <v>-0.18</v>
      </c>
      <c r="I5" s="20" t="s">
        <v>14</v>
      </c>
      <c r="J5" s="8" t="s">
        <v>21</v>
      </c>
      <c r="K5" s="8" t="s">
        <v>22</v>
      </c>
      <c r="L5" s="1"/>
      <c r="M5" s="1"/>
    </row>
    <row r="6" spans="1:13" ht="21.15" customHeight="1">
      <c r="A6" s="3" t="s">
        <v>23</v>
      </c>
      <c r="B6" s="3" t="s">
        <v>24</v>
      </c>
      <c r="C6" s="3">
        <v>0.255</v>
      </c>
      <c r="D6" s="3">
        <v>0.12</v>
      </c>
      <c r="E6" s="3">
        <v>0.35499999999999998</v>
      </c>
      <c r="F6" s="81">
        <v>1.0169999999999999</v>
      </c>
      <c r="G6" s="81">
        <v>0.32200000000000001</v>
      </c>
      <c r="H6" s="81">
        <v>-6.25E-2</v>
      </c>
      <c r="I6" s="20" t="s">
        <v>14</v>
      </c>
      <c r="J6" s="3" t="s">
        <v>25</v>
      </c>
      <c r="K6" s="3" t="s">
        <v>26</v>
      </c>
      <c r="L6" s="1"/>
      <c r="M6" s="1"/>
    </row>
    <row r="7" spans="1:13" ht="21.15" customHeight="1">
      <c r="A7" s="6" t="s">
        <v>27</v>
      </c>
      <c r="B7" s="6" t="s">
        <v>24</v>
      </c>
      <c r="C7" s="6">
        <v>0.255</v>
      </c>
      <c r="D7" s="6">
        <v>0.12</v>
      </c>
      <c r="E7" s="6">
        <v>0.35499999999999998</v>
      </c>
      <c r="F7" s="81">
        <v>0.495</v>
      </c>
      <c r="G7" s="81">
        <v>0.84499999999999997</v>
      </c>
      <c r="H7" s="81">
        <v>-6.25E-2</v>
      </c>
      <c r="I7" s="20" t="s">
        <v>14</v>
      </c>
      <c r="J7" s="6" t="s">
        <v>28</v>
      </c>
      <c r="K7" s="6" t="s">
        <v>29</v>
      </c>
      <c r="L7" s="1"/>
      <c r="M7" s="1"/>
    </row>
    <row r="8" spans="1:13" ht="21.15" customHeight="1">
      <c r="A8" s="3" t="s">
        <v>30</v>
      </c>
      <c r="B8" s="7" t="s">
        <v>13</v>
      </c>
      <c r="C8" s="7">
        <v>0.35499999999999998</v>
      </c>
      <c r="D8" s="7">
        <v>0.255</v>
      </c>
      <c r="E8" s="7">
        <v>0.12</v>
      </c>
      <c r="F8" s="81">
        <v>1.02</v>
      </c>
      <c r="G8" s="81">
        <v>0.32</v>
      </c>
      <c r="H8" s="81">
        <v>-0.18</v>
      </c>
      <c r="I8" s="20" t="s">
        <v>14</v>
      </c>
      <c r="J8" s="3" t="s">
        <v>31</v>
      </c>
      <c r="K8" s="3" t="s">
        <v>32</v>
      </c>
      <c r="L8" s="1"/>
      <c r="M8" s="1"/>
    </row>
    <row r="9" spans="1:13" ht="21.15" customHeight="1">
      <c r="A9" s="6" t="s">
        <v>33</v>
      </c>
      <c r="B9" s="9" t="s">
        <v>13</v>
      </c>
      <c r="C9" s="9">
        <v>0.35499999999999998</v>
      </c>
      <c r="D9" s="9">
        <v>0.255</v>
      </c>
      <c r="E9" s="9">
        <v>0.12</v>
      </c>
      <c r="F9" s="81">
        <v>0.57699999999999996</v>
      </c>
      <c r="G9" s="81">
        <v>0.75700000000000001</v>
      </c>
      <c r="H9" s="81">
        <v>-5.8999999999999997E-2</v>
      </c>
      <c r="I9" s="20" t="s">
        <v>14</v>
      </c>
      <c r="J9" s="10" t="s">
        <v>34</v>
      </c>
      <c r="K9" s="11" t="s">
        <v>35</v>
      </c>
      <c r="L9" s="1"/>
      <c r="M9" s="1"/>
    </row>
    <row r="10" spans="1:13">
      <c r="A10" s="1"/>
      <c r="B10" s="1"/>
      <c r="C10" s="1"/>
      <c r="D10" s="1"/>
      <c r="E10" s="1"/>
      <c r="F10" s="14"/>
      <c r="G10" s="14"/>
      <c r="H10" s="14"/>
      <c r="I10" s="14"/>
      <c r="J10" s="1"/>
      <c r="K10" s="1"/>
      <c r="L10" s="1"/>
      <c r="M10" s="1"/>
    </row>
    <row r="11" spans="1:13">
      <c r="A11" s="1"/>
      <c r="B11" s="1"/>
      <c r="C11" s="1"/>
      <c r="D11" s="1"/>
      <c r="E11" s="1"/>
      <c r="F11" s="14"/>
      <c r="G11" s="14"/>
      <c r="H11" s="14"/>
      <c r="I11" s="14"/>
      <c r="J11" s="1"/>
      <c r="K11" s="1"/>
      <c r="L11" s="1"/>
      <c r="M11" s="1"/>
    </row>
    <row r="12" spans="1:13">
      <c r="A12" s="1"/>
      <c r="B12" s="1"/>
      <c r="C12" s="1"/>
      <c r="D12" s="1"/>
      <c r="E12" s="1"/>
      <c r="F12" s="14"/>
      <c r="G12" s="14"/>
      <c r="H12" s="14"/>
      <c r="I12" s="14"/>
      <c r="J12" s="1"/>
      <c r="K12" s="1"/>
      <c r="L12" s="1"/>
      <c r="M12" s="1"/>
    </row>
    <row r="13" spans="1:13">
      <c r="A13" s="1"/>
      <c r="B13" s="1"/>
      <c r="C13" s="1"/>
      <c r="D13" s="1"/>
      <c r="E13" s="1"/>
      <c r="F13" s="14"/>
      <c r="G13" s="14"/>
      <c r="H13" s="14"/>
      <c r="I13" s="14"/>
      <c r="J13" s="1"/>
      <c r="K13" s="1"/>
      <c r="L13" s="1"/>
      <c r="M13" s="1"/>
    </row>
    <row r="14" spans="1:13">
      <c r="A14" s="1"/>
      <c r="B14" s="1"/>
      <c r="C14" s="1"/>
      <c r="D14" s="1"/>
      <c r="E14" s="1"/>
      <c r="F14" s="14"/>
      <c r="G14" s="14"/>
      <c r="H14" s="14"/>
      <c r="I14" s="14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4"/>
      <c r="G15" s="14"/>
      <c r="H15" s="14"/>
      <c r="I15" s="14"/>
      <c r="J15" s="1"/>
      <c r="K15" s="1"/>
      <c r="L15" s="1"/>
      <c r="M15" s="1"/>
    </row>
    <row r="16" spans="1:13">
      <c r="A16" s="1"/>
      <c r="B16" s="1"/>
      <c r="C16" s="1"/>
      <c r="D16" s="1"/>
      <c r="E16" s="1"/>
      <c r="F16" s="14"/>
      <c r="G16" s="14"/>
      <c r="H16" s="14"/>
      <c r="I16" s="14"/>
      <c r="J16" s="1"/>
      <c r="K16" s="1"/>
      <c r="L16" s="1"/>
      <c r="M16" s="1"/>
    </row>
    <row r="17" spans="1:13">
      <c r="A17" s="1"/>
      <c r="B17" s="1"/>
      <c r="C17" s="1"/>
      <c r="D17" s="1"/>
      <c r="E17" s="1"/>
      <c r="F17" s="14"/>
      <c r="G17" s="14"/>
      <c r="H17" s="14"/>
      <c r="I17" s="14"/>
      <c r="J17" s="1"/>
      <c r="K17" s="1"/>
      <c r="L17" s="1"/>
      <c r="M17" s="1"/>
    </row>
    <row r="18" spans="1:13">
      <c r="A18" s="1"/>
      <c r="B18" s="1"/>
      <c r="C18" s="1"/>
      <c r="D18" s="1"/>
      <c r="E18" s="1"/>
      <c r="F18" s="14"/>
      <c r="G18" s="14"/>
      <c r="H18" s="14"/>
      <c r="I18" s="14"/>
      <c r="J18" s="1"/>
      <c r="K18" s="1"/>
      <c r="L18" s="1"/>
      <c r="M18" s="1"/>
    </row>
    <row r="19" spans="1:13">
      <c r="A19" s="1"/>
      <c r="B19" s="1"/>
      <c r="C19" s="1"/>
      <c r="D19" s="1"/>
      <c r="E19" s="1"/>
      <c r="F19" s="14"/>
      <c r="G19" s="14"/>
      <c r="H19" s="14"/>
      <c r="I19" s="14"/>
      <c r="J19" s="1"/>
      <c r="K19" s="1"/>
      <c r="L19" s="1"/>
      <c r="M19" s="1"/>
    </row>
    <row r="20" spans="1:13">
      <c r="A20" s="1"/>
      <c r="B20" s="1"/>
      <c r="C20" s="1"/>
      <c r="D20" s="1"/>
      <c r="E20" s="1"/>
      <c r="F20" s="14"/>
      <c r="G20" s="14"/>
      <c r="H20" s="14"/>
      <c r="I20" s="14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4"/>
      <c r="G21" s="14"/>
      <c r="H21" s="14"/>
      <c r="I21" s="14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4"/>
      <c r="G22" s="14"/>
      <c r="H22" s="14"/>
      <c r="I22" s="14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4"/>
      <c r="G23" s="14"/>
      <c r="H23" s="14"/>
      <c r="I23" s="14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4"/>
      <c r="G24" s="14"/>
      <c r="H24" s="14"/>
      <c r="I24" s="14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4"/>
      <c r="G25" s="14"/>
      <c r="H25" s="14"/>
      <c r="I25" s="14"/>
      <c r="J25" s="1"/>
      <c r="K25" s="1"/>
    </row>
    <row r="26" spans="1:13">
      <c r="A26" s="1"/>
      <c r="B26" s="1"/>
      <c r="C26" s="1"/>
      <c r="D26" s="1"/>
      <c r="E26" s="1"/>
      <c r="F26" s="14"/>
      <c r="G26" s="14"/>
      <c r="H26" s="14"/>
      <c r="I26" s="14"/>
      <c r="J26" s="1"/>
      <c r="K26" s="1"/>
    </row>
    <row r="27" spans="1:13">
      <c r="A27" s="1"/>
      <c r="B27" s="1"/>
      <c r="C27" s="1"/>
      <c r="D27" s="1"/>
      <c r="E27" s="1"/>
      <c r="F27" s="14"/>
      <c r="G27" s="14"/>
      <c r="H27" s="14"/>
      <c r="I27" s="14"/>
      <c r="J27" s="1"/>
      <c r="K27" s="1"/>
    </row>
    <row r="28" spans="1:13">
      <c r="A28" s="1"/>
      <c r="B28" s="1"/>
      <c r="C28" s="1"/>
      <c r="D28" s="1"/>
      <c r="E28" s="1"/>
      <c r="F28" s="14"/>
      <c r="G28" s="14"/>
      <c r="H28" s="14"/>
      <c r="I28" s="14"/>
      <c r="J28" s="1"/>
      <c r="K28" s="1"/>
    </row>
    <row r="29" spans="1:13">
      <c r="A29" s="1"/>
      <c r="B29" s="1"/>
      <c r="C29" s="1"/>
      <c r="D29" s="1"/>
      <c r="E29" s="1"/>
      <c r="F29" s="14"/>
      <c r="G29" s="14"/>
      <c r="H29" s="14"/>
      <c r="I29" s="14"/>
      <c r="J29" s="1"/>
      <c r="K29" s="1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0"/>
  <sheetViews>
    <sheetView tabSelected="1" topLeftCell="G1" workbookViewId="0">
      <selection activeCell="O3" sqref="O3"/>
    </sheetView>
  </sheetViews>
  <sheetFormatPr defaultRowHeight="13.8"/>
  <cols>
    <col min="1" max="1" width="12" customWidth="1"/>
    <col min="2" max="2" width="18" customWidth="1"/>
    <col min="3" max="5" width="32" customWidth="1"/>
    <col min="6" max="6" width="65" customWidth="1"/>
    <col min="7" max="8" width="32" customWidth="1"/>
    <col min="9" max="9" width="24.796875" customWidth="1"/>
    <col min="10" max="10" width="19" customWidth="1"/>
    <col min="11" max="11" width="16.8984375" customWidth="1"/>
    <col min="12" max="12" width="16" customWidth="1"/>
    <col min="13" max="15" width="20" customWidth="1"/>
    <col min="16" max="16" width="13" customWidth="1"/>
  </cols>
  <sheetData>
    <row r="1" spans="1:16" ht="8.5500000000000007" customHeight="1">
      <c r="A1" s="127" t="s">
        <v>36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9"/>
      <c r="P1" s="129"/>
    </row>
    <row r="2" spans="1:16" ht="32.700000000000003" customHeight="1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82" t="s">
        <v>355</v>
      </c>
      <c r="N2" s="82" t="s">
        <v>356</v>
      </c>
      <c r="O2" s="82" t="s">
        <v>357</v>
      </c>
      <c r="P2" s="82" t="s">
        <v>49</v>
      </c>
    </row>
    <row r="3" spans="1:16" ht="21.15" customHeight="1">
      <c r="A3" s="3" t="s">
        <v>50</v>
      </c>
      <c r="B3" s="3" t="s">
        <v>51</v>
      </c>
      <c r="C3" s="3" t="s">
        <v>52</v>
      </c>
      <c r="D3" s="3" t="s">
        <v>12</v>
      </c>
      <c r="E3" s="3" t="s">
        <v>53</v>
      </c>
      <c r="F3" s="3" t="s">
        <v>16</v>
      </c>
      <c r="G3" s="3" t="s">
        <v>54</v>
      </c>
      <c r="H3" s="3" t="s">
        <v>55</v>
      </c>
      <c r="I3" s="16" t="s">
        <v>56</v>
      </c>
      <c r="J3" s="6" t="s">
        <v>57</v>
      </c>
      <c r="K3" s="22" t="s">
        <v>58</v>
      </c>
      <c r="L3" s="22" t="s">
        <v>58</v>
      </c>
      <c r="M3" s="22"/>
      <c r="N3" s="22"/>
      <c r="O3" s="22"/>
      <c r="P3" s="22">
        <v>1</v>
      </c>
    </row>
    <row r="4" spans="1:16" ht="28.2" customHeight="1">
      <c r="A4" s="3" t="s">
        <v>59</v>
      </c>
      <c r="B4" s="3" t="s">
        <v>60</v>
      </c>
      <c r="C4" s="3" t="s">
        <v>61</v>
      </c>
      <c r="D4" s="3" t="s">
        <v>12</v>
      </c>
      <c r="E4" s="3" t="s">
        <v>62</v>
      </c>
      <c r="F4" s="3" t="s">
        <v>63</v>
      </c>
      <c r="G4" s="3" t="s">
        <v>64</v>
      </c>
      <c r="H4" s="3" t="s">
        <v>65</v>
      </c>
      <c r="I4" s="17" t="s">
        <v>66</v>
      </c>
      <c r="J4" s="3" t="s">
        <v>67</v>
      </c>
      <c r="K4" s="21" t="s">
        <v>68</v>
      </c>
      <c r="L4" s="21" t="s">
        <v>69</v>
      </c>
      <c r="M4" s="83">
        <v>549.42470000000003</v>
      </c>
      <c r="N4" s="83"/>
      <c r="O4" s="83"/>
      <c r="P4" s="84">
        <v>1</v>
      </c>
    </row>
    <row r="5" spans="1:16" ht="63.6" customHeight="1">
      <c r="A5" s="3" t="s">
        <v>70</v>
      </c>
      <c r="B5" s="3" t="s">
        <v>71</v>
      </c>
      <c r="C5" s="3" t="s">
        <v>72</v>
      </c>
      <c r="D5" s="3" t="s">
        <v>12</v>
      </c>
      <c r="E5" s="3" t="s">
        <v>62</v>
      </c>
      <c r="F5" s="3" t="s">
        <v>73</v>
      </c>
      <c r="G5" s="3" t="s">
        <v>74</v>
      </c>
      <c r="H5" s="3" t="s">
        <v>75</v>
      </c>
      <c r="I5" s="18" t="s">
        <v>76</v>
      </c>
      <c r="J5" s="6" t="s">
        <v>57</v>
      </c>
      <c r="K5" s="22" t="s">
        <v>68</v>
      </c>
      <c r="L5" s="22" t="s">
        <v>68</v>
      </c>
      <c r="M5" s="22">
        <v>110.07729999999999</v>
      </c>
      <c r="N5" s="22">
        <v>42.056199999999997</v>
      </c>
      <c r="O5" s="22"/>
      <c r="P5" s="22">
        <v>1</v>
      </c>
    </row>
    <row r="6" spans="1:16" ht="21.15" customHeight="1">
      <c r="A6" s="3" t="s">
        <v>77</v>
      </c>
      <c r="B6" s="3" t="s">
        <v>78</v>
      </c>
      <c r="C6" s="3" t="s">
        <v>79</v>
      </c>
      <c r="D6" s="3" t="s">
        <v>12</v>
      </c>
      <c r="E6" s="3" t="s">
        <v>62</v>
      </c>
      <c r="F6" s="3" t="s">
        <v>80</v>
      </c>
      <c r="G6" s="3" t="s">
        <v>81</v>
      </c>
      <c r="H6" s="3" t="s">
        <v>75</v>
      </c>
      <c r="I6" s="18" t="s">
        <v>76</v>
      </c>
      <c r="J6" s="3" t="s">
        <v>82</v>
      </c>
      <c r="K6" s="21" t="s">
        <v>68</v>
      </c>
      <c r="L6" s="21" t="s">
        <v>68</v>
      </c>
      <c r="M6" s="83"/>
      <c r="N6" s="83"/>
      <c r="O6" s="83"/>
      <c r="P6" s="84">
        <v>1</v>
      </c>
    </row>
    <row r="7" spans="1:16" ht="28.2" customHeight="1">
      <c r="A7" s="3" t="s">
        <v>83</v>
      </c>
      <c r="B7" s="3" t="s">
        <v>51</v>
      </c>
      <c r="C7" s="3" t="s">
        <v>84</v>
      </c>
      <c r="D7" s="3" t="s">
        <v>17</v>
      </c>
      <c r="E7" s="3" t="s">
        <v>85</v>
      </c>
      <c r="F7" s="3" t="s">
        <v>86</v>
      </c>
      <c r="G7" s="3" t="s">
        <v>87</v>
      </c>
      <c r="H7" s="3" t="s">
        <v>55</v>
      </c>
      <c r="I7" s="16" t="s">
        <v>56</v>
      </c>
      <c r="J7" s="6" t="s">
        <v>82</v>
      </c>
      <c r="K7" s="22" t="s">
        <v>58</v>
      </c>
      <c r="L7" s="22" t="s">
        <v>58</v>
      </c>
      <c r="M7" s="22"/>
      <c r="N7" s="22"/>
      <c r="O7" s="22"/>
      <c r="P7" s="22">
        <v>1</v>
      </c>
    </row>
    <row r="8" spans="1:16" ht="28.2" customHeight="1">
      <c r="A8" s="3" t="s">
        <v>88</v>
      </c>
      <c r="B8" s="3" t="s">
        <v>60</v>
      </c>
      <c r="C8" s="3" t="s">
        <v>89</v>
      </c>
      <c r="D8" s="3" t="s">
        <v>17</v>
      </c>
      <c r="E8" s="3" t="s">
        <v>90</v>
      </c>
      <c r="F8" s="3" t="s">
        <v>91</v>
      </c>
      <c r="G8" s="3" t="s">
        <v>92</v>
      </c>
      <c r="H8" s="3" t="s">
        <v>65</v>
      </c>
      <c r="I8" s="17" t="s">
        <v>66</v>
      </c>
      <c r="J8" s="3" t="s">
        <v>67</v>
      </c>
      <c r="K8" s="21" t="s">
        <v>68</v>
      </c>
      <c r="L8" s="21" t="s">
        <v>69</v>
      </c>
      <c r="M8" s="83">
        <v>570.35720000000003</v>
      </c>
      <c r="N8" s="83"/>
      <c r="O8" s="83"/>
      <c r="P8" s="84">
        <v>1</v>
      </c>
    </row>
    <row r="9" spans="1:16" ht="56.55" customHeight="1">
      <c r="A9" s="3" t="s">
        <v>93</v>
      </c>
      <c r="B9" s="3" t="s">
        <v>71</v>
      </c>
      <c r="C9" s="3" t="s">
        <v>94</v>
      </c>
      <c r="D9" s="3" t="s">
        <v>17</v>
      </c>
      <c r="E9" s="3" t="s">
        <v>90</v>
      </c>
      <c r="F9" s="3" t="s">
        <v>95</v>
      </c>
      <c r="G9" s="3" t="s">
        <v>96</v>
      </c>
      <c r="H9" s="3" t="s">
        <v>75</v>
      </c>
      <c r="I9" s="18" t="s">
        <v>76</v>
      </c>
      <c r="J9" s="6" t="s">
        <v>57</v>
      </c>
      <c r="K9" s="22" t="s">
        <v>68</v>
      </c>
      <c r="L9" s="22" t="s">
        <v>68</v>
      </c>
      <c r="M9" s="22">
        <v>253.92619999999999</v>
      </c>
      <c r="N9" s="22">
        <v>76.151399999999995</v>
      </c>
      <c r="O9" s="22"/>
      <c r="P9" s="22">
        <v>1</v>
      </c>
    </row>
    <row r="10" spans="1:16" ht="13.95" customHeight="1">
      <c r="A10" s="3" t="s">
        <v>97</v>
      </c>
      <c r="B10" s="3" t="s">
        <v>78</v>
      </c>
      <c r="C10" s="3" t="s">
        <v>98</v>
      </c>
      <c r="D10" s="3" t="s">
        <v>17</v>
      </c>
      <c r="E10" s="3" t="s">
        <v>90</v>
      </c>
      <c r="F10" s="3" t="s">
        <v>99</v>
      </c>
      <c r="G10" s="3" t="s">
        <v>81</v>
      </c>
      <c r="H10" s="3" t="s">
        <v>75</v>
      </c>
      <c r="I10" s="18" t="s">
        <v>76</v>
      </c>
      <c r="J10" s="3" t="s">
        <v>82</v>
      </c>
      <c r="K10" s="21" t="s">
        <v>68</v>
      </c>
      <c r="L10" s="21" t="s">
        <v>68</v>
      </c>
      <c r="M10" s="83"/>
      <c r="N10" s="83"/>
      <c r="O10" s="83"/>
      <c r="P10" s="84">
        <v>1</v>
      </c>
    </row>
    <row r="11" spans="1:16" ht="21.15" customHeight="1">
      <c r="A11" s="3" t="s">
        <v>100</v>
      </c>
      <c r="B11" s="3" t="s">
        <v>51</v>
      </c>
      <c r="C11" s="3" t="s">
        <v>101</v>
      </c>
      <c r="D11" s="3" t="s">
        <v>20</v>
      </c>
      <c r="E11" s="3" t="s">
        <v>102</v>
      </c>
      <c r="F11" s="3" t="s">
        <v>103</v>
      </c>
      <c r="G11" s="3" t="s">
        <v>104</v>
      </c>
      <c r="H11" s="3" t="s">
        <v>55</v>
      </c>
      <c r="I11" s="16" t="s">
        <v>56</v>
      </c>
      <c r="J11" s="6" t="s">
        <v>82</v>
      </c>
      <c r="K11" s="22" t="s">
        <v>58</v>
      </c>
      <c r="L11" s="22" t="s">
        <v>58</v>
      </c>
      <c r="M11" s="22"/>
      <c r="N11" s="22"/>
      <c r="O11" s="22"/>
      <c r="P11" s="22">
        <v>1</v>
      </c>
    </row>
    <row r="12" spans="1:16" ht="28.2" customHeight="1">
      <c r="A12" s="3" t="s">
        <v>105</v>
      </c>
      <c r="B12" s="3" t="s">
        <v>60</v>
      </c>
      <c r="C12" s="3" t="s">
        <v>106</v>
      </c>
      <c r="D12" s="3" t="s">
        <v>20</v>
      </c>
      <c r="E12" s="3" t="s">
        <v>107</v>
      </c>
      <c r="F12" s="3" t="s">
        <v>108</v>
      </c>
      <c r="G12" s="3" t="s">
        <v>92</v>
      </c>
      <c r="H12" s="3" t="s">
        <v>109</v>
      </c>
      <c r="I12" s="17" t="s">
        <v>66</v>
      </c>
      <c r="J12" s="3" t="s">
        <v>67</v>
      </c>
      <c r="K12" s="21" t="s">
        <v>68</v>
      </c>
      <c r="L12" s="21" t="s">
        <v>69</v>
      </c>
      <c r="M12" s="83">
        <v>2017.57</v>
      </c>
      <c r="N12" s="83"/>
      <c r="O12" s="83"/>
      <c r="P12" s="84">
        <v>1</v>
      </c>
    </row>
    <row r="13" spans="1:16" ht="21.15" customHeight="1">
      <c r="A13" s="6" t="s">
        <v>110</v>
      </c>
      <c r="B13" s="6" t="s">
        <v>51</v>
      </c>
      <c r="C13" s="6" t="s">
        <v>111</v>
      </c>
      <c r="D13" s="6" t="s">
        <v>23</v>
      </c>
      <c r="E13" s="6" t="s">
        <v>112</v>
      </c>
      <c r="F13" s="6" t="s">
        <v>113</v>
      </c>
      <c r="G13" s="6" t="s">
        <v>114</v>
      </c>
      <c r="H13" s="9" t="s">
        <v>55</v>
      </c>
      <c r="I13" s="16" t="s">
        <v>56</v>
      </c>
      <c r="J13" s="6" t="s">
        <v>82</v>
      </c>
      <c r="K13" s="22" t="s">
        <v>58</v>
      </c>
      <c r="L13" s="22" t="s">
        <v>58</v>
      </c>
      <c r="M13" s="22"/>
      <c r="N13" s="22"/>
      <c r="O13" s="22"/>
      <c r="P13" s="22">
        <v>1</v>
      </c>
    </row>
    <row r="14" spans="1:16" ht="28.2" customHeight="1">
      <c r="A14" s="3" t="s">
        <v>115</v>
      </c>
      <c r="B14" s="3" t="s">
        <v>60</v>
      </c>
      <c r="C14" s="3" t="s">
        <v>116</v>
      </c>
      <c r="D14" s="3" t="s">
        <v>23</v>
      </c>
      <c r="E14" s="3" t="s">
        <v>117</v>
      </c>
      <c r="F14" s="3" t="s">
        <v>118</v>
      </c>
      <c r="G14" s="3" t="s">
        <v>64</v>
      </c>
      <c r="H14" s="12" t="s">
        <v>109</v>
      </c>
      <c r="I14" s="17" t="s">
        <v>66</v>
      </c>
      <c r="J14" s="3" t="s">
        <v>67</v>
      </c>
      <c r="K14" s="21" t="s">
        <v>68</v>
      </c>
      <c r="L14" s="21" t="s">
        <v>69</v>
      </c>
      <c r="M14" s="83">
        <v>334.91160000000002</v>
      </c>
      <c r="N14" s="83"/>
      <c r="O14" s="83"/>
      <c r="P14" s="84">
        <v>1</v>
      </c>
    </row>
    <row r="15" spans="1:16" ht="56.55" customHeight="1">
      <c r="A15" s="6" t="s">
        <v>119</v>
      </c>
      <c r="B15" s="6" t="s">
        <v>71</v>
      </c>
      <c r="C15" s="6" t="s">
        <v>120</v>
      </c>
      <c r="D15" s="6" t="s">
        <v>23</v>
      </c>
      <c r="E15" s="6" t="s">
        <v>117</v>
      </c>
      <c r="F15" s="6" t="s">
        <v>121</v>
      </c>
      <c r="G15" s="6" t="s">
        <v>74</v>
      </c>
      <c r="H15" s="10" t="s">
        <v>75</v>
      </c>
      <c r="I15" s="18" t="s">
        <v>76</v>
      </c>
      <c r="J15" s="9" t="s">
        <v>57</v>
      </c>
      <c r="K15" s="22" t="s">
        <v>68</v>
      </c>
      <c r="L15" s="22" t="s">
        <v>68</v>
      </c>
      <c r="M15" s="22">
        <v>226.33920000000001</v>
      </c>
      <c r="N15" s="22">
        <v>145.37639999999999</v>
      </c>
      <c r="O15" s="22"/>
      <c r="P15" s="22">
        <v>1</v>
      </c>
    </row>
    <row r="16" spans="1:16" ht="21.15" customHeight="1">
      <c r="A16" s="3" t="s">
        <v>122</v>
      </c>
      <c r="B16" s="3" t="s">
        <v>78</v>
      </c>
      <c r="C16" s="3" t="s">
        <v>123</v>
      </c>
      <c r="D16" s="3" t="s">
        <v>23</v>
      </c>
      <c r="E16" s="3" t="s">
        <v>117</v>
      </c>
      <c r="F16" s="3" t="s">
        <v>124</v>
      </c>
      <c r="G16" s="3" t="s">
        <v>81</v>
      </c>
      <c r="H16" s="12" t="s">
        <v>75</v>
      </c>
      <c r="I16" s="18" t="s">
        <v>76</v>
      </c>
      <c r="J16" s="3" t="s">
        <v>82</v>
      </c>
      <c r="K16" s="21" t="s">
        <v>68</v>
      </c>
      <c r="L16" s="21" t="s">
        <v>68</v>
      </c>
      <c r="M16" s="83"/>
      <c r="N16" s="83"/>
      <c r="O16" s="83"/>
      <c r="P16" s="84">
        <v>1</v>
      </c>
    </row>
    <row r="17" spans="1:16" ht="21.15" customHeight="1">
      <c r="A17" s="6" t="s">
        <v>125</v>
      </c>
      <c r="B17" s="6" t="s">
        <v>51</v>
      </c>
      <c r="C17" s="6" t="s">
        <v>126</v>
      </c>
      <c r="D17" s="6" t="s">
        <v>27</v>
      </c>
      <c r="E17" s="6" t="s">
        <v>127</v>
      </c>
      <c r="F17" s="6" t="s">
        <v>128</v>
      </c>
      <c r="G17" s="6" t="s">
        <v>114</v>
      </c>
      <c r="H17" s="9" t="s">
        <v>55</v>
      </c>
      <c r="I17" s="16" t="s">
        <v>56</v>
      </c>
      <c r="J17" s="6" t="s">
        <v>82</v>
      </c>
      <c r="K17" s="22" t="s">
        <v>58</v>
      </c>
      <c r="L17" s="22" t="s">
        <v>58</v>
      </c>
      <c r="M17" s="22"/>
      <c r="N17" s="22"/>
      <c r="O17" s="22"/>
      <c r="P17" s="22">
        <v>1</v>
      </c>
    </row>
    <row r="18" spans="1:16" ht="28.2" customHeight="1">
      <c r="A18" s="3" t="s">
        <v>129</v>
      </c>
      <c r="B18" s="3" t="s">
        <v>60</v>
      </c>
      <c r="C18" s="3" t="s">
        <v>130</v>
      </c>
      <c r="D18" s="3" t="s">
        <v>27</v>
      </c>
      <c r="E18" s="3" t="s">
        <v>131</v>
      </c>
      <c r="F18" s="3" t="s">
        <v>132</v>
      </c>
      <c r="G18" s="3" t="s">
        <v>92</v>
      </c>
      <c r="H18" s="12" t="s">
        <v>109</v>
      </c>
      <c r="I18" s="17" t="s">
        <v>66</v>
      </c>
      <c r="J18" s="3" t="s">
        <v>67</v>
      </c>
      <c r="K18" s="21" t="s">
        <v>68</v>
      </c>
      <c r="L18" s="21" t="s">
        <v>69</v>
      </c>
      <c r="M18" s="83">
        <v>335.12220000000002</v>
      </c>
      <c r="N18" s="83"/>
      <c r="O18" s="83"/>
      <c r="P18" s="84">
        <v>1</v>
      </c>
    </row>
    <row r="19" spans="1:16" ht="56.55" customHeight="1">
      <c r="A19" s="6" t="s">
        <v>133</v>
      </c>
      <c r="B19" s="6" t="s">
        <v>71</v>
      </c>
      <c r="C19" s="6" t="s">
        <v>134</v>
      </c>
      <c r="D19" s="6" t="s">
        <v>27</v>
      </c>
      <c r="E19" s="6" t="s">
        <v>131</v>
      </c>
      <c r="F19" s="6" t="s">
        <v>135</v>
      </c>
      <c r="G19" s="6" t="s">
        <v>136</v>
      </c>
      <c r="H19" s="10" t="s">
        <v>75</v>
      </c>
      <c r="I19" s="18" t="s">
        <v>76</v>
      </c>
      <c r="J19" s="9" t="s">
        <v>57</v>
      </c>
      <c r="K19" s="22" t="s">
        <v>68</v>
      </c>
      <c r="L19" s="22" t="s">
        <v>68</v>
      </c>
      <c r="M19" s="22">
        <v>250.27789999999999</v>
      </c>
      <c r="N19" s="22">
        <v>202.28819999999999</v>
      </c>
      <c r="O19" s="22"/>
      <c r="P19" s="22">
        <v>1</v>
      </c>
    </row>
    <row r="20" spans="1:16" ht="21.15" customHeight="1">
      <c r="A20" s="3" t="s">
        <v>137</v>
      </c>
      <c r="B20" s="3" t="s">
        <v>78</v>
      </c>
      <c r="C20" s="3" t="s">
        <v>138</v>
      </c>
      <c r="D20" s="3" t="s">
        <v>27</v>
      </c>
      <c r="E20" s="3" t="s">
        <v>131</v>
      </c>
      <c r="F20" s="3" t="s">
        <v>139</v>
      </c>
      <c r="G20" s="3" t="s">
        <v>81</v>
      </c>
      <c r="H20" s="13" t="s">
        <v>75</v>
      </c>
      <c r="I20" s="18" t="s">
        <v>76</v>
      </c>
      <c r="J20" s="3" t="s">
        <v>82</v>
      </c>
      <c r="K20" s="21" t="s">
        <v>68</v>
      </c>
      <c r="L20" s="21" t="s">
        <v>68</v>
      </c>
      <c r="M20" s="83"/>
      <c r="N20" s="83"/>
      <c r="O20" s="83"/>
      <c r="P20" s="84">
        <v>1</v>
      </c>
    </row>
    <row r="21" spans="1:16" ht="15" customHeight="1">
      <c r="A21" s="127" t="s">
        <v>140</v>
      </c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30"/>
      <c r="N21" s="130"/>
      <c r="O21" s="131"/>
      <c r="P21" s="132"/>
    </row>
    <row r="22" spans="1:16" ht="148.35" customHeight="1">
      <c r="A22" s="6" t="s">
        <v>141</v>
      </c>
      <c r="B22" s="6" t="s">
        <v>142</v>
      </c>
      <c r="C22" s="6" t="s">
        <v>143</v>
      </c>
      <c r="D22" s="6" t="s">
        <v>144</v>
      </c>
      <c r="E22" s="6" t="s">
        <v>145</v>
      </c>
      <c r="F22" s="6" t="s">
        <v>146</v>
      </c>
      <c r="G22" s="10" t="s">
        <v>75</v>
      </c>
      <c r="H22" s="10" t="s">
        <v>75</v>
      </c>
      <c r="I22" s="18" t="s">
        <v>76</v>
      </c>
      <c r="J22" s="9" t="s">
        <v>57</v>
      </c>
      <c r="K22" s="22" t="s">
        <v>68</v>
      </c>
      <c r="L22" s="22" t="s">
        <v>68</v>
      </c>
      <c r="M22" s="22">
        <v>341.16910000000001</v>
      </c>
      <c r="N22" s="22">
        <v>216.982</v>
      </c>
      <c r="O22" s="22">
        <v>300.11219999999997</v>
      </c>
      <c r="P22" s="22">
        <v>1</v>
      </c>
    </row>
    <row r="23" spans="1:16" ht="155.4" customHeight="1">
      <c r="A23" s="3" t="s">
        <v>147</v>
      </c>
      <c r="B23" s="3" t="s">
        <v>142</v>
      </c>
      <c r="C23" s="3" t="s">
        <v>143</v>
      </c>
      <c r="D23" s="3" t="s">
        <v>148</v>
      </c>
      <c r="E23" s="3" t="s">
        <v>149</v>
      </c>
      <c r="F23" s="3" t="s">
        <v>150</v>
      </c>
      <c r="G23" s="13" t="s">
        <v>75</v>
      </c>
      <c r="H23" s="13" t="s">
        <v>75</v>
      </c>
      <c r="I23" s="18" t="s">
        <v>76</v>
      </c>
      <c r="J23" s="7" t="s">
        <v>57</v>
      </c>
      <c r="K23" s="21" t="s">
        <v>68</v>
      </c>
      <c r="L23" s="21" t="s">
        <v>68</v>
      </c>
      <c r="M23" s="85">
        <v>147.44970000000001</v>
      </c>
      <c r="N23" s="83">
        <v>98.072500000000005</v>
      </c>
      <c r="O23" s="83">
        <v>177.09270000000001</v>
      </c>
      <c r="P23" s="84">
        <v>1</v>
      </c>
    </row>
    <row r="24" spans="1:16" ht="70.650000000000006" customHeight="1">
      <c r="A24" s="6" t="s">
        <v>151</v>
      </c>
      <c r="B24" s="6" t="s">
        <v>152</v>
      </c>
      <c r="C24" s="6" t="s">
        <v>153</v>
      </c>
      <c r="D24" s="6" t="s">
        <v>154</v>
      </c>
      <c r="E24" s="6" t="s">
        <v>155</v>
      </c>
      <c r="F24" s="6" t="s">
        <v>156</v>
      </c>
      <c r="G24" s="10" t="s">
        <v>75</v>
      </c>
      <c r="H24" s="10" t="s">
        <v>75</v>
      </c>
      <c r="I24" s="18" t="s">
        <v>76</v>
      </c>
      <c r="J24" s="9" t="s">
        <v>57</v>
      </c>
      <c r="K24" s="22" t="s">
        <v>68</v>
      </c>
      <c r="L24" s="22" t="s">
        <v>68</v>
      </c>
      <c r="M24" s="22">
        <v>180.71279999999999</v>
      </c>
      <c r="N24" s="22"/>
      <c r="O24" s="22"/>
      <c r="P24" s="22">
        <v>1</v>
      </c>
    </row>
    <row r="25" spans="1:16" ht="107.55" customHeight="1">
      <c r="A25" s="44" t="s">
        <v>157</v>
      </c>
      <c r="B25" s="111" t="s">
        <v>158</v>
      </c>
      <c r="C25" s="111" t="s">
        <v>159</v>
      </c>
      <c r="D25" s="111" t="s">
        <v>160</v>
      </c>
      <c r="E25" s="111" t="s">
        <v>161</v>
      </c>
      <c r="F25" s="111" t="s">
        <v>162</v>
      </c>
      <c r="G25" s="12" t="s">
        <v>75</v>
      </c>
      <c r="H25" s="12" t="s">
        <v>75</v>
      </c>
      <c r="I25" s="18" t="s">
        <v>76</v>
      </c>
      <c r="J25" s="112" t="s">
        <v>163</v>
      </c>
      <c r="K25" s="112" t="s">
        <v>58</v>
      </c>
      <c r="L25" s="112" t="s">
        <v>164</v>
      </c>
      <c r="M25" s="86"/>
      <c r="N25" s="86"/>
      <c r="O25" s="83"/>
      <c r="P25" s="84">
        <v>1</v>
      </c>
    </row>
    <row r="26" spans="1:16">
      <c r="A26" s="1"/>
      <c r="B26" s="1"/>
      <c r="C26" s="1"/>
      <c r="D26" s="1"/>
      <c r="E26" s="1"/>
      <c r="F26" s="1"/>
      <c r="G26" s="1"/>
      <c r="H26" s="1"/>
      <c r="J26" s="1"/>
    </row>
    <row r="27" spans="1:16">
      <c r="A27" s="1"/>
      <c r="B27" s="1"/>
      <c r="C27" s="1"/>
      <c r="D27" s="1"/>
      <c r="E27" s="1"/>
      <c r="F27" s="1"/>
      <c r="G27" s="1"/>
      <c r="H27" s="1"/>
      <c r="J27" s="1"/>
    </row>
    <row r="28" spans="1:16">
      <c r="A28" s="1"/>
      <c r="B28" s="1"/>
      <c r="C28" s="1"/>
      <c r="D28" s="1"/>
      <c r="E28" s="1"/>
      <c r="F28" s="1"/>
      <c r="G28" s="1"/>
      <c r="H28" s="1"/>
      <c r="J28" s="1"/>
    </row>
    <row r="29" spans="1:16">
      <c r="A29" s="1"/>
      <c r="B29" s="1"/>
      <c r="C29" s="1"/>
      <c r="D29" s="1"/>
      <c r="E29" s="1"/>
      <c r="F29" s="1"/>
      <c r="G29" s="1"/>
      <c r="H29" s="1"/>
      <c r="J29" s="1"/>
    </row>
    <row r="30" spans="1:16">
      <c r="A30" s="1"/>
      <c r="B30" s="1"/>
      <c r="C30" s="1"/>
      <c r="D30" s="1"/>
      <c r="E30" s="1"/>
      <c r="F30" s="1"/>
      <c r="G30" s="1"/>
      <c r="H30" s="1"/>
      <c r="J30" s="1"/>
    </row>
  </sheetData>
  <mergeCells count="2">
    <mergeCell ref="A1:P1"/>
    <mergeCell ref="A21:P2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41"/>
  <sheetViews>
    <sheetView workbookViewId="0">
      <selection sqref="A1:BL1"/>
    </sheetView>
  </sheetViews>
  <sheetFormatPr defaultRowHeight="13.8"/>
  <cols>
    <col min="1" max="1" width="30.19921875" customWidth="1"/>
    <col min="2" max="2" width="30.19921875" style="15" customWidth="1"/>
    <col min="3" max="4" width="11.8984375" style="15" customWidth="1"/>
    <col min="5" max="5" width="30.19921875" style="15" customWidth="1"/>
    <col min="6" max="7" width="11.8984375" customWidth="1"/>
    <col min="8" max="8" width="30.19921875" style="15" customWidth="1"/>
    <col min="9" max="9" width="9.69921875" customWidth="1"/>
    <col min="10" max="10" width="10.8984375" customWidth="1"/>
    <col min="11" max="11" width="30.19921875" style="15" customWidth="1"/>
    <col min="12" max="13" width="11.8984375" customWidth="1"/>
    <col min="14" max="14" width="30.19921875" style="15" customWidth="1"/>
    <col min="15" max="16" width="11.8984375" customWidth="1"/>
    <col min="17" max="17" width="30.19921875" style="15" customWidth="1"/>
    <col min="18" max="19" width="11.8984375" customWidth="1"/>
    <col min="20" max="20" width="30.19921875" style="15" customWidth="1"/>
    <col min="21" max="21" width="10.8984375" customWidth="1"/>
    <col min="22" max="22" width="28.69921875" customWidth="1"/>
    <col min="23" max="23" width="30.5" style="15" customWidth="1"/>
    <col min="24" max="24" width="9.19921875" customWidth="1"/>
    <col min="25" max="25" width="8.69921875" customWidth="1"/>
    <col min="26" max="26" width="30.19921875" customWidth="1"/>
    <col min="28" max="28" width="10.796875" customWidth="1"/>
    <col min="29" max="29" width="30.19921875" customWidth="1"/>
    <col min="32" max="32" width="30.19921875" customWidth="1"/>
    <col min="35" max="35" width="30.19921875" customWidth="1"/>
    <col min="38" max="38" width="30.19921875" customWidth="1"/>
    <col min="41" max="41" width="30.19921875" customWidth="1"/>
    <col min="44" max="44" width="30.19921875" style="15" customWidth="1"/>
    <col min="45" max="45" width="9.8984375" style="15" customWidth="1"/>
    <col min="46" max="46" width="8.3984375" style="15" customWidth="1"/>
    <col min="47" max="47" width="30.19921875" customWidth="1"/>
    <col min="49" max="49" width="9.796875" customWidth="1"/>
    <col min="50" max="50" width="30.19921875" customWidth="1"/>
    <col min="53" max="53" width="30.19921875" style="15" customWidth="1"/>
    <col min="54" max="54" width="9.3984375" style="15" customWidth="1"/>
    <col min="55" max="55" width="9.796875" style="15" customWidth="1"/>
    <col min="56" max="56" width="30.19921875" customWidth="1"/>
    <col min="59" max="59" width="30.19921875" customWidth="1"/>
    <col min="62" max="62" width="30.19921875" customWidth="1"/>
  </cols>
  <sheetData>
    <row r="1" spans="1:64" ht="17.850000000000001" customHeight="1">
      <c r="A1" s="137" t="s">
        <v>165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  <c r="BI1" s="137"/>
      <c r="BJ1" s="137"/>
      <c r="BK1" s="137"/>
      <c r="BL1" s="137"/>
    </row>
    <row r="2" spans="1:64">
      <c r="A2" s="43" t="s">
        <v>37</v>
      </c>
      <c r="B2" s="138" t="s">
        <v>59</v>
      </c>
      <c r="C2" s="138"/>
      <c r="D2" s="138"/>
      <c r="E2" s="134" t="s">
        <v>70</v>
      </c>
      <c r="F2" s="134"/>
      <c r="G2" s="134"/>
      <c r="H2" s="134"/>
      <c r="I2" s="134"/>
      <c r="J2" s="134"/>
      <c r="K2" s="138" t="s">
        <v>88</v>
      </c>
      <c r="L2" s="138"/>
      <c r="M2" s="138"/>
      <c r="N2" s="138" t="s">
        <v>93</v>
      </c>
      <c r="O2" s="138"/>
      <c r="P2" s="138"/>
      <c r="Q2" s="138"/>
      <c r="R2" s="138"/>
      <c r="S2" s="138"/>
      <c r="T2" s="138" t="s">
        <v>115</v>
      </c>
      <c r="U2" s="138"/>
      <c r="V2" s="138"/>
      <c r="W2" s="138" t="s">
        <v>119</v>
      </c>
      <c r="X2" s="138"/>
      <c r="Y2" s="138"/>
      <c r="Z2" s="138"/>
      <c r="AA2" s="138"/>
      <c r="AB2" s="138"/>
      <c r="AC2" s="134" t="s">
        <v>129</v>
      </c>
      <c r="AD2" s="134"/>
      <c r="AE2" s="134"/>
      <c r="AF2" s="138" t="s">
        <v>133</v>
      </c>
      <c r="AG2" s="138"/>
      <c r="AH2" s="138"/>
      <c r="AI2" s="138"/>
      <c r="AJ2" s="138"/>
      <c r="AK2" s="138"/>
      <c r="AL2" s="134" t="s">
        <v>141</v>
      </c>
      <c r="AM2" s="134"/>
      <c r="AN2" s="134"/>
      <c r="AO2" s="134"/>
      <c r="AP2" s="134"/>
      <c r="AQ2" s="134"/>
      <c r="AR2" s="134"/>
      <c r="AS2" s="134"/>
      <c r="AT2" s="134"/>
      <c r="AU2" s="138" t="s">
        <v>166</v>
      </c>
      <c r="AV2" s="138"/>
      <c r="AW2" s="138"/>
      <c r="AX2" s="138"/>
      <c r="AY2" s="138"/>
      <c r="AZ2" s="138"/>
      <c r="BA2" s="138"/>
      <c r="BB2" s="138"/>
      <c r="BC2" s="138"/>
      <c r="BD2" s="134" t="s">
        <v>151</v>
      </c>
      <c r="BE2" s="134"/>
      <c r="BF2" s="134"/>
      <c r="BG2" s="145" t="s">
        <v>167</v>
      </c>
      <c r="BH2" s="145"/>
      <c r="BI2" s="145"/>
      <c r="BJ2" s="145"/>
      <c r="BK2" s="145"/>
      <c r="BL2" s="145"/>
    </row>
    <row r="3" spans="1:64" s="15" customFormat="1">
      <c r="A3" s="142" t="s">
        <v>168</v>
      </c>
      <c r="B3" s="142" t="s">
        <v>169</v>
      </c>
      <c r="C3" s="142"/>
      <c r="D3" s="142"/>
      <c r="E3" s="142" t="s">
        <v>169</v>
      </c>
      <c r="F3" s="142"/>
      <c r="G3" s="142"/>
      <c r="H3" s="142" t="s">
        <v>170</v>
      </c>
      <c r="I3" s="142"/>
      <c r="J3" s="142"/>
      <c r="K3" s="142" t="s">
        <v>169</v>
      </c>
      <c r="L3" s="142"/>
      <c r="M3" s="142"/>
      <c r="N3" s="142" t="s">
        <v>169</v>
      </c>
      <c r="O3" s="142"/>
      <c r="P3" s="142"/>
      <c r="Q3" s="142" t="s">
        <v>170</v>
      </c>
      <c r="R3" s="142"/>
      <c r="S3" s="142"/>
      <c r="T3" s="142" t="s">
        <v>169</v>
      </c>
      <c r="U3" s="142"/>
      <c r="V3" s="142"/>
      <c r="W3" s="142" t="s">
        <v>169</v>
      </c>
      <c r="X3" s="142"/>
      <c r="Y3" s="142"/>
      <c r="Z3" s="142" t="s">
        <v>170</v>
      </c>
      <c r="AA3" s="142"/>
      <c r="AB3" s="142"/>
      <c r="AC3" s="142" t="s">
        <v>169</v>
      </c>
      <c r="AD3" s="142"/>
      <c r="AE3" s="142"/>
      <c r="AF3" s="142" t="s">
        <v>169</v>
      </c>
      <c r="AG3" s="142"/>
      <c r="AH3" s="142"/>
      <c r="AI3" s="142" t="s">
        <v>170</v>
      </c>
      <c r="AJ3" s="142"/>
      <c r="AK3" s="142"/>
      <c r="AL3" s="142" t="s">
        <v>169</v>
      </c>
      <c r="AM3" s="142"/>
      <c r="AN3" s="142"/>
      <c r="AO3" s="142" t="s">
        <v>170</v>
      </c>
      <c r="AP3" s="142"/>
      <c r="AQ3" s="142"/>
      <c r="AR3" s="142" t="s">
        <v>171</v>
      </c>
      <c r="AS3" s="142"/>
      <c r="AT3" s="142"/>
      <c r="AU3" s="142" t="s">
        <v>169</v>
      </c>
      <c r="AV3" s="142"/>
      <c r="AW3" s="142"/>
      <c r="AX3" s="142" t="s">
        <v>170</v>
      </c>
      <c r="AY3" s="142"/>
      <c r="AZ3" s="142"/>
      <c r="BA3" s="142" t="s">
        <v>171</v>
      </c>
      <c r="BB3" s="142"/>
      <c r="BC3" s="142"/>
      <c r="BD3" s="142" t="s">
        <v>169</v>
      </c>
      <c r="BE3" s="142"/>
      <c r="BF3" s="142"/>
      <c r="BG3" s="142" t="s">
        <v>169</v>
      </c>
      <c r="BH3" s="142"/>
      <c r="BI3" s="142"/>
      <c r="BJ3" s="142" t="s">
        <v>170</v>
      </c>
      <c r="BK3" s="142"/>
      <c r="BL3" s="142"/>
    </row>
    <row r="4" spans="1:64">
      <c r="A4" s="142"/>
      <c r="B4" s="24" t="s">
        <v>172</v>
      </c>
      <c r="C4" s="25" t="s">
        <v>173</v>
      </c>
      <c r="D4" s="35" t="s">
        <v>174</v>
      </c>
      <c r="E4" s="24" t="s">
        <v>172</v>
      </c>
      <c r="F4" s="25" t="s">
        <v>173</v>
      </c>
      <c r="G4" s="35" t="s">
        <v>174</v>
      </c>
      <c r="H4" s="24" t="s">
        <v>172</v>
      </c>
      <c r="I4" s="25" t="s">
        <v>173</v>
      </c>
      <c r="J4" s="35" t="s">
        <v>174</v>
      </c>
      <c r="K4" s="24" t="s">
        <v>172</v>
      </c>
      <c r="L4" s="25" t="s">
        <v>173</v>
      </c>
      <c r="M4" s="35" t="s">
        <v>174</v>
      </c>
      <c r="N4" s="24" t="s">
        <v>172</v>
      </c>
      <c r="O4" s="25" t="s">
        <v>173</v>
      </c>
      <c r="P4" s="35" t="s">
        <v>174</v>
      </c>
      <c r="Q4" s="24" t="s">
        <v>172</v>
      </c>
      <c r="R4" s="25" t="s">
        <v>173</v>
      </c>
      <c r="S4" s="35" t="s">
        <v>174</v>
      </c>
      <c r="T4" s="24" t="s">
        <v>172</v>
      </c>
      <c r="U4" s="25" t="s">
        <v>173</v>
      </c>
      <c r="V4" s="35" t="s">
        <v>174</v>
      </c>
      <c r="W4" s="24" t="s">
        <v>172</v>
      </c>
      <c r="X4" s="25" t="s">
        <v>173</v>
      </c>
      <c r="Y4" s="35" t="s">
        <v>174</v>
      </c>
      <c r="Z4" s="24" t="s">
        <v>172</v>
      </c>
      <c r="AA4" s="25" t="s">
        <v>173</v>
      </c>
      <c r="AB4" s="35" t="s">
        <v>174</v>
      </c>
      <c r="AC4" s="24" t="s">
        <v>172</v>
      </c>
      <c r="AD4" s="25" t="s">
        <v>173</v>
      </c>
      <c r="AE4" s="35" t="s">
        <v>174</v>
      </c>
      <c r="AF4" s="24" t="s">
        <v>172</v>
      </c>
      <c r="AG4" s="25" t="s">
        <v>173</v>
      </c>
      <c r="AH4" s="35" t="s">
        <v>174</v>
      </c>
      <c r="AI4" s="24" t="s">
        <v>172</v>
      </c>
      <c r="AJ4" s="25" t="s">
        <v>173</v>
      </c>
      <c r="AK4" s="35" t="s">
        <v>174</v>
      </c>
      <c r="AL4" s="24" t="s">
        <v>172</v>
      </c>
      <c r="AM4" s="25" t="s">
        <v>173</v>
      </c>
      <c r="AN4" s="35" t="s">
        <v>174</v>
      </c>
      <c r="AO4" s="24" t="s">
        <v>172</v>
      </c>
      <c r="AP4" s="25" t="s">
        <v>173</v>
      </c>
      <c r="AQ4" s="35" t="s">
        <v>174</v>
      </c>
      <c r="AR4" s="24" t="s">
        <v>172</v>
      </c>
      <c r="AS4" s="25" t="s">
        <v>173</v>
      </c>
      <c r="AT4" s="35" t="s">
        <v>174</v>
      </c>
      <c r="AU4" s="24" t="s">
        <v>172</v>
      </c>
      <c r="AV4" s="25" t="s">
        <v>173</v>
      </c>
      <c r="AW4" s="35" t="s">
        <v>174</v>
      </c>
      <c r="AX4" s="24" t="s">
        <v>172</v>
      </c>
      <c r="AY4" s="25" t="s">
        <v>173</v>
      </c>
      <c r="AZ4" s="35" t="s">
        <v>174</v>
      </c>
      <c r="BA4" s="24" t="s">
        <v>172</v>
      </c>
      <c r="BB4" s="25" t="s">
        <v>173</v>
      </c>
      <c r="BC4" s="35" t="s">
        <v>174</v>
      </c>
      <c r="BD4" s="24" t="s">
        <v>172</v>
      </c>
      <c r="BE4" s="25" t="s">
        <v>173</v>
      </c>
      <c r="BF4" s="35" t="s">
        <v>174</v>
      </c>
      <c r="BG4" s="24" t="s">
        <v>172</v>
      </c>
      <c r="BH4" s="25" t="s">
        <v>173</v>
      </c>
      <c r="BI4" s="35" t="s">
        <v>174</v>
      </c>
      <c r="BJ4" s="24" t="s">
        <v>172</v>
      </c>
      <c r="BK4" s="25" t="s">
        <v>173</v>
      </c>
      <c r="BL4" s="35" t="s">
        <v>174</v>
      </c>
    </row>
    <row r="5" spans="1:64">
      <c r="A5" s="21" t="s">
        <v>175</v>
      </c>
      <c r="B5" s="36">
        <f>D5-C5</f>
        <v>1.2883</v>
      </c>
      <c r="C5" s="31">
        <v>0.26569999999999999</v>
      </c>
      <c r="D5" s="31">
        <v>1.554</v>
      </c>
      <c r="E5" s="36">
        <f>G5-F5</f>
        <v>1.0272000000000001</v>
      </c>
      <c r="F5" s="31">
        <v>0.53090000000000004</v>
      </c>
      <c r="G5" s="21">
        <v>1.5581</v>
      </c>
      <c r="H5" s="36">
        <f>J5-I5</f>
        <v>0.98620000000000008</v>
      </c>
      <c r="I5" s="21">
        <v>0.55389999999999995</v>
      </c>
      <c r="J5" s="31">
        <v>1.5401</v>
      </c>
      <c r="K5" s="36">
        <f>M5-L5</f>
        <v>1.0001000000000002</v>
      </c>
      <c r="L5" s="21">
        <v>0.54959999999999998</v>
      </c>
      <c r="M5" s="31">
        <v>1.5497000000000001</v>
      </c>
      <c r="N5" s="36">
        <f>P5-O5</f>
        <v>1.0285</v>
      </c>
      <c r="O5" s="21">
        <v>0.5222</v>
      </c>
      <c r="P5" s="31">
        <v>1.5507</v>
      </c>
      <c r="Q5" s="36">
        <f>S5-R5</f>
        <v>1.0349999999999999</v>
      </c>
      <c r="R5" s="21">
        <v>0.5161</v>
      </c>
      <c r="S5" s="31">
        <v>1.5510999999999999</v>
      </c>
      <c r="T5" s="36">
        <f>V5-U5</f>
        <v>1.0095999999999998</v>
      </c>
      <c r="U5" s="21">
        <v>0.53769999999999996</v>
      </c>
      <c r="V5" s="31">
        <v>1.5472999999999999</v>
      </c>
      <c r="W5" s="36">
        <f>Y5-X5</f>
        <v>0.99439999999999995</v>
      </c>
      <c r="X5" s="21">
        <v>0.53669999999999995</v>
      </c>
      <c r="Y5" s="31">
        <v>1.5310999999999999</v>
      </c>
      <c r="Z5" s="36">
        <f>AB5-AA5</f>
        <v>1.0101</v>
      </c>
      <c r="AA5" s="21">
        <v>0.53749999999999998</v>
      </c>
      <c r="AB5" s="31">
        <v>1.5476000000000001</v>
      </c>
      <c r="AC5" s="36">
        <f>AE5-AD5</f>
        <v>1.0547</v>
      </c>
      <c r="AD5" s="21">
        <v>0.54590000000000005</v>
      </c>
      <c r="AE5" s="21">
        <v>1.6006</v>
      </c>
      <c r="AF5" s="36">
        <f>AH5-AG5</f>
        <v>1.04</v>
      </c>
      <c r="AG5" s="21">
        <v>0.52700000000000002</v>
      </c>
      <c r="AH5" s="21">
        <v>1.5669999999999999</v>
      </c>
      <c r="AI5" s="36">
        <f>AK5-AJ5</f>
        <v>1.0369999999999999</v>
      </c>
      <c r="AJ5" s="21">
        <v>0.52529999999999999</v>
      </c>
      <c r="AK5" s="21">
        <v>1.5623</v>
      </c>
      <c r="AL5" s="36">
        <f>AN5-AM5</f>
        <v>1.0243</v>
      </c>
      <c r="AM5" s="21">
        <v>0.54190000000000005</v>
      </c>
      <c r="AN5" s="21">
        <v>1.5662</v>
      </c>
      <c r="AO5" s="36">
        <f>AQ5-AP5</f>
        <v>1.0221</v>
      </c>
      <c r="AP5" s="21">
        <f>0.5323</f>
        <v>0.5323</v>
      </c>
      <c r="AQ5" s="21">
        <v>1.5544</v>
      </c>
      <c r="AR5" s="36">
        <f>AT5-AS5</f>
        <v>1.028</v>
      </c>
      <c r="AS5" s="21">
        <v>0.54200000000000004</v>
      </c>
      <c r="AT5" s="34">
        <v>1.57</v>
      </c>
      <c r="AU5" s="36">
        <f>AW5-AV5</f>
        <v>1.1166</v>
      </c>
      <c r="AV5" s="21">
        <v>0.54090000000000005</v>
      </c>
      <c r="AW5" s="31">
        <v>1.6575</v>
      </c>
      <c r="AX5" s="36">
        <f>AZ5-AY5</f>
        <v>1.0138</v>
      </c>
      <c r="AY5" s="21">
        <v>0.52259999999999995</v>
      </c>
      <c r="AZ5" s="31">
        <v>1.5364</v>
      </c>
      <c r="BA5" s="36">
        <f>BC5-BB5</f>
        <v>1.1286999999999998</v>
      </c>
      <c r="BB5" s="21">
        <v>0.43459999999999999</v>
      </c>
      <c r="BC5" s="31">
        <v>1.5632999999999999</v>
      </c>
      <c r="BD5" s="22">
        <f>BF5-BE5</f>
        <v>0.82479999999999998</v>
      </c>
      <c r="BE5" s="21">
        <v>0.54390000000000005</v>
      </c>
      <c r="BF5" s="21">
        <v>1.3687</v>
      </c>
      <c r="BG5" s="36">
        <f>BI5-BH5</f>
        <v>0.83779999999999999</v>
      </c>
      <c r="BH5" s="31">
        <v>0.53090000000000004</v>
      </c>
      <c r="BI5" s="21">
        <v>1.3687</v>
      </c>
      <c r="BJ5" s="36">
        <f>BL5-BK5</f>
        <v>0.90290000000000015</v>
      </c>
      <c r="BK5" s="21">
        <v>0.55389999999999995</v>
      </c>
      <c r="BL5" s="21">
        <v>1.4568000000000001</v>
      </c>
    </row>
    <row r="6" spans="1:64">
      <c r="A6" s="21" t="s">
        <v>176</v>
      </c>
      <c r="B6" s="36">
        <f t="shared" ref="B6:B17" si="0">D6-C6</f>
        <v>17.896800000000002</v>
      </c>
      <c r="C6" s="31">
        <v>15.5215</v>
      </c>
      <c r="D6" s="31">
        <v>33.418300000000002</v>
      </c>
      <c r="E6" s="36">
        <f t="shared" ref="E6:E17" si="1">G6-F6</f>
        <v>3.0237999999999996</v>
      </c>
      <c r="F6" s="31">
        <v>5.9261999999999997</v>
      </c>
      <c r="G6" s="21">
        <v>8.9499999999999993</v>
      </c>
      <c r="H6" s="36">
        <f t="shared" ref="H6:H17" si="2">J6-I6</f>
        <v>4.1568000000000005</v>
      </c>
      <c r="I6" s="21">
        <v>7.0374999999999996</v>
      </c>
      <c r="J6" s="31">
        <v>11.1943</v>
      </c>
      <c r="K6" s="36">
        <f>M6-L6</f>
        <v>18.422800000000002</v>
      </c>
      <c r="L6" s="21">
        <v>15.5098</v>
      </c>
      <c r="M6" s="31">
        <v>33.932600000000001</v>
      </c>
      <c r="N6" s="36">
        <f t="shared" ref="N6:N17" si="3">P6-O6</f>
        <v>4.4421000000000008</v>
      </c>
      <c r="O6" s="21">
        <v>7.0385999999999997</v>
      </c>
      <c r="P6" s="31">
        <v>11.480700000000001</v>
      </c>
      <c r="Q6" s="36">
        <f t="shared" ref="Q6:Q17" si="4">S6-R6</f>
        <v>4.9676</v>
      </c>
      <c r="R6" s="21">
        <v>5.8837999999999999</v>
      </c>
      <c r="S6" s="31">
        <v>10.8514</v>
      </c>
      <c r="T6" s="36">
        <f t="shared" ref="T6:T17" si="5">V6-U6</f>
        <v>16.136400000000002</v>
      </c>
      <c r="U6" s="21">
        <v>15.5428</v>
      </c>
      <c r="V6" s="31">
        <v>31.679200000000002</v>
      </c>
      <c r="W6" s="36">
        <f t="shared" ref="W6:W17" si="6">Y6-X6</f>
        <v>4.4225999999999992</v>
      </c>
      <c r="X6" s="21">
        <v>7.0585000000000004</v>
      </c>
      <c r="Y6" s="31">
        <v>11.4811</v>
      </c>
      <c r="Z6" s="36">
        <f t="shared" ref="Z6:Z17" si="7">AB6-AA6</f>
        <v>3.6153000000000004</v>
      </c>
      <c r="AA6" s="21">
        <v>7.0490000000000004</v>
      </c>
      <c r="AB6" s="31">
        <v>10.664300000000001</v>
      </c>
      <c r="AC6" s="36">
        <f t="shared" ref="AC6:AC17" si="8">AE6-AD6</f>
        <v>16.9542</v>
      </c>
      <c r="AD6" s="21">
        <v>15.520200000000001</v>
      </c>
      <c r="AE6" s="21">
        <v>32.474400000000003</v>
      </c>
      <c r="AF6" s="36">
        <f t="shared" ref="AF6:AF17" si="9">AH6-AG6</f>
        <v>4.8864000000000001</v>
      </c>
      <c r="AG6" s="21">
        <v>7.0578000000000003</v>
      </c>
      <c r="AH6" s="21">
        <v>11.9442</v>
      </c>
      <c r="AI6" s="36">
        <f t="shared" ref="AI6:AI17" si="10">AK6-AJ6</f>
        <v>3.7397999999999989</v>
      </c>
      <c r="AJ6" s="21">
        <v>7.0509000000000004</v>
      </c>
      <c r="AK6" s="21">
        <v>10.790699999999999</v>
      </c>
      <c r="AL6" s="36">
        <f t="shared" ref="AL6:AL17" si="11">AN6-AM6</f>
        <v>6.0639000000000003</v>
      </c>
      <c r="AM6" s="21">
        <v>5.8789999999999996</v>
      </c>
      <c r="AN6" s="21">
        <v>11.9429</v>
      </c>
      <c r="AO6" s="36">
        <f t="shared" ref="AO6:AO17" si="12">AQ6-AP6</f>
        <v>4.6499000000000006</v>
      </c>
      <c r="AP6" s="21">
        <v>7.0557999999999996</v>
      </c>
      <c r="AQ6" s="21">
        <v>11.7057</v>
      </c>
      <c r="AR6" s="36">
        <f t="shared" ref="AR6:AR17" si="13">AT6-AS6</f>
        <v>5.3549999999999995</v>
      </c>
      <c r="AS6" s="21">
        <v>7.0347</v>
      </c>
      <c r="AT6" s="34">
        <v>12.389699999999999</v>
      </c>
      <c r="AU6" s="36">
        <f t="shared" ref="AU6:AU17" si="14">AW6-AV6</f>
        <v>2.6578999999999997</v>
      </c>
      <c r="AV6" s="21">
        <v>7.0434000000000001</v>
      </c>
      <c r="AW6" s="31">
        <v>9.7012999999999998</v>
      </c>
      <c r="AX6" s="36">
        <f t="shared" ref="AX6:AX17" si="15">AZ6-AY6</f>
        <v>3.5866999999999996</v>
      </c>
      <c r="AY6" s="21">
        <v>7.0445000000000002</v>
      </c>
      <c r="AZ6" s="31">
        <v>10.6312</v>
      </c>
      <c r="BA6" s="36">
        <f t="shared" ref="BA6:BA17" si="16">BC6-BB6</f>
        <v>3.077</v>
      </c>
      <c r="BB6" s="21">
        <v>7.0434000000000001</v>
      </c>
      <c r="BC6" s="31">
        <v>10.1204</v>
      </c>
      <c r="BD6" s="22">
        <f t="shared" ref="BD6:BD17" si="17">BF6-BE6</f>
        <v>5.5494999999999992</v>
      </c>
      <c r="BE6" s="21">
        <v>7.0467000000000004</v>
      </c>
      <c r="BF6" s="21">
        <v>12.5962</v>
      </c>
      <c r="BG6" s="36">
        <f>BI6-BH6</f>
        <v>2.5237999999999996</v>
      </c>
      <c r="BH6" s="31">
        <v>5.9261999999999997</v>
      </c>
      <c r="BI6" s="21">
        <v>8.4499999999999993</v>
      </c>
      <c r="BJ6" s="36">
        <f t="shared" ref="BJ6:BJ17" si="18">BL6-BK6</f>
        <v>3.8754000000000008</v>
      </c>
      <c r="BK6" s="21">
        <v>7.0374999999999996</v>
      </c>
      <c r="BL6" s="21">
        <v>10.9129</v>
      </c>
    </row>
    <row r="7" spans="1:64">
      <c r="A7" s="21" t="s">
        <v>177</v>
      </c>
      <c r="B7" s="36">
        <f t="shared" si="0"/>
        <v>19.185100000000006</v>
      </c>
      <c r="C7" s="31">
        <v>15.7872</v>
      </c>
      <c r="D7" s="31">
        <f>D6+D5</f>
        <v>34.972300000000004</v>
      </c>
      <c r="E7" s="36">
        <f t="shared" si="1"/>
        <v>4.0509999999999993</v>
      </c>
      <c r="F7" s="31">
        <f>F6+F5</f>
        <v>6.4570999999999996</v>
      </c>
      <c r="G7" s="21">
        <f>G6+G5</f>
        <v>10.508099999999999</v>
      </c>
      <c r="H7" s="36">
        <f t="shared" si="2"/>
        <v>5.1430000000000007</v>
      </c>
      <c r="I7" s="21">
        <v>7.5914000000000001</v>
      </c>
      <c r="J7" s="31">
        <f>J6+J5</f>
        <v>12.734400000000001</v>
      </c>
      <c r="K7" s="36">
        <f t="shared" ref="K7:K17" si="19">M7-L7</f>
        <v>19.422900000000002</v>
      </c>
      <c r="L7" s="21">
        <f>L6+L5</f>
        <v>16.0594</v>
      </c>
      <c r="M7" s="31">
        <f>M6+M5</f>
        <v>35.482300000000002</v>
      </c>
      <c r="N7" s="36">
        <f t="shared" si="3"/>
        <v>5.4706000000000019</v>
      </c>
      <c r="O7" s="21">
        <f>O6+O5</f>
        <v>7.5607999999999995</v>
      </c>
      <c r="P7" s="31">
        <f>P6+P5</f>
        <v>13.031400000000001</v>
      </c>
      <c r="Q7" s="36">
        <f t="shared" si="4"/>
        <v>6.0026000000000002</v>
      </c>
      <c r="R7" s="21">
        <f>R6+R5</f>
        <v>6.3998999999999997</v>
      </c>
      <c r="S7" s="31">
        <f>S6+S5</f>
        <v>12.4025</v>
      </c>
      <c r="T7" s="36">
        <f t="shared" si="5"/>
        <v>17.146000000000001</v>
      </c>
      <c r="U7" s="21">
        <v>16.080500000000001</v>
      </c>
      <c r="V7" s="31">
        <f>V6+V5</f>
        <v>33.226500000000001</v>
      </c>
      <c r="W7" s="36">
        <f t="shared" si="6"/>
        <v>5.4169999999999998</v>
      </c>
      <c r="X7" s="21">
        <v>7.5952000000000002</v>
      </c>
      <c r="Y7" s="31">
        <f>Y6+Y5</f>
        <v>13.0122</v>
      </c>
      <c r="Z7" s="36">
        <f t="shared" si="7"/>
        <v>4.6254</v>
      </c>
      <c r="AA7" s="21">
        <v>7.5865</v>
      </c>
      <c r="AB7" s="31">
        <f>AB6+AB5</f>
        <v>12.2119</v>
      </c>
      <c r="AC7" s="36">
        <f t="shared" si="8"/>
        <v>18.009000000000004</v>
      </c>
      <c r="AD7" s="21">
        <v>16.065999999999999</v>
      </c>
      <c r="AE7" s="21">
        <f>AE6+AE5</f>
        <v>34.075000000000003</v>
      </c>
      <c r="AF7" s="36">
        <f t="shared" si="9"/>
        <v>5.9265000000000008</v>
      </c>
      <c r="AG7" s="21">
        <v>7.5846999999999998</v>
      </c>
      <c r="AH7" s="21">
        <f>AH6+AH5</f>
        <v>13.511200000000001</v>
      </c>
      <c r="AI7" s="36">
        <f t="shared" si="10"/>
        <v>4.7767999999999997</v>
      </c>
      <c r="AJ7" s="21">
        <f>AJ6+AJ5</f>
        <v>7.5762</v>
      </c>
      <c r="AK7" s="21">
        <f>AK6+AK5</f>
        <v>12.353</v>
      </c>
      <c r="AL7" s="36">
        <f t="shared" si="11"/>
        <v>7.0882000000000005</v>
      </c>
      <c r="AM7" s="21">
        <f>AM6+AM5</f>
        <v>6.4208999999999996</v>
      </c>
      <c r="AN7" s="21">
        <f>AN6+AN5</f>
        <v>13.5091</v>
      </c>
      <c r="AO7" s="36">
        <f t="shared" si="12"/>
        <v>5.6719999999999997</v>
      </c>
      <c r="AP7" s="21">
        <f>AP6+AP5</f>
        <v>7.5880999999999998</v>
      </c>
      <c r="AQ7" s="21">
        <f>AQ6+AQ5</f>
        <v>13.2601</v>
      </c>
      <c r="AR7" s="36">
        <f t="shared" si="13"/>
        <v>6.383</v>
      </c>
      <c r="AS7" s="21">
        <v>7.5766999999999998</v>
      </c>
      <c r="AT7" s="34">
        <f>AT6+AT5</f>
        <v>13.9597</v>
      </c>
      <c r="AU7" s="36">
        <f t="shared" si="14"/>
        <v>3.7745000000000006</v>
      </c>
      <c r="AV7" s="21">
        <v>7.5842999999999998</v>
      </c>
      <c r="AW7" s="31">
        <f>AW6+AW5</f>
        <v>11.3588</v>
      </c>
      <c r="AX7" s="36">
        <f t="shared" si="15"/>
        <v>4.6005000000000003</v>
      </c>
      <c r="AY7" s="21">
        <f>AY6+AY5</f>
        <v>7.5670999999999999</v>
      </c>
      <c r="AZ7" s="31">
        <f>AZ6+AZ5</f>
        <v>12.1676</v>
      </c>
      <c r="BA7" s="36">
        <f t="shared" si="16"/>
        <v>4.2057000000000002</v>
      </c>
      <c r="BB7" s="21">
        <f>BB6+BB5</f>
        <v>7.4779999999999998</v>
      </c>
      <c r="BC7" s="31">
        <f>BC6+BC5</f>
        <v>11.6837</v>
      </c>
      <c r="BD7" s="22">
        <f t="shared" si="17"/>
        <v>6.3742999999999999</v>
      </c>
      <c r="BE7" s="21">
        <f>BE6+BE5</f>
        <v>7.5906000000000002</v>
      </c>
      <c r="BF7" s="21">
        <f>BF6+BF5</f>
        <v>13.9649</v>
      </c>
      <c r="BG7" s="36">
        <f t="shared" ref="BG7:BG17" si="20">BI7-BH7</f>
        <v>3.3616000000000001</v>
      </c>
      <c r="BH7" s="31">
        <f>BH6+BH5</f>
        <v>6.4570999999999996</v>
      </c>
      <c r="BI7" s="21">
        <f>BI6+BI5</f>
        <v>9.8186999999999998</v>
      </c>
      <c r="BJ7" s="36">
        <f t="shared" si="18"/>
        <v>4.7782999999999998</v>
      </c>
      <c r="BK7" s="21">
        <v>7.5914000000000001</v>
      </c>
      <c r="BL7" s="21">
        <f>BL6+BL5</f>
        <v>12.3697</v>
      </c>
    </row>
    <row r="8" spans="1:64">
      <c r="A8" s="21" t="s">
        <v>178</v>
      </c>
      <c r="B8" s="36">
        <f t="shared" si="0"/>
        <v>0</v>
      </c>
      <c r="C8" s="31">
        <v>0.93200000000000005</v>
      </c>
      <c r="D8" s="31">
        <v>0.93200000000000005</v>
      </c>
      <c r="E8" s="36">
        <f t="shared" si="1"/>
        <v>0</v>
      </c>
      <c r="F8" s="31">
        <v>1.05</v>
      </c>
      <c r="G8" s="31">
        <v>1.05</v>
      </c>
      <c r="H8" s="36">
        <f t="shared" si="2"/>
        <v>0</v>
      </c>
      <c r="I8" s="31">
        <v>0.7</v>
      </c>
      <c r="J8" s="31">
        <v>0.7</v>
      </c>
      <c r="K8" s="36">
        <f t="shared" si="19"/>
        <v>0</v>
      </c>
      <c r="L8" s="32">
        <v>0.57699999999999996</v>
      </c>
      <c r="M8" s="31">
        <v>0.57699999999999996</v>
      </c>
      <c r="N8" s="36">
        <f t="shared" si="3"/>
        <v>0</v>
      </c>
      <c r="O8" s="21">
        <v>0.88</v>
      </c>
      <c r="P8" s="31">
        <v>0.88</v>
      </c>
      <c r="Q8" s="36">
        <f t="shared" si="4"/>
        <v>0</v>
      </c>
      <c r="R8" s="31">
        <v>0.39</v>
      </c>
      <c r="S8" s="31">
        <v>0.39</v>
      </c>
      <c r="T8" s="36">
        <f t="shared" si="5"/>
        <v>0</v>
      </c>
      <c r="U8" s="31">
        <v>1.0169999999999999</v>
      </c>
      <c r="V8" s="31">
        <v>1.0169999999999999</v>
      </c>
      <c r="W8" s="36">
        <f t="shared" si="6"/>
        <v>0</v>
      </c>
      <c r="X8" s="31">
        <v>1.21</v>
      </c>
      <c r="Y8" s="31">
        <v>1.21</v>
      </c>
      <c r="Z8" s="36">
        <f t="shared" si="7"/>
        <v>0</v>
      </c>
      <c r="AA8" s="31">
        <v>0.88</v>
      </c>
      <c r="AB8" s="31">
        <v>0.88</v>
      </c>
      <c r="AC8" s="36">
        <f t="shared" si="8"/>
        <v>0</v>
      </c>
      <c r="AD8" s="21">
        <v>0.495</v>
      </c>
      <c r="AE8" s="21">
        <v>0.495</v>
      </c>
      <c r="AF8" s="36">
        <f t="shared" si="9"/>
        <v>0</v>
      </c>
      <c r="AG8" s="21">
        <v>0.72</v>
      </c>
      <c r="AH8" s="21">
        <v>0.72</v>
      </c>
      <c r="AI8" s="36">
        <f t="shared" si="10"/>
        <v>0</v>
      </c>
      <c r="AJ8" s="21">
        <v>0.25</v>
      </c>
      <c r="AK8" s="21">
        <v>0.25</v>
      </c>
      <c r="AL8" s="36">
        <f t="shared" si="11"/>
        <v>0</v>
      </c>
      <c r="AM8" s="21">
        <v>0.223</v>
      </c>
      <c r="AN8" s="21">
        <v>0.223</v>
      </c>
      <c r="AO8" s="36">
        <f t="shared" si="12"/>
        <v>0</v>
      </c>
      <c r="AP8" s="21">
        <v>0.88300000000000001</v>
      </c>
      <c r="AQ8" s="21">
        <v>0.88300000000000001</v>
      </c>
      <c r="AR8" s="36">
        <f t="shared" si="13"/>
        <v>0</v>
      </c>
      <c r="AS8" s="31">
        <v>1.1499999999999999</v>
      </c>
      <c r="AT8" s="34">
        <v>1.1499999999999999</v>
      </c>
      <c r="AU8" s="36">
        <f t="shared" si="14"/>
        <v>0</v>
      </c>
      <c r="AV8" s="31">
        <v>0.33900000000000002</v>
      </c>
      <c r="AW8" s="31">
        <v>0.33900000000000002</v>
      </c>
      <c r="AX8" s="36">
        <f t="shared" si="15"/>
        <v>0</v>
      </c>
      <c r="AY8" s="31">
        <v>0.82799999999999996</v>
      </c>
      <c r="AZ8" s="31">
        <v>0.82799999999999996</v>
      </c>
      <c r="BA8" s="36">
        <f t="shared" si="16"/>
        <v>0</v>
      </c>
      <c r="BB8" s="31">
        <v>1.2010000000000001</v>
      </c>
      <c r="BC8" s="31">
        <v>1.2010000000000001</v>
      </c>
      <c r="BD8" s="22">
        <f t="shared" si="17"/>
        <v>0</v>
      </c>
      <c r="BE8" s="21">
        <v>0.79200000000000004</v>
      </c>
      <c r="BF8" s="21">
        <v>0.79200000000000004</v>
      </c>
      <c r="BG8" s="36">
        <f t="shared" si="20"/>
        <v>0</v>
      </c>
      <c r="BH8" s="31">
        <v>1.05</v>
      </c>
      <c r="BI8" s="31">
        <v>1.05</v>
      </c>
      <c r="BJ8" s="36">
        <f t="shared" si="18"/>
        <v>0</v>
      </c>
      <c r="BK8" s="31">
        <v>0.7</v>
      </c>
      <c r="BL8" s="31">
        <v>0.7</v>
      </c>
    </row>
    <row r="9" spans="1:64">
      <c r="A9" s="21" t="s">
        <v>179</v>
      </c>
      <c r="B9" s="36">
        <f t="shared" si="0"/>
        <v>0</v>
      </c>
      <c r="C9" s="31">
        <v>0.23899999999999999</v>
      </c>
      <c r="D9" s="31">
        <v>0.23899999999999999</v>
      </c>
      <c r="E9" s="36">
        <f t="shared" si="1"/>
        <v>0</v>
      </c>
      <c r="F9" s="31">
        <v>-0.05</v>
      </c>
      <c r="G9" s="31">
        <v>-0.05</v>
      </c>
      <c r="H9" s="36">
        <f t="shared" si="2"/>
        <v>0</v>
      </c>
      <c r="I9" s="31">
        <v>0.32</v>
      </c>
      <c r="J9" s="31">
        <v>0.32</v>
      </c>
      <c r="K9" s="36">
        <f t="shared" si="19"/>
        <v>0</v>
      </c>
      <c r="L9" s="32">
        <v>0.75700000000000001</v>
      </c>
      <c r="M9" s="31">
        <v>0.75700000000000001</v>
      </c>
      <c r="N9" s="36">
        <f t="shared" si="3"/>
        <v>0</v>
      </c>
      <c r="O9" s="21">
        <v>0.45</v>
      </c>
      <c r="P9" s="31">
        <v>0.45</v>
      </c>
      <c r="Q9" s="36">
        <f t="shared" si="4"/>
        <v>0</v>
      </c>
      <c r="R9" s="31">
        <v>0.93</v>
      </c>
      <c r="S9" s="31">
        <v>0.93</v>
      </c>
      <c r="T9" s="36">
        <f t="shared" si="5"/>
        <v>0</v>
      </c>
      <c r="U9" s="31">
        <v>0.32200000000000001</v>
      </c>
      <c r="V9" s="31">
        <v>0.32200000000000001</v>
      </c>
      <c r="W9" s="36">
        <f t="shared" si="6"/>
        <v>0</v>
      </c>
      <c r="X9" s="31">
        <v>0.11</v>
      </c>
      <c r="Y9" s="31">
        <v>0.11</v>
      </c>
      <c r="Z9" s="36">
        <f t="shared" si="7"/>
        <v>0</v>
      </c>
      <c r="AA9" s="31">
        <v>0.48</v>
      </c>
      <c r="AB9" s="31">
        <v>0.48</v>
      </c>
      <c r="AC9" s="36">
        <f t="shared" si="8"/>
        <v>0</v>
      </c>
      <c r="AD9" s="21">
        <v>0.84499999999999997</v>
      </c>
      <c r="AE9" s="21">
        <v>0.84499999999999997</v>
      </c>
      <c r="AF9" s="36">
        <f t="shared" si="9"/>
        <v>0</v>
      </c>
      <c r="AG9" s="21">
        <v>0.63</v>
      </c>
      <c r="AH9" s="21">
        <v>0.63</v>
      </c>
      <c r="AI9" s="36">
        <f t="shared" si="10"/>
        <v>0</v>
      </c>
      <c r="AJ9" s="21">
        <v>0.97</v>
      </c>
      <c r="AK9" s="21">
        <v>0.97</v>
      </c>
      <c r="AL9" s="36">
        <f t="shared" si="11"/>
        <v>0</v>
      </c>
      <c r="AM9" s="21">
        <v>1.1399999999999999</v>
      </c>
      <c r="AN9" s="21">
        <v>1.1399999999999999</v>
      </c>
      <c r="AO9" s="36">
        <f t="shared" si="12"/>
        <v>0</v>
      </c>
      <c r="AP9" s="21">
        <v>0.58699999999999997</v>
      </c>
      <c r="AQ9" s="21">
        <v>0.58699999999999997</v>
      </c>
      <c r="AR9" s="36">
        <f t="shared" si="13"/>
        <v>0</v>
      </c>
      <c r="AS9" s="31">
        <v>-0.05</v>
      </c>
      <c r="AT9" s="34">
        <v>-0.05</v>
      </c>
      <c r="AU9" s="36">
        <f t="shared" si="14"/>
        <v>0</v>
      </c>
      <c r="AV9" s="31">
        <v>0.95399999999999996</v>
      </c>
      <c r="AW9" s="31">
        <v>0.95399999999999996</v>
      </c>
      <c r="AX9" s="36">
        <f t="shared" si="15"/>
        <v>0</v>
      </c>
      <c r="AY9" s="31">
        <v>0.63100000000000001</v>
      </c>
      <c r="AZ9" s="31">
        <v>0.63100000000000001</v>
      </c>
      <c r="BA9" s="36">
        <f t="shared" si="16"/>
        <v>0</v>
      </c>
      <c r="BB9" s="31">
        <v>5.0000000000000001E-3</v>
      </c>
      <c r="BC9" s="31">
        <v>5.0000000000000001E-3</v>
      </c>
      <c r="BD9" s="22">
        <f t="shared" si="17"/>
        <v>0</v>
      </c>
      <c r="BE9" s="21">
        <v>0.96399999999999997</v>
      </c>
      <c r="BF9" s="21">
        <v>0.96399999999999997</v>
      </c>
      <c r="BG9" s="36">
        <f t="shared" si="20"/>
        <v>0</v>
      </c>
      <c r="BH9" s="31">
        <v>-0.05</v>
      </c>
      <c r="BI9" s="31">
        <v>-0.05</v>
      </c>
      <c r="BJ9" s="36">
        <f t="shared" si="18"/>
        <v>0</v>
      </c>
      <c r="BK9" s="31">
        <v>0.32</v>
      </c>
      <c r="BL9" s="31">
        <v>0.32</v>
      </c>
    </row>
    <row r="10" spans="1:64">
      <c r="A10" s="21" t="s">
        <v>180</v>
      </c>
      <c r="B10" s="36">
        <f t="shared" si="0"/>
        <v>0</v>
      </c>
      <c r="C10" s="31">
        <v>-0.18</v>
      </c>
      <c r="D10" s="31">
        <v>-0.18</v>
      </c>
      <c r="E10" s="36">
        <f t="shared" si="1"/>
        <v>0</v>
      </c>
      <c r="F10" s="31">
        <v>-0.14000000000000001</v>
      </c>
      <c r="G10" s="31">
        <v>-0.14000000000000001</v>
      </c>
      <c r="H10" s="36">
        <f t="shared" si="2"/>
        <v>0</v>
      </c>
      <c r="I10" s="31">
        <v>-0.14000000000000001</v>
      </c>
      <c r="J10" s="31">
        <v>-0.14000000000000001</v>
      </c>
      <c r="K10" s="36">
        <f t="shared" si="19"/>
        <v>0</v>
      </c>
      <c r="L10" s="32">
        <v>-0.18</v>
      </c>
      <c r="M10" s="31">
        <v>-0.18</v>
      </c>
      <c r="N10" s="36">
        <f t="shared" si="3"/>
        <v>0</v>
      </c>
      <c r="O10" s="21">
        <v>-0.1</v>
      </c>
      <c r="P10" s="31">
        <v>-0.1</v>
      </c>
      <c r="Q10" s="36">
        <f t="shared" si="4"/>
        <v>0</v>
      </c>
      <c r="R10" s="31">
        <v>-0.14000000000000001</v>
      </c>
      <c r="S10" s="31">
        <v>-0.14000000000000001</v>
      </c>
      <c r="T10" s="36">
        <f t="shared" si="5"/>
        <v>0</v>
      </c>
      <c r="U10" s="31">
        <v>-6.25E-2</v>
      </c>
      <c r="V10" s="31">
        <v>-6.25E-2</v>
      </c>
      <c r="W10" s="36">
        <f t="shared" si="6"/>
        <v>0</v>
      </c>
      <c r="X10" s="31">
        <v>-0.02</v>
      </c>
      <c r="Y10" s="31">
        <v>-0.02</v>
      </c>
      <c r="Z10" s="36">
        <f t="shared" si="7"/>
        <v>0</v>
      </c>
      <c r="AA10" s="31">
        <v>-0.03</v>
      </c>
      <c r="AB10" s="31">
        <v>-0.03</v>
      </c>
      <c r="AC10" s="36">
        <f t="shared" si="8"/>
        <v>0</v>
      </c>
      <c r="AD10" s="21">
        <v>-6.25E-2</v>
      </c>
      <c r="AE10" s="21">
        <v>-6.25E-2</v>
      </c>
      <c r="AF10" s="36">
        <f t="shared" si="9"/>
        <v>0</v>
      </c>
      <c r="AG10" s="21">
        <v>-0.03</v>
      </c>
      <c r="AH10" s="21">
        <v>-0.03</v>
      </c>
      <c r="AI10" s="36">
        <f t="shared" si="10"/>
        <v>0</v>
      </c>
      <c r="AJ10" s="21">
        <v>-0.05</v>
      </c>
      <c r="AK10" s="21">
        <v>-0.05</v>
      </c>
      <c r="AL10" s="36">
        <f t="shared" si="11"/>
        <v>0</v>
      </c>
      <c r="AM10" s="21">
        <v>3.6999999999999998E-2</v>
      </c>
      <c r="AN10" s="21">
        <v>3.6999999999999998E-2</v>
      </c>
      <c r="AO10" s="36">
        <f t="shared" si="12"/>
        <v>0</v>
      </c>
      <c r="AP10" s="21">
        <v>5.0999999999999997E-2</v>
      </c>
      <c r="AQ10" s="21">
        <v>5.0999999999999997E-2</v>
      </c>
      <c r="AR10" s="36">
        <f t="shared" si="13"/>
        <v>0</v>
      </c>
      <c r="AS10" s="31">
        <v>0.05</v>
      </c>
      <c r="AT10" s="34">
        <v>0.05</v>
      </c>
      <c r="AU10" s="36">
        <f t="shared" si="14"/>
        <v>0</v>
      </c>
      <c r="AV10" s="31">
        <v>-4.9000000000000002E-2</v>
      </c>
      <c r="AW10" s="31">
        <v>-4.9000000000000002E-2</v>
      </c>
      <c r="AX10" s="36">
        <f t="shared" si="15"/>
        <v>0</v>
      </c>
      <c r="AY10" s="31">
        <v>-0.08</v>
      </c>
      <c r="AZ10" s="31">
        <v>-0.08</v>
      </c>
      <c r="BA10" s="36">
        <f t="shared" si="16"/>
        <v>0</v>
      </c>
      <c r="BB10" s="31">
        <v>-8.5999999999999993E-2</v>
      </c>
      <c r="BC10" s="31">
        <v>-8.5999999999999993E-2</v>
      </c>
      <c r="BD10" s="22">
        <f t="shared" si="17"/>
        <v>0</v>
      </c>
      <c r="BE10" s="21">
        <v>5.8000000000000003E-2</v>
      </c>
      <c r="BF10" s="21">
        <v>5.8000000000000003E-2</v>
      </c>
      <c r="BG10" s="36">
        <f t="shared" si="20"/>
        <v>0</v>
      </c>
      <c r="BH10" s="31">
        <v>-0.14000000000000001</v>
      </c>
      <c r="BI10" s="31">
        <v>-0.14000000000000001</v>
      </c>
      <c r="BJ10" s="36">
        <f t="shared" si="18"/>
        <v>0</v>
      </c>
      <c r="BK10" s="31">
        <v>-0.14000000000000001</v>
      </c>
      <c r="BL10" s="31">
        <v>-0.14000000000000001</v>
      </c>
    </row>
    <row r="11" spans="1:64">
      <c r="A11" s="21" t="s">
        <v>181</v>
      </c>
      <c r="B11" s="36">
        <f t="shared" si="0"/>
        <v>1.0999999999999899E-3</v>
      </c>
      <c r="C11" s="31">
        <v>0.93169999999999997</v>
      </c>
      <c r="D11" s="31">
        <v>0.93279999999999996</v>
      </c>
      <c r="E11" s="36">
        <f t="shared" si="1"/>
        <v>4.9999999999994493E-4</v>
      </c>
      <c r="F11" s="31">
        <v>1.0494000000000001</v>
      </c>
      <c r="G11" s="31">
        <v>1.0499000000000001</v>
      </c>
      <c r="H11" s="36">
        <f t="shared" si="2"/>
        <v>-9.9999999999988987E-5</v>
      </c>
      <c r="I11" s="31">
        <v>0.70079999999999998</v>
      </c>
      <c r="J11" s="31">
        <v>0.70069999999999999</v>
      </c>
      <c r="K11" s="36">
        <f t="shared" si="19"/>
        <v>0</v>
      </c>
      <c r="L11" s="32">
        <v>0.57630000000000003</v>
      </c>
      <c r="M11" s="31">
        <v>0.57630000000000003</v>
      </c>
      <c r="N11" s="36">
        <f t="shared" si="3"/>
        <v>-8.0000000000002292E-4</v>
      </c>
      <c r="O11" s="21">
        <v>0.88019999999999998</v>
      </c>
      <c r="P11" s="33">
        <v>0.87939999999999996</v>
      </c>
      <c r="Q11" s="36">
        <f t="shared" si="4"/>
        <v>2.0000000000003348E-4</v>
      </c>
      <c r="R11" s="31">
        <v>0.39069999999999999</v>
      </c>
      <c r="S11" s="33">
        <f>0.3909</f>
        <v>0.39090000000000003</v>
      </c>
      <c r="T11" s="36">
        <f t="shared" si="5"/>
        <v>1.9999999999997797E-4</v>
      </c>
      <c r="U11" s="31">
        <v>1.0167999999999999</v>
      </c>
      <c r="V11" s="31">
        <v>1.0169999999999999</v>
      </c>
      <c r="W11" s="36">
        <f t="shared" si="6"/>
        <v>2.9999999999996696E-4</v>
      </c>
      <c r="X11" s="31">
        <v>1.2098</v>
      </c>
      <c r="Y11" s="31">
        <v>1.2101</v>
      </c>
      <c r="Z11" s="36">
        <f t="shared" si="7"/>
        <v>1.1000000000001009E-3</v>
      </c>
      <c r="AA11" s="31">
        <v>0.87949999999999995</v>
      </c>
      <c r="AB11" s="31">
        <v>0.88060000000000005</v>
      </c>
      <c r="AC11" s="36">
        <f t="shared" si="8"/>
        <v>-9.9999999999988987E-5</v>
      </c>
      <c r="AD11" s="21">
        <v>0.49540000000000001</v>
      </c>
      <c r="AE11" s="21">
        <v>0.49530000000000002</v>
      </c>
      <c r="AF11" s="36">
        <f t="shared" si="9"/>
        <v>0</v>
      </c>
      <c r="AG11" s="21">
        <v>0.7198</v>
      </c>
      <c r="AH11" s="21">
        <v>0.7198</v>
      </c>
      <c r="AI11" s="36">
        <f t="shared" si="10"/>
        <v>-2.9999999999996696E-4</v>
      </c>
      <c r="AJ11" s="21">
        <v>0.25019999999999998</v>
      </c>
      <c r="AK11" s="21">
        <v>0.24990000000000001</v>
      </c>
      <c r="AL11" s="36">
        <f t="shared" si="11"/>
        <v>-4.9800000000000011E-2</v>
      </c>
      <c r="AM11" s="21">
        <v>0.2233</v>
      </c>
      <c r="AN11" s="21">
        <v>0.17349999999999999</v>
      </c>
      <c r="AO11" s="36">
        <f t="shared" si="12"/>
        <v>-9.6000000000000529E-3</v>
      </c>
      <c r="AP11" s="21">
        <v>0.88270000000000004</v>
      </c>
      <c r="AQ11" s="21">
        <v>0.87309999999999999</v>
      </c>
      <c r="AR11" s="36">
        <f t="shared" si="13"/>
        <v>1.309999999999989E-2</v>
      </c>
      <c r="AS11" s="31">
        <v>1.1506000000000001</v>
      </c>
      <c r="AT11" s="34">
        <v>1.1637</v>
      </c>
      <c r="AU11" s="36">
        <f t="shared" si="14"/>
        <v>1.6000000000000458E-3</v>
      </c>
      <c r="AV11" s="31">
        <v>0.33889999999999998</v>
      </c>
      <c r="AW11" s="31">
        <v>0.34050000000000002</v>
      </c>
      <c r="AX11" s="36">
        <f t="shared" si="15"/>
        <v>7.9000000000000181E-3</v>
      </c>
      <c r="AY11" s="31">
        <v>0.82830000000000004</v>
      </c>
      <c r="AZ11" s="31">
        <v>0.83620000000000005</v>
      </c>
      <c r="BA11" s="36">
        <f t="shared" si="16"/>
        <v>3.9999999999995595E-4</v>
      </c>
      <c r="BB11" s="31">
        <v>1.2015</v>
      </c>
      <c r="BC11" s="31">
        <v>1.2019</v>
      </c>
      <c r="BD11" s="22">
        <f t="shared" si="17"/>
        <v>-1.2999999999999901E-2</v>
      </c>
      <c r="BE11" s="21">
        <v>0.79279999999999995</v>
      </c>
      <c r="BF11" s="21">
        <v>0.77980000000000005</v>
      </c>
      <c r="BG11" s="36">
        <f t="shared" si="20"/>
        <v>4.9999999999994493E-4</v>
      </c>
      <c r="BH11" s="31">
        <v>1.0494000000000001</v>
      </c>
      <c r="BI11" s="21">
        <v>1.0499000000000001</v>
      </c>
      <c r="BJ11" s="36">
        <f t="shared" si="18"/>
        <v>-9.000000000000119E-4</v>
      </c>
      <c r="BK11" s="31">
        <v>0.70079999999999998</v>
      </c>
      <c r="BL11" s="21">
        <v>0.69989999999999997</v>
      </c>
    </row>
    <row r="12" spans="1:64">
      <c r="A12" s="21" t="s">
        <v>182</v>
      </c>
      <c r="B12" s="36">
        <f t="shared" si="0"/>
        <v>7.0000000000000617E-4</v>
      </c>
      <c r="C12" s="31">
        <v>0.2387</v>
      </c>
      <c r="D12" s="31">
        <v>0.2394</v>
      </c>
      <c r="E12" s="36">
        <f t="shared" si="1"/>
        <v>3.0000000000000165E-4</v>
      </c>
      <c r="F12" s="31">
        <v>-4.99E-2</v>
      </c>
      <c r="G12" s="31">
        <v>-4.9599999999999998E-2</v>
      </c>
      <c r="H12" s="36">
        <f t="shared" si="2"/>
        <v>5.9999999999998943E-4</v>
      </c>
      <c r="I12" s="31">
        <v>0.31950000000000001</v>
      </c>
      <c r="J12" s="31">
        <v>0.3201</v>
      </c>
      <c r="K12" s="36">
        <f t="shared" si="19"/>
        <v>1.9999999999997797E-4</v>
      </c>
      <c r="L12" s="32">
        <v>0.7571</v>
      </c>
      <c r="M12" s="31">
        <v>0.75729999999999997</v>
      </c>
      <c r="N12" s="36">
        <f t="shared" si="3"/>
        <v>1.1999999999999789E-3</v>
      </c>
      <c r="O12" s="21">
        <v>0.4496</v>
      </c>
      <c r="P12" s="31">
        <v>0.45079999999999998</v>
      </c>
      <c r="Q12" s="36">
        <f t="shared" si="4"/>
        <v>2.9999999999996696E-4</v>
      </c>
      <c r="R12" s="31">
        <v>0.9304</v>
      </c>
      <c r="S12" s="31">
        <v>0.93069999999999997</v>
      </c>
      <c r="T12" s="36">
        <f t="shared" si="5"/>
        <v>-1.1999999999999789E-3</v>
      </c>
      <c r="U12" s="31">
        <v>0.32219999999999999</v>
      </c>
      <c r="V12" s="31">
        <v>0.32100000000000001</v>
      </c>
      <c r="W12" s="36">
        <f t="shared" si="6"/>
        <v>-1.799999999999996E-3</v>
      </c>
      <c r="X12" s="31">
        <v>0.1108</v>
      </c>
      <c r="Y12" s="31">
        <v>0.109</v>
      </c>
      <c r="Z12" s="36">
        <f t="shared" si="7"/>
        <v>-4.0000000000001146E-4</v>
      </c>
      <c r="AA12" s="31">
        <v>0.4803</v>
      </c>
      <c r="AB12" s="31">
        <v>0.47989999999999999</v>
      </c>
      <c r="AC12" s="36">
        <f t="shared" si="8"/>
        <v>6.0000000000004494E-4</v>
      </c>
      <c r="AD12" s="21">
        <v>0.84499999999999997</v>
      </c>
      <c r="AE12" s="21">
        <v>0.84560000000000002</v>
      </c>
      <c r="AF12" s="36">
        <f t="shared" si="9"/>
        <v>-3.0000000000007798E-4</v>
      </c>
      <c r="AG12" s="21">
        <v>0.63060000000000005</v>
      </c>
      <c r="AH12" s="21">
        <v>0.63029999999999997</v>
      </c>
      <c r="AI12" s="36">
        <f t="shared" si="10"/>
        <v>-6.0000000000004494E-4</v>
      </c>
      <c r="AJ12" s="21">
        <v>0.97050000000000003</v>
      </c>
      <c r="AK12" s="21">
        <v>0.96989999999999998</v>
      </c>
      <c r="AL12" s="36">
        <f t="shared" si="11"/>
        <v>1.9000000000000128E-3</v>
      </c>
      <c r="AM12" s="21">
        <v>1.1399999999999999</v>
      </c>
      <c r="AN12" s="21">
        <v>1.1418999999999999</v>
      </c>
      <c r="AO12" s="36">
        <f t="shared" si="12"/>
        <v>-1.9000000000000017E-2</v>
      </c>
      <c r="AP12" s="21">
        <v>0.58679999999999999</v>
      </c>
      <c r="AQ12" s="21">
        <v>0.56779999999999997</v>
      </c>
      <c r="AR12" s="36">
        <f t="shared" si="13"/>
        <v>3.0000000000000165E-4</v>
      </c>
      <c r="AS12" s="31">
        <v>-0.05</v>
      </c>
      <c r="AT12" s="34">
        <v>-4.9700000000000001E-2</v>
      </c>
      <c r="AU12" s="36">
        <f t="shared" si="14"/>
        <v>1.2600000000000056E-2</v>
      </c>
      <c r="AV12" s="31">
        <v>0.95409999999999995</v>
      </c>
      <c r="AW12" s="31">
        <v>0.9667</v>
      </c>
      <c r="AX12" s="36">
        <f t="shared" si="15"/>
        <v>9.299999999999975E-3</v>
      </c>
      <c r="AY12" s="31">
        <v>0.63060000000000005</v>
      </c>
      <c r="AZ12" s="31">
        <v>0.63990000000000002</v>
      </c>
      <c r="BA12" s="36">
        <f t="shared" si="16"/>
        <v>7.000000000000001E-4</v>
      </c>
      <c r="BB12" s="31">
        <v>5.3E-3</v>
      </c>
      <c r="BC12" s="31">
        <v>6.0000000000000001E-3</v>
      </c>
      <c r="BD12" s="22">
        <f t="shared" si="17"/>
        <v>-1.7100000000000004E-2</v>
      </c>
      <c r="BE12" s="21">
        <v>0.96409999999999996</v>
      </c>
      <c r="BF12" s="21">
        <v>0.94699999999999995</v>
      </c>
      <c r="BG12" s="36">
        <f t="shared" si="20"/>
        <v>-8.000000000000021E-4</v>
      </c>
      <c r="BH12" s="31">
        <v>-4.99E-2</v>
      </c>
      <c r="BI12" s="21">
        <v>-5.0700000000000002E-2</v>
      </c>
      <c r="BJ12" s="36">
        <f t="shared" si="18"/>
        <v>1.1999999999999789E-3</v>
      </c>
      <c r="BK12" s="31">
        <v>0.31950000000000001</v>
      </c>
      <c r="BL12" s="21">
        <v>0.32069999999999999</v>
      </c>
    </row>
    <row r="13" spans="1:64">
      <c r="A13" s="21" t="s">
        <v>183</v>
      </c>
      <c r="B13" s="36">
        <f t="shared" si="0"/>
        <v>5.0099999999999978E-2</v>
      </c>
      <c r="C13" s="31">
        <v>0.45029999999999998</v>
      </c>
      <c r="D13" s="31">
        <v>0.50039999999999996</v>
      </c>
      <c r="E13" s="36">
        <f t="shared" si="1"/>
        <v>4.99E-2</v>
      </c>
      <c r="F13" s="31">
        <v>-0.1394</v>
      </c>
      <c r="G13" s="31">
        <v>-8.9499999999999996E-2</v>
      </c>
      <c r="H13" s="36">
        <f t="shared" si="2"/>
        <v>5.1900000000000002E-2</v>
      </c>
      <c r="I13" s="31">
        <v>-0.1399</v>
      </c>
      <c r="J13" s="31">
        <v>-8.7999999999999995E-2</v>
      </c>
      <c r="K13" s="36">
        <f t="shared" si="19"/>
        <v>4.8499999999999988E-2</v>
      </c>
      <c r="L13" s="32">
        <v>0.45019999999999999</v>
      </c>
      <c r="M13" s="31">
        <v>0.49869999999999998</v>
      </c>
      <c r="N13" s="36">
        <f t="shared" si="3"/>
        <v>5.0099999999999992E-2</v>
      </c>
      <c r="O13" s="21">
        <v>-9.9599999999999994E-2</v>
      </c>
      <c r="P13" s="31">
        <v>-4.9500000000000002E-2</v>
      </c>
      <c r="Q13" s="36">
        <f t="shared" si="4"/>
        <v>5.1200000000000009E-2</v>
      </c>
      <c r="R13" s="31">
        <v>-0.14030000000000001</v>
      </c>
      <c r="S13" s="31">
        <v>-8.9099999999999999E-2</v>
      </c>
      <c r="T13" s="36">
        <f t="shared" si="5"/>
        <v>5.0299999999999956E-2</v>
      </c>
      <c r="U13" s="31">
        <v>0.45019999999999999</v>
      </c>
      <c r="V13" s="31">
        <v>0.50049999999999994</v>
      </c>
      <c r="W13" s="36">
        <f t="shared" si="6"/>
        <v>5.0100000000000006E-2</v>
      </c>
      <c r="X13" s="31">
        <v>-1.9400000000000001E-2</v>
      </c>
      <c r="Y13" s="31">
        <v>3.0700000000000002E-2</v>
      </c>
      <c r="Z13" s="36">
        <f t="shared" si="7"/>
        <v>5.0199999999999995E-2</v>
      </c>
      <c r="AA13" s="31">
        <v>-2.9499999999999998E-2</v>
      </c>
      <c r="AB13" s="31">
        <v>2.07E-2</v>
      </c>
      <c r="AC13" s="36">
        <f t="shared" si="8"/>
        <v>5.0100000000000033E-2</v>
      </c>
      <c r="AD13" s="21">
        <v>0.45050000000000001</v>
      </c>
      <c r="AE13" s="21">
        <v>0.50060000000000004</v>
      </c>
      <c r="AF13" s="36">
        <f t="shared" si="9"/>
        <v>4.9000000000000002E-2</v>
      </c>
      <c r="AG13" s="21">
        <v>-2.93E-2</v>
      </c>
      <c r="AH13" s="21">
        <v>1.9699999999999999E-2</v>
      </c>
      <c r="AI13" s="36">
        <f t="shared" si="10"/>
        <v>5.0299999999999997E-2</v>
      </c>
      <c r="AJ13" s="21">
        <v>-5.0099999999999999E-2</v>
      </c>
      <c r="AK13" s="21">
        <v>2.0000000000000001E-4</v>
      </c>
      <c r="AL13" s="36">
        <f t="shared" si="11"/>
        <v>5.6999999999999967E-3</v>
      </c>
      <c r="AM13" s="21">
        <v>3.7100000000000001E-2</v>
      </c>
      <c r="AN13" s="21">
        <v>4.2799999999999998E-2</v>
      </c>
      <c r="AO13" s="36">
        <f t="shared" si="12"/>
        <v>4.4900000000000002E-2</v>
      </c>
      <c r="AP13" s="21">
        <v>5.0200000000000002E-2</v>
      </c>
      <c r="AQ13" s="21">
        <v>9.5100000000000004E-2</v>
      </c>
      <c r="AR13" s="36">
        <f t="shared" si="13"/>
        <v>4.7300000000000002E-2</v>
      </c>
      <c r="AS13" s="31">
        <v>5.0700000000000002E-2</v>
      </c>
      <c r="AT13" s="34">
        <v>9.8000000000000004E-2</v>
      </c>
      <c r="AU13" s="36">
        <f t="shared" si="14"/>
        <v>4.9399999999999999E-2</v>
      </c>
      <c r="AV13" s="31">
        <v>-4.9500000000000002E-2</v>
      </c>
      <c r="AW13" s="31">
        <v>-1E-4</v>
      </c>
      <c r="AX13" s="36">
        <f t="shared" si="15"/>
        <v>4.7300000000000009E-2</v>
      </c>
      <c r="AY13" s="31">
        <v>-7.9200000000000007E-2</v>
      </c>
      <c r="AZ13" s="31">
        <v>-3.1899999999999998E-2</v>
      </c>
      <c r="BA13" s="36">
        <f t="shared" si="16"/>
        <v>5.0099999999999999E-2</v>
      </c>
      <c r="BB13" s="31">
        <v>-8.5699999999999998E-2</v>
      </c>
      <c r="BC13" s="31">
        <v>-3.56E-2</v>
      </c>
      <c r="BD13" s="22">
        <f t="shared" si="17"/>
        <v>4.5299999999999993E-2</v>
      </c>
      <c r="BE13" s="21">
        <v>5.7700000000000001E-2</v>
      </c>
      <c r="BF13" s="21">
        <v>0.10299999999999999</v>
      </c>
      <c r="BG13" s="36">
        <f t="shared" si="20"/>
        <v>4.8199999999999993E-2</v>
      </c>
      <c r="BH13" s="31">
        <v>-0.1394</v>
      </c>
      <c r="BI13" s="21">
        <v>-9.1200000000000003E-2</v>
      </c>
      <c r="BJ13" s="36">
        <f t="shared" si="18"/>
        <v>-5.1800000000000013E-2</v>
      </c>
      <c r="BK13" s="31">
        <v>-0.1399</v>
      </c>
      <c r="BL13" s="21">
        <v>-0.19170000000000001</v>
      </c>
    </row>
    <row r="14" spans="1:64">
      <c r="A14" s="21" t="s">
        <v>184</v>
      </c>
      <c r="B14" s="36">
        <f t="shared" si="0"/>
        <v>0.49999999999983391</v>
      </c>
      <c r="C14" s="21">
        <f>ABS(C11-C8)*1000</f>
        <v>0.30000000000007798</v>
      </c>
      <c r="D14" s="21">
        <f>ABS(D11-D8)*1000</f>
        <v>0.79999999999991189</v>
      </c>
      <c r="E14" s="36">
        <f>G14-F14</f>
        <v>-0.49999999999994493</v>
      </c>
      <c r="F14" s="31">
        <f>ABS(F11-F8)*1000</f>
        <v>0.59999999999993392</v>
      </c>
      <c r="G14" s="31">
        <f>ABS(G11-G8)*1000</f>
        <v>9.9999999999988987E-2</v>
      </c>
      <c r="H14" s="36">
        <f t="shared" si="2"/>
        <v>-9.9999999999988987E-2</v>
      </c>
      <c r="I14" s="31">
        <f>ABS(I11-I8)*1000</f>
        <v>0.80000000000002292</v>
      </c>
      <c r="J14" s="31">
        <f>ABS(J11-J8)*1000</f>
        <v>0.70000000000003393</v>
      </c>
      <c r="K14" s="36">
        <f t="shared" si="19"/>
        <v>0</v>
      </c>
      <c r="L14" s="21">
        <f>ABS(L11-L8)*1000</f>
        <v>0.69999999999992291</v>
      </c>
      <c r="M14" s="21">
        <f>ABS(M11-M8)*1000</f>
        <v>0.69999999999992291</v>
      </c>
      <c r="N14" s="36">
        <f t="shared" si="3"/>
        <v>0.40000000000006697</v>
      </c>
      <c r="O14" s="21">
        <f>ABS(O11-O8)*1000</f>
        <v>0.19999999999997797</v>
      </c>
      <c r="P14" s="21">
        <f>ABS(P11-P8)*1000</f>
        <v>0.60000000000004494</v>
      </c>
      <c r="Q14" s="36">
        <f t="shared" si="4"/>
        <v>0.20000000000003348</v>
      </c>
      <c r="R14" s="31">
        <f>ABS(R11-R8)*1000</f>
        <v>0.69999999999997842</v>
      </c>
      <c r="S14" s="31">
        <f>ABS(S11-S8)*1000</f>
        <v>0.9000000000000119</v>
      </c>
      <c r="T14" s="36">
        <f t="shared" si="5"/>
        <v>-0.19999999999997797</v>
      </c>
      <c r="U14" s="21">
        <f>ABS(U11-U8)*1000</f>
        <v>0.19999999999997797</v>
      </c>
      <c r="V14" s="21">
        <f>ABS(V11-V8)*1000</f>
        <v>0</v>
      </c>
      <c r="W14" s="36">
        <f t="shared" si="6"/>
        <v>-9.9999999999988987E-2</v>
      </c>
      <c r="X14" s="31">
        <f>ABS(X11-X8)*1000</f>
        <v>0.19999999999997797</v>
      </c>
      <c r="Y14" s="31">
        <f>ABS(Y11-Y8)*1000</f>
        <v>9.9999999999988987E-2</v>
      </c>
      <c r="Z14" s="36">
        <f t="shared" si="7"/>
        <v>9.9999999999988987E-2</v>
      </c>
      <c r="AA14" s="31">
        <f>ABS(AA11-AA8)*1000</f>
        <v>0.50000000000005596</v>
      </c>
      <c r="AB14" s="31">
        <f>ABS(AB11-AB8)*1000</f>
        <v>0.60000000000004494</v>
      </c>
      <c r="AC14" s="36">
        <f t="shared" si="8"/>
        <v>-9.9999999999988987E-2</v>
      </c>
      <c r="AD14" s="21">
        <f>ABS(AD8-AD11)*1000</f>
        <v>0.40000000000001146</v>
      </c>
      <c r="AE14" s="21">
        <f>ABS(AE8-AE11)*1000</f>
        <v>0.30000000000002247</v>
      </c>
      <c r="AF14" s="36">
        <f t="shared" si="9"/>
        <v>0</v>
      </c>
      <c r="AG14" s="21">
        <f>ABS(AG11-AG8)*1000</f>
        <v>0.19999999999997797</v>
      </c>
      <c r="AH14" s="21">
        <f>ABS(AH11-AH8)*1000</f>
        <v>0.19999999999997797</v>
      </c>
      <c r="AI14" s="36">
        <f t="shared" si="10"/>
        <v>-9.9999999999988987E-2</v>
      </c>
      <c r="AJ14" s="21">
        <f>ABS(AJ11-AJ8)*1000</f>
        <v>0.19999999999997797</v>
      </c>
      <c r="AK14" s="21">
        <f>ABS(AK11-AK8)*1000</f>
        <v>9.9999999999988987E-2</v>
      </c>
      <c r="AL14" s="36">
        <f t="shared" si="11"/>
        <v>49.200000000000017</v>
      </c>
      <c r="AM14" s="21">
        <f>ABS(AM11-AM8)*1000</f>
        <v>0.29999999999999472</v>
      </c>
      <c r="AN14" s="21">
        <f>ABS(AN11-AN8)*1000</f>
        <v>49.500000000000014</v>
      </c>
      <c r="AO14" s="36">
        <f t="shared" si="12"/>
        <v>9.6000000000000529</v>
      </c>
      <c r="AP14" s="21">
        <f>ABS(AP11-AP8)*1000</f>
        <v>0.29999999999996696</v>
      </c>
      <c r="AQ14" s="21">
        <f>ABS(AQ11-AQ8)*1000</f>
        <v>9.9000000000000199</v>
      </c>
      <c r="AR14" s="36">
        <f t="shared" si="13"/>
        <v>13.09999999999989</v>
      </c>
      <c r="AS14" s="31">
        <f>ABS(AS11-AS8)*1000</f>
        <v>0.60000000000015596</v>
      </c>
      <c r="AT14" s="31">
        <f>ABS(AT11-AT8)*1000</f>
        <v>13.700000000000045</v>
      </c>
      <c r="AU14" s="36">
        <f t="shared" si="14"/>
        <v>1.3999999999999568</v>
      </c>
      <c r="AV14" s="31">
        <f>ABS(AV11-AV8)*1000</f>
        <v>0.1000000000000445</v>
      </c>
      <c r="AW14" s="31">
        <f>ABS(AW11-AW8)*1000</f>
        <v>1.5000000000000013</v>
      </c>
      <c r="AX14" s="36">
        <f t="shared" si="15"/>
        <v>7.9000000000000172</v>
      </c>
      <c r="AY14" s="31">
        <f>ABS(AY11-AY8)*1000</f>
        <v>0.30000000000007798</v>
      </c>
      <c r="AZ14" s="31">
        <f>ABS(AZ11-AZ8)*1000</f>
        <v>8.2000000000000952</v>
      </c>
      <c r="BA14" s="36">
        <f t="shared" si="16"/>
        <v>0.39999999999995595</v>
      </c>
      <c r="BB14" s="31">
        <f>ABS(BB11-BB8)*1000</f>
        <v>0.49999999999994493</v>
      </c>
      <c r="BC14" s="31">
        <f>ABS(BC11-BC8)*1000</f>
        <v>0.89999999999990088</v>
      </c>
      <c r="BD14" s="22">
        <f t="shared" si="17"/>
        <v>11.400000000000077</v>
      </c>
      <c r="BE14" s="21">
        <f>ABS(BE11-BE8)*1000</f>
        <v>0.79999999999991189</v>
      </c>
      <c r="BF14" s="21">
        <f>ABS(BF11-BF8)*1000</f>
        <v>12.199999999999989</v>
      </c>
      <c r="BG14" s="36">
        <f>BI14-BH14</f>
        <v>-0.49999999999994493</v>
      </c>
      <c r="BH14" s="31">
        <f>ABS(BH11-BH8)*1000</f>
        <v>0.59999999999993392</v>
      </c>
      <c r="BI14" s="31">
        <f>ABS(BI11-BI8)*1000</f>
        <v>9.9999999999988987E-2</v>
      </c>
      <c r="BJ14" s="36">
        <f t="shared" si="18"/>
        <v>-0.70000000000003393</v>
      </c>
      <c r="BK14" s="31">
        <f>ABS(BK11-BK8)*1000</f>
        <v>0.80000000000002292</v>
      </c>
      <c r="BL14" s="31">
        <f>ABS(BL11-BL8)*1000</f>
        <v>9.9999999999988987E-2</v>
      </c>
    </row>
    <row r="15" spans="1:64">
      <c r="A15" s="21" t="s">
        <v>185</v>
      </c>
      <c r="B15" s="36">
        <f t="shared" si="0"/>
        <v>0.10000000000001674</v>
      </c>
      <c r="C15" s="21">
        <f t="shared" ref="C15:D16" si="21">ABS(C12-C9)*1000</f>
        <v>0.29999999999999472</v>
      </c>
      <c r="D15" s="21">
        <f t="shared" si="21"/>
        <v>0.40000000000001146</v>
      </c>
      <c r="E15" s="36">
        <f t="shared" si="1"/>
        <v>0.30000000000000165</v>
      </c>
      <c r="F15" s="31">
        <f t="shared" ref="F15:G16" si="22">ABS(F12-F9)*1000</f>
        <v>0.10000000000000286</v>
      </c>
      <c r="G15" s="31">
        <f t="shared" si="22"/>
        <v>0.40000000000000452</v>
      </c>
      <c r="H15" s="36">
        <f t="shared" si="2"/>
        <v>-0.40000000000001146</v>
      </c>
      <c r="I15" s="31">
        <f t="shared" ref="I15:J16" si="23">ABS(I12-I9)*1000</f>
        <v>0.50000000000000044</v>
      </c>
      <c r="J15" s="31">
        <f t="shared" si="23"/>
        <v>9.9999999999988987E-2</v>
      </c>
      <c r="K15" s="36">
        <f t="shared" si="19"/>
        <v>0.19999999999997797</v>
      </c>
      <c r="L15" s="21">
        <f t="shared" ref="L15:M16" si="24">ABS(L12-L9)*1000</f>
        <v>9.9999999999988987E-2</v>
      </c>
      <c r="M15" s="21">
        <f t="shared" si="24"/>
        <v>0.29999999999996696</v>
      </c>
      <c r="N15" s="36">
        <f t="shared" si="3"/>
        <v>0.39999999999995595</v>
      </c>
      <c r="O15" s="21">
        <f t="shared" ref="O15:P15" si="25">ABS(O12-O9)*1000</f>
        <v>0.40000000000001146</v>
      </c>
      <c r="P15" s="21">
        <f t="shared" si="25"/>
        <v>0.7999999999999674</v>
      </c>
      <c r="Q15" s="36">
        <f t="shared" si="4"/>
        <v>0.29999999999996696</v>
      </c>
      <c r="R15" s="31">
        <f t="shared" ref="R15:S16" si="26">ABS(R12-R9)*1000</f>
        <v>0.39999999999995595</v>
      </c>
      <c r="S15" s="31">
        <f t="shared" si="26"/>
        <v>0.69999999999992291</v>
      </c>
      <c r="T15" s="36">
        <f t="shared" si="5"/>
        <v>0.80000000000002292</v>
      </c>
      <c r="U15" s="21">
        <f t="shared" ref="U15:V16" si="27">ABS(U12-U9)*1000</f>
        <v>0.19999999999997797</v>
      </c>
      <c r="V15" s="21">
        <f t="shared" si="27"/>
        <v>1.0000000000000009</v>
      </c>
      <c r="W15" s="36">
        <f t="shared" si="6"/>
        <v>0.20000000000000573</v>
      </c>
      <c r="X15" s="31">
        <f t="shared" ref="X15:Y16" si="28">ABS(X12-X9)*1000</f>
        <v>0.79999999999999516</v>
      </c>
      <c r="Y15" s="31">
        <f t="shared" si="28"/>
        <v>1.0000000000000009</v>
      </c>
      <c r="Z15" s="36">
        <f t="shared" si="7"/>
        <v>-0.20000000000003348</v>
      </c>
      <c r="AA15" s="31">
        <f t="shared" ref="AA15:AA16" si="29">ABS(AA12-AA9)*1000</f>
        <v>0.30000000000002247</v>
      </c>
      <c r="AB15" s="31">
        <f t="shared" ref="AB15:AB16" si="30">ABS(AB12-AB9)*1000</f>
        <v>9.9999999999988987E-2</v>
      </c>
      <c r="AC15" s="36">
        <f t="shared" si="8"/>
        <v>0.60000000000004494</v>
      </c>
      <c r="AD15" s="21">
        <f t="shared" ref="AD15:AD16" si="31">ABS(AD9-AD12)*1000</f>
        <v>0</v>
      </c>
      <c r="AE15" s="21">
        <f t="shared" ref="AE15:AE16" si="32">ABS(AE9-AE12)*1000</f>
        <v>0.60000000000004494</v>
      </c>
      <c r="AF15" s="36">
        <f t="shared" si="9"/>
        <v>-0.30000000000007798</v>
      </c>
      <c r="AG15" s="21">
        <f t="shared" ref="AG15:AH16" si="33">ABS(AG12-AG9)*1000</f>
        <v>0.60000000000004494</v>
      </c>
      <c r="AH15" s="21">
        <f t="shared" si="33"/>
        <v>0.29999999999996696</v>
      </c>
      <c r="AI15" s="36">
        <f t="shared" si="10"/>
        <v>-0.40000000000006697</v>
      </c>
      <c r="AJ15" s="21">
        <f t="shared" ref="AJ15:AK16" si="34">ABS(AJ12-AJ9)*1000</f>
        <v>0.50000000000005596</v>
      </c>
      <c r="AK15" s="21">
        <f t="shared" si="34"/>
        <v>9.9999999999988987E-2</v>
      </c>
      <c r="AL15" s="36">
        <f t="shared" si="11"/>
        <v>1.9000000000000128</v>
      </c>
      <c r="AM15" s="21">
        <f t="shared" ref="AM15:AN16" si="35">ABS(AM12-AM9)*1000</f>
        <v>0</v>
      </c>
      <c r="AN15" s="21">
        <f t="shared" si="35"/>
        <v>1.9000000000000128</v>
      </c>
      <c r="AO15" s="36">
        <f t="shared" si="12"/>
        <v>19.000000000000018</v>
      </c>
      <c r="AP15" s="21">
        <f t="shared" ref="AP15:AP16" si="36">ABS(AP12-AP9)*1000</f>
        <v>0.19999999999997797</v>
      </c>
      <c r="AQ15" s="21">
        <f t="shared" ref="AQ15:AQ16" si="37">ABS(AQ12-AQ9)*1000</f>
        <v>19.199999999999996</v>
      </c>
      <c r="AR15" s="36">
        <f t="shared" si="13"/>
        <v>0.30000000000000165</v>
      </c>
      <c r="AS15" s="31">
        <f t="shared" ref="AS15:AT15" si="38">ABS(AS12-AS9)*1000</f>
        <v>0</v>
      </c>
      <c r="AT15" s="31">
        <f t="shared" si="38"/>
        <v>0.30000000000000165</v>
      </c>
      <c r="AU15" s="36">
        <f t="shared" si="14"/>
        <v>12.600000000000056</v>
      </c>
      <c r="AV15" s="31">
        <f t="shared" ref="AV15:AW15" si="39">ABS(AV12-AV9)*1000</f>
        <v>9.9999999999988987E-2</v>
      </c>
      <c r="AW15" s="31">
        <f t="shared" si="39"/>
        <v>12.700000000000045</v>
      </c>
      <c r="AX15" s="36">
        <f t="shared" si="15"/>
        <v>8.5000000000000639</v>
      </c>
      <c r="AY15" s="31">
        <f t="shared" ref="AY15:AZ15" si="40">ABS(AY12-AY9)*1000</f>
        <v>0.39999999999995595</v>
      </c>
      <c r="AZ15" s="31">
        <f t="shared" si="40"/>
        <v>8.9000000000000199</v>
      </c>
      <c r="BA15" s="36">
        <f t="shared" si="16"/>
        <v>0.70000000000000007</v>
      </c>
      <c r="BB15" s="31">
        <f t="shared" ref="BB15:BC15" si="41">ABS(BB12-BB9)*1000</f>
        <v>0.29999999999999993</v>
      </c>
      <c r="BC15" s="31">
        <f t="shared" si="41"/>
        <v>1</v>
      </c>
      <c r="BD15" s="22">
        <f t="shared" si="17"/>
        <v>16.900000000000027</v>
      </c>
      <c r="BE15" s="21">
        <f t="shared" ref="BE15:BF15" si="42">ABS(BE12-BE9)*1000</f>
        <v>9.9999999999988987E-2</v>
      </c>
      <c r="BF15" s="21">
        <f t="shared" si="42"/>
        <v>17.000000000000014</v>
      </c>
      <c r="BG15" s="36">
        <f t="shared" si="20"/>
        <v>0.59999999999999643</v>
      </c>
      <c r="BH15" s="31">
        <f t="shared" ref="BH15:BI15" si="43">ABS(BH12-BH9)*1000</f>
        <v>0.10000000000000286</v>
      </c>
      <c r="BI15" s="31">
        <f t="shared" si="43"/>
        <v>0.69999999999999929</v>
      </c>
      <c r="BJ15" s="36">
        <f t="shared" si="18"/>
        <v>0.19999999999997797</v>
      </c>
      <c r="BK15" s="31">
        <f t="shared" ref="BK15:BL15" si="44">ABS(BK12-BK9)*1000</f>
        <v>0.50000000000000044</v>
      </c>
      <c r="BL15" s="31">
        <f t="shared" si="44"/>
        <v>0.69999999999997842</v>
      </c>
    </row>
    <row r="16" spans="1:64">
      <c r="A16" s="21" t="s">
        <v>186</v>
      </c>
      <c r="B16" s="36">
        <f t="shared" si="0"/>
        <v>50.099999999999909</v>
      </c>
      <c r="C16" s="21">
        <f t="shared" si="21"/>
        <v>630.29999999999995</v>
      </c>
      <c r="D16" s="21">
        <f t="shared" si="21"/>
        <v>680.39999999999986</v>
      </c>
      <c r="E16" s="36">
        <f t="shared" si="1"/>
        <v>49.9</v>
      </c>
      <c r="F16" s="31">
        <f t="shared" si="22"/>
        <v>0.60000000000001719</v>
      </c>
      <c r="G16" s="31">
        <f t="shared" si="22"/>
        <v>50.500000000000014</v>
      </c>
      <c r="H16" s="36">
        <f t="shared" si="2"/>
        <v>51.900000000000006</v>
      </c>
      <c r="I16" s="31">
        <f t="shared" si="23"/>
        <v>0.10000000000001674</v>
      </c>
      <c r="J16" s="31">
        <f t="shared" si="23"/>
        <v>52.000000000000021</v>
      </c>
      <c r="K16" s="36">
        <f t="shared" si="19"/>
        <v>48.5</v>
      </c>
      <c r="L16" s="21">
        <f t="shared" si="24"/>
        <v>630.19999999999993</v>
      </c>
      <c r="M16" s="21">
        <f t="shared" si="24"/>
        <v>678.69999999999993</v>
      </c>
      <c r="N16" s="36">
        <f t="shared" si="3"/>
        <v>50.099999999999987</v>
      </c>
      <c r="O16" s="21">
        <f t="shared" ref="O16:P16" si="45">ABS(O13-O10)*1000</f>
        <v>0.40000000000001146</v>
      </c>
      <c r="P16" s="21">
        <f t="shared" si="45"/>
        <v>50.5</v>
      </c>
      <c r="Q16" s="36">
        <f t="shared" si="4"/>
        <v>50.600000000000016</v>
      </c>
      <c r="R16" s="31">
        <f t="shared" si="26"/>
        <v>0.29999999999999472</v>
      </c>
      <c r="S16" s="31">
        <f t="shared" si="26"/>
        <v>50.900000000000013</v>
      </c>
      <c r="T16" s="36">
        <f t="shared" si="5"/>
        <v>50.300000000000068</v>
      </c>
      <c r="U16" s="21">
        <f t="shared" si="27"/>
        <v>512.69999999999993</v>
      </c>
      <c r="V16" s="21">
        <f t="shared" si="27"/>
        <v>563</v>
      </c>
      <c r="W16" s="36">
        <f t="shared" si="6"/>
        <v>50.1</v>
      </c>
      <c r="X16" s="31">
        <f t="shared" si="28"/>
        <v>0.59999999999999987</v>
      </c>
      <c r="Y16" s="31">
        <f t="shared" si="28"/>
        <v>50.7</v>
      </c>
      <c r="Z16" s="36">
        <f t="shared" si="7"/>
        <v>50.199999999999996</v>
      </c>
      <c r="AA16" s="31">
        <f t="shared" si="29"/>
        <v>0.50000000000000044</v>
      </c>
      <c r="AB16" s="31">
        <f t="shared" si="30"/>
        <v>50.699999999999996</v>
      </c>
      <c r="AC16" s="36">
        <f t="shared" si="8"/>
        <v>50.100000000000023</v>
      </c>
      <c r="AD16" s="21">
        <f t="shared" si="31"/>
        <v>513</v>
      </c>
      <c r="AE16" s="21">
        <f t="shared" si="32"/>
        <v>563.1</v>
      </c>
      <c r="AF16" s="36">
        <f t="shared" si="9"/>
        <v>49</v>
      </c>
      <c r="AG16" s="21">
        <f t="shared" si="33"/>
        <v>0.69999999999999929</v>
      </c>
      <c r="AH16" s="21">
        <f t="shared" si="33"/>
        <v>49.699999999999996</v>
      </c>
      <c r="AI16" s="36">
        <f t="shared" si="10"/>
        <v>50.100000000000009</v>
      </c>
      <c r="AJ16" s="21">
        <f t="shared" si="34"/>
        <v>9.9999999999995925E-2</v>
      </c>
      <c r="AK16" s="21">
        <f t="shared" si="34"/>
        <v>50.2</v>
      </c>
      <c r="AL16" s="36">
        <f t="shared" si="11"/>
        <v>5.6999999999999966</v>
      </c>
      <c r="AM16" s="21">
        <f t="shared" si="35"/>
        <v>0.10000000000000286</v>
      </c>
      <c r="AN16" s="21">
        <f t="shared" si="35"/>
        <v>5.8</v>
      </c>
      <c r="AO16" s="36">
        <f t="shared" si="12"/>
        <v>43.300000000000011</v>
      </c>
      <c r="AP16" s="21">
        <f t="shared" si="36"/>
        <v>0.79999999999999516</v>
      </c>
      <c r="AQ16" s="21">
        <f t="shared" si="37"/>
        <v>44.100000000000009</v>
      </c>
      <c r="AR16" s="36">
        <f t="shared" si="13"/>
        <v>47.3</v>
      </c>
      <c r="AS16" s="31">
        <f t="shared" ref="AS16" si="46">ABS(AS13-AS10)*1000</f>
        <v>0.69999999999999929</v>
      </c>
      <c r="AT16" s="31">
        <f>ABS(AT13-AT10)*1000</f>
        <v>48</v>
      </c>
      <c r="AU16" s="36">
        <f t="shared" si="14"/>
        <v>48.4</v>
      </c>
      <c r="AV16" s="31">
        <f t="shared" ref="AV16:AW16" si="47">ABS(AV13-AV10)*1000</f>
        <v>0.50000000000000044</v>
      </c>
      <c r="AW16" s="31">
        <f t="shared" si="47"/>
        <v>48.9</v>
      </c>
      <c r="AX16" s="36">
        <f t="shared" si="15"/>
        <v>47.300000000000004</v>
      </c>
      <c r="AY16" s="31">
        <f t="shared" ref="AY16:AZ16" si="48">ABS(AY13-AY10)*1000</f>
        <v>0.79999999999999516</v>
      </c>
      <c r="AZ16" s="31">
        <f t="shared" si="48"/>
        <v>48.1</v>
      </c>
      <c r="BA16" s="36">
        <f t="shared" si="16"/>
        <v>50.099999999999994</v>
      </c>
      <c r="BB16" s="31">
        <f t="shared" ref="BB16:BC16" si="49">ABS(BB13-BB10)*1000</f>
        <v>0.29999999999999472</v>
      </c>
      <c r="BC16" s="31">
        <f t="shared" si="49"/>
        <v>50.399999999999991</v>
      </c>
      <c r="BD16" s="22">
        <f t="shared" si="17"/>
        <v>44.699999999999989</v>
      </c>
      <c r="BE16" s="21">
        <f t="shared" ref="BE16:BF16" si="50">ABS(BE13-BE10)*1000</f>
        <v>0.30000000000000165</v>
      </c>
      <c r="BF16" s="21">
        <f t="shared" si="50"/>
        <v>44.999999999999993</v>
      </c>
      <c r="BG16" s="36">
        <f t="shared" si="20"/>
        <v>48.199999999999996</v>
      </c>
      <c r="BH16" s="31">
        <f t="shared" ref="BH16:BI16" si="51">ABS(BH13-BH10)*1000</f>
        <v>0.60000000000001719</v>
      </c>
      <c r="BI16" s="31">
        <f t="shared" si="51"/>
        <v>48.800000000000011</v>
      </c>
      <c r="BJ16" s="36">
        <f t="shared" si="18"/>
        <v>51.59999999999998</v>
      </c>
      <c r="BK16" s="31">
        <f t="shared" ref="BK16:BL16" si="52">ABS(BK13-BK10)*1000</f>
        <v>0.10000000000001674</v>
      </c>
      <c r="BL16" s="31">
        <f t="shared" si="52"/>
        <v>51.699999999999996</v>
      </c>
    </row>
    <row r="17" spans="1:64" s="15" customFormat="1">
      <c r="A17" s="21" t="s">
        <v>187</v>
      </c>
      <c r="B17" s="36">
        <f t="shared" si="0"/>
        <v>50.100445100090838</v>
      </c>
      <c r="C17" s="21">
        <f>SQRT(SUMSQ(C14:C16))</f>
        <v>630.30014278913177</v>
      </c>
      <c r="D17" s="21">
        <f>SQRT(SUMSQ(D14:D16))</f>
        <v>680.40058788922261</v>
      </c>
      <c r="E17" s="36">
        <f t="shared" si="1"/>
        <v>49.647282765736001</v>
      </c>
      <c r="F17" s="31">
        <f>SQRT(SUMSQ(F14:F16))</f>
        <v>0.85440037453171913</v>
      </c>
      <c r="G17" s="31">
        <f>SQRT(SUMSQ(G14:G16))</f>
        <v>50.501683140267723</v>
      </c>
      <c r="H17" s="36">
        <f t="shared" si="2"/>
        <v>51.056124172028639</v>
      </c>
      <c r="I17" s="31">
        <f>SQRT(SUMSQ(I14:I16))</f>
        <v>0.94868329805053508</v>
      </c>
      <c r="J17" s="31">
        <f>SQRT(SUMSQ(J14:J16))</f>
        <v>52.004807470079172</v>
      </c>
      <c r="K17" s="36">
        <f t="shared" si="19"/>
        <v>48.500030587991205</v>
      </c>
      <c r="L17" s="21">
        <f>SQRT(SUMSQ(L14:L16))</f>
        <v>630.20039669933556</v>
      </c>
      <c r="M17" s="21">
        <f>SQRT(SUMSQ(M14:M16))</f>
        <v>678.70042728732676</v>
      </c>
      <c r="N17" s="36">
        <f t="shared" si="3"/>
        <v>49.909900019699101</v>
      </c>
      <c r="O17" s="21">
        <f>SQRT(SUMSQ(O14:O16))</f>
        <v>0.60000000000000797</v>
      </c>
      <c r="P17" s="21">
        <f>SQRT(SUMSQ(P14:P16))</f>
        <v>50.50990001969911</v>
      </c>
      <c r="Q17" s="36">
        <f t="shared" si="4"/>
        <v>50.05253600929273</v>
      </c>
      <c r="R17" s="21">
        <f>SQRT(SUMSQ(R14:R16))</f>
        <v>0.86023252670422279</v>
      </c>
      <c r="S17" s="21">
        <f>SQRT(SUMSQ(S14:S16))</f>
        <v>50.912768535996953</v>
      </c>
      <c r="T17" s="36">
        <f t="shared" si="5"/>
        <v>50.300810080438396</v>
      </c>
      <c r="U17" s="21">
        <f>SQRT(SUMSQ(U14:U16))</f>
        <v>512.70007801832833</v>
      </c>
      <c r="V17" s="21">
        <f>SQRT(SUMSQ(V14:V16))</f>
        <v>563.00088809876672</v>
      </c>
      <c r="W17" s="36">
        <f t="shared" si="6"/>
        <v>49.690155671313853</v>
      </c>
      <c r="X17" s="31">
        <f>SQRT(SUMSQ(X14:X16))</f>
        <v>1.0198039027185488</v>
      </c>
      <c r="Y17" s="31">
        <f>SQRT(SUMSQ(Y14:Y16))</f>
        <v>50.709959574032403</v>
      </c>
      <c r="Z17" s="36">
        <f t="shared" si="7"/>
        <v>49.9355342091024</v>
      </c>
      <c r="AA17" s="21">
        <f>SQRT(SUMSQ(AA14:AA16))</f>
        <v>0.76811457478690637</v>
      </c>
      <c r="AB17" s="21">
        <f>SQRT(SUMSQ(AB14:AB16))</f>
        <v>50.703648783889307</v>
      </c>
      <c r="AC17" s="36">
        <f t="shared" si="8"/>
        <v>50.100243628250837</v>
      </c>
      <c r="AD17" s="21">
        <f>SQRT(SUMSQ(AD14:AD16))</f>
        <v>513.00015594539536</v>
      </c>
      <c r="AE17" s="21">
        <f>SQRT(SUMSQ(AE14:AE16))</f>
        <v>563.1003995736462</v>
      </c>
      <c r="AF17" s="36">
        <f t="shared" si="9"/>
        <v>48.757909716669374</v>
      </c>
      <c r="AG17" s="21">
        <f>SQRT(SUMSQ(AG14:AG16))</f>
        <v>0.94339811320568379</v>
      </c>
      <c r="AH17" s="21">
        <f>SQRT(SUMSQ(AH14:AH16))</f>
        <v>49.701307829875056</v>
      </c>
      <c r="AI17" s="36">
        <f t="shared" si="10"/>
        <v>49.652476645286811</v>
      </c>
      <c r="AJ17" s="21">
        <f>SQRT(SUMSQ(AJ14:AJ16))</f>
        <v>0.54772255750520837</v>
      </c>
      <c r="AK17" s="21">
        <f>SQRT(SUMSQ(AK14:AK16))</f>
        <v>50.200199202792021</v>
      </c>
      <c r="AL17" s="36">
        <f t="shared" si="11"/>
        <v>49.558615592133187</v>
      </c>
      <c r="AM17" s="21">
        <f>SQRT(SUMSQ(AM14:AM16))</f>
        <v>0.31622776601683383</v>
      </c>
      <c r="AN17" s="21">
        <f>SQRT(SUMSQ(AN14:AN16))</f>
        <v>49.874843358150024</v>
      </c>
      <c r="AO17" s="36">
        <f t="shared" si="12"/>
        <v>48.229122259762143</v>
      </c>
      <c r="AP17" s="21">
        <f>SQRT(SUMSQ(AP14:AP16))</f>
        <v>0.87749643873919148</v>
      </c>
      <c r="AQ17" s="21">
        <f>SQRT(SUMSQ(AQ14:AQ16))</f>
        <v>49.106618698501336</v>
      </c>
      <c r="AR17" s="36">
        <f t="shared" si="13"/>
        <v>48.995777874559373</v>
      </c>
      <c r="AS17" s="21">
        <f>SQRT(SUMSQ(AS14:AS16))</f>
        <v>0.92195444572938967</v>
      </c>
      <c r="AT17" s="21">
        <f>SQRT(SUMSQ(AT14:AT16))</f>
        <v>49.917732320288764</v>
      </c>
      <c r="AU17" s="36">
        <f t="shared" si="14"/>
        <v>50.024919576045754</v>
      </c>
      <c r="AV17" s="31">
        <f>SQRT(SUMSQ(AV14:AV16))</f>
        <v>0.51961524227067002</v>
      </c>
      <c r="AW17" s="31">
        <f>SQRT(SUMSQ(AW14:AW16))</f>
        <v>50.544534818316421</v>
      </c>
      <c r="AX17" s="36">
        <f t="shared" si="15"/>
        <v>48.655593812034134</v>
      </c>
      <c r="AY17" s="31">
        <f>SQRT(SUMSQ(AY14:AY16))</f>
        <v>0.94339811320566236</v>
      </c>
      <c r="AZ17" s="31">
        <f>SQRT(SUMSQ(AZ14:AZ16))</f>
        <v>49.598991925239794</v>
      </c>
      <c r="BA17" s="36">
        <f t="shared" si="16"/>
        <v>49.762209299200258</v>
      </c>
      <c r="BB17" s="31">
        <f>SQRT(SUMSQ(BB14:BB16))</f>
        <v>0.65574385243015565</v>
      </c>
      <c r="BC17" s="31">
        <f>SQRT(SUMSQ(BC14:BC16))</f>
        <v>50.417953151630414</v>
      </c>
      <c r="BD17" s="22">
        <f t="shared" si="17"/>
        <v>48.766776248760003</v>
      </c>
      <c r="BE17" s="21">
        <f>SQRT(SUMSQ(BE14:BE16))</f>
        <v>0.86023252670418004</v>
      </c>
      <c r="BF17" s="21">
        <f>SQRT(SUMSQ(BF14:BF16))</f>
        <v>49.627008775464184</v>
      </c>
      <c r="BG17" s="36">
        <f t="shared" si="20"/>
        <v>47.950722307416335</v>
      </c>
      <c r="BH17" s="31">
        <f>SQRT(SUMSQ(BH14:BH16))</f>
        <v>0.85440037453171913</v>
      </c>
      <c r="BI17" s="31">
        <f>SQRT(SUMSQ(BI14:BI16))</f>
        <v>48.805122681948056</v>
      </c>
      <c r="BJ17" s="36">
        <f t="shared" si="18"/>
        <v>50.756152065772064</v>
      </c>
      <c r="BK17" s="31">
        <f>SQRT(SUMSQ(BK14:BK16))</f>
        <v>0.94868329805053508</v>
      </c>
      <c r="BL17" s="31">
        <f>SQRT(SUMSQ(BL14:BL16))</f>
        <v>51.704835363822596</v>
      </c>
    </row>
    <row r="18" spans="1:64">
      <c r="A18" s="21" t="s">
        <v>188</v>
      </c>
      <c r="B18" s="22" t="s">
        <v>189</v>
      </c>
      <c r="C18" s="37" t="s">
        <v>190</v>
      </c>
      <c r="D18" s="37" t="s">
        <v>190</v>
      </c>
      <c r="E18" s="22" t="s">
        <v>189</v>
      </c>
      <c r="F18" s="37" t="s">
        <v>190</v>
      </c>
      <c r="G18" s="37" t="s">
        <v>190</v>
      </c>
      <c r="H18" s="22" t="s">
        <v>189</v>
      </c>
      <c r="I18" s="37" t="s">
        <v>190</v>
      </c>
      <c r="J18" s="37" t="s">
        <v>190</v>
      </c>
      <c r="K18" s="22" t="s">
        <v>189</v>
      </c>
      <c r="L18" s="37" t="s">
        <v>190</v>
      </c>
      <c r="M18" s="37" t="s">
        <v>190</v>
      </c>
      <c r="N18" s="22" t="s">
        <v>189</v>
      </c>
      <c r="O18" s="37" t="s">
        <v>190</v>
      </c>
      <c r="P18" s="37" t="s">
        <v>190</v>
      </c>
      <c r="Q18" s="22" t="s">
        <v>189</v>
      </c>
      <c r="R18" s="37" t="s">
        <v>190</v>
      </c>
      <c r="S18" s="37" t="s">
        <v>190</v>
      </c>
      <c r="T18" s="22" t="s">
        <v>189</v>
      </c>
      <c r="U18" s="37" t="s">
        <v>190</v>
      </c>
      <c r="V18" s="37" t="s">
        <v>190</v>
      </c>
      <c r="W18" s="22" t="s">
        <v>82</v>
      </c>
      <c r="X18" s="37" t="s">
        <v>190</v>
      </c>
      <c r="Y18" s="37" t="s">
        <v>190</v>
      </c>
      <c r="Z18" s="22" t="s">
        <v>82</v>
      </c>
      <c r="AA18" s="37" t="s">
        <v>190</v>
      </c>
      <c r="AB18" s="37" t="s">
        <v>190</v>
      </c>
      <c r="AC18" s="22" t="s">
        <v>189</v>
      </c>
      <c r="AD18" s="37" t="s">
        <v>190</v>
      </c>
      <c r="AE18" s="37" t="s">
        <v>190</v>
      </c>
      <c r="AF18" s="22" t="s">
        <v>82</v>
      </c>
      <c r="AG18" s="37" t="s">
        <v>190</v>
      </c>
      <c r="AH18" s="37" t="s">
        <v>190</v>
      </c>
      <c r="AI18" s="22" t="s">
        <v>82</v>
      </c>
      <c r="AJ18" s="37" t="s">
        <v>190</v>
      </c>
      <c r="AK18" s="37" t="s">
        <v>190</v>
      </c>
      <c r="AL18" s="22" t="s">
        <v>82</v>
      </c>
      <c r="AM18" s="37" t="s">
        <v>190</v>
      </c>
      <c r="AN18" s="37" t="s">
        <v>190</v>
      </c>
      <c r="AO18" s="22" t="s">
        <v>82</v>
      </c>
      <c r="AP18" s="37" t="s">
        <v>190</v>
      </c>
      <c r="AQ18" s="37" t="s">
        <v>190</v>
      </c>
      <c r="AR18" s="22" t="s">
        <v>82</v>
      </c>
      <c r="AS18" s="37" t="s">
        <v>190</v>
      </c>
      <c r="AT18" s="37" t="s">
        <v>190</v>
      </c>
      <c r="AU18" s="22" t="s">
        <v>82</v>
      </c>
      <c r="AV18" s="37" t="s">
        <v>190</v>
      </c>
      <c r="AW18" s="37" t="s">
        <v>190</v>
      </c>
      <c r="AX18" s="22" t="s">
        <v>82</v>
      </c>
      <c r="AY18" s="37" t="s">
        <v>190</v>
      </c>
      <c r="AZ18" s="37" t="s">
        <v>190</v>
      </c>
      <c r="BA18" s="22" t="s">
        <v>82</v>
      </c>
      <c r="BB18" s="37" t="s">
        <v>190</v>
      </c>
      <c r="BC18" s="37" t="s">
        <v>190</v>
      </c>
      <c r="BD18" s="22" t="s">
        <v>82</v>
      </c>
      <c r="BE18" s="37" t="s">
        <v>190</v>
      </c>
      <c r="BF18" s="37" t="s">
        <v>190</v>
      </c>
      <c r="BG18" s="22" t="s">
        <v>191</v>
      </c>
      <c r="BH18" s="37" t="s">
        <v>190</v>
      </c>
      <c r="BI18" s="37" t="s">
        <v>190</v>
      </c>
      <c r="BJ18" s="22" t="s">
        <v>191</v>
      </c>
      <c r="BK18" s="37" t="s">
        <v>190</v>
      </c>
      <c r="BL18" s="37" t="s">
        <v>190</v>
      </c>
    </row>
    <row r="19" spans="1:64">
      <c r="A19" s="139" t="s">
        <v>46</v>
      </c>
      <c r="B19" s="141" t="s">
        <v>192</v>
      </c>
      <c r="C19" s="141"/>
      <c r="D19" s="141"/>
      <c r="E19" s="141"/>
      <c r="F19" s="141"/>
      <c r="G19" s="141"/>
      <c r="H19" s="141"/>
      <c r="I19" s="141"/>
    </row>
    <row r="20" spans="1:64">
      <c r="A20" s="140"/>
      <c r="B20" s="141" t="s">
        <v>193</v>
      </c>
      <c r="C20" s="141"/>
      <c r="D20" s="141"/>
      <c r="E20" s="141"/>
      <c r="F20" s="141"/>
      <c r="G20" s="141"/>
      <c r="H20" s="141"/>
      <c r="I20" s="141"/>
      <c r="J20" s="46"/>
    </row>
    <row r="22" spans="1:64" ht="17.850000000000001" customHeight="1">
      <c r="A22" s="137" t="s">
        <v>194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</row>
    <row r="23" spans="1:64">
      <c r="A23" s="43" t="s">
        <v>37</v>
      </c>
      <c r="B23" s="22" t="s">
        <v>59</v>
      </c>
      <c r="C23" s="138" t="s">
        <v>70</v>
      </c>
      <c r="D23" s="138"/>
      <c r="E23" s="22" t="s">
        <v>88</v>
      </c>
      <c r="F23" s="133" t="s">
        <v>93</v>
      </c>
      <c r="G23" s="133"/>
      <c r="H23" s="22" t="s">
        <v>115</v>
      </c>
      <c r="I23" s="133" t="s">
        <v>119</v>
      </c>
      <c r="J23" s="133"/>
      <c r="K23" s="22" t="s">
        <v>129</v>
      </c>
      <c r="L23" s="133" t="s">
        <v>133</v>
      </c>
      <c r="M23" s="133"/>
      <c r="N23" s="134" t="s">
        <v>141</v>
      </c>
      <c r="O23" s="134"/>
      <c r="P23" s="134"/>
      <c r="Q23" s="133" t="s">
        <v>166</v>
      </c>
      <c r="R23" s="133"/>
      <c r="S23" s="133"/>
      <c r="T23" s="22" t="s">
        <v>151</v>
      </c>
      <c r="U23" s="135" t="s">
        <v>167</v>
      </c>
      <c r="V23" s="136"/>
      <c r="W23" s="49"/>
      <c r="X23" s="49"/>
      <c r="Y23" s="49"/>
      <c r="Z23" s="49"/>
      <c r="AA23" s="49"/>
      <c r="AB23" s="49"/>
      <c r="AC23" s="143"/>
      <c r="AD23" s="143"/>
      <c r="AE23" s="143"/>
      <c r="AF23" s="144"/>
      <c r="AG23" s="144"/>
      <c r="AH23" s="144"/>
      <c r="AI23" s="144"/>
      <c r="AJ23" s="144"/>
      <c r="AK23" s="144"/>
      <c r="AL23" s="15"/>
      <c r="AM23" s="15"/>
      <c r="AN23" s="15"/>
      <c r="AO23" s="15"/>
      <c r="AP23" s="15"/>
      <c r="AQ23" s="15"/>
      <c r="AU23" s="15"/>
      <c r="AV23" s="15"/>
      <c r="AW23" s="15"/>
      <c r="AX23" s="15"/>
      <c r="AY23" s="15"/>
      <c r="AZ23" s="15"/>
      <c r="BD23" s="15"/>
      <c r="BE23" s="15"/>
      <c r="BF23" s="15"/>
      <c r="BG23" s="15"/>
      <c r="BH23" s="15"/>
      <c r="BI23" s="15"/>
      <c r="BJ23" s="15"/>
      <c r="BK23" s="15"/>
      <c r="BL23" s="15"/>
    </row>
    <row r="24" spans="1:64" s="15" customFormat="1">
      <c r="A24" s="142" t="s">
        <v>168</v>
      </c>
      <c r="B24" s="43" t="s">
        <v>169</v>
      </c>
      <c r="C24" s="43" t="s">
        <v>169</v>
      </c>
      <c r="D24" s="43" t="s">
        <v>170</v>
      </c>
      <c r="E24" s="43" t="s">
        <v>169</v>
      </c>
      <c r="F24" s="43" t="s">
        <v>169</v>
      </c>
      <c r="G24" s="43" t="s">
        <v>170</v>
      </c>
      <c r="H24" s="43" t="s">
        <v>169</v>
      </c>
      <c r="I24" s="43" t="s">
        <v>169</v>
      </c>
      <c r="J24" s="43" t="s">
        <v>170</v>
      </c>
      <c r="K24" s="43" t="s">
        <v>169</v>
      </c>
      <c r="L24" s="43" t="s">
        <v>169</v>
      </c>
      <c r="M24" s="43" t="s">
        <v>170</v>
      </c>
      <c r="N24" s="43" t="s">
        <v>169</v>
      </c>
      <c r="O24" s="43" t="s">
        <v>170</v>
      </c>
      <c r="P24" s="43" t="s">
        <v>171</v>
      </c>
      <c r="Q24" s="43" t="s">
        <v>169</v>
      </c>
      <c r="R24" s="43" t="s">
        <v>170</v>
      </c>
      <c r="S24" s="43" t="s">
        <v>171</v>
      </c>
      <c r="T24" s="43" t="s">
        <v>169</v>
      </c>
      <c r="U24" s="43" t="s">
        <v>169</v>
      </c>
      <c r="V24" s="43" t="s">
        <v>170</v>
      </c>
    </row>
    <row r="25" spans="1:64">
      <c r="A25" s="142"/>
      <c r="B25" s="35" t="s">
        <v>174</v>
      </c>
      <c r="C25" s="35" t="s">
        <v>174</v>
      </c>
      <c r="D25" s="35" t="s">
        <v>174</v>
      </c>
      <c r="E25" s="35" t="s">
        <v>174</v>
      </c>
      <c r="F25" s="35" t="s">
        <v>174</v>
      </c>
      <c r="G25" s="35" t="s">
        <v>174</v>
      </c>
      <c r="H25" s="35" t="s">
        <v>174</v>
      </c>
      <c r="I25" s="35" t="s">
        <v>174</v>
      </c>
      <c r="J25" s="35" t="s">
        <v>174</v>
      </c>
      <c r="K25" s="35" t="s">
        <v>174</v>
      </c>
      <c r="L25" s="35" t="s">
        <v>174</v>
      </c>
      <c r="M25" s="35" t="s">
        <v>174</v>
      </c>
      <c r="N25" s="35" t="s">
        <v>174</v>
      </c>
      <c r="O25" s="35" t="s">
        <v>174</v>
      </c>
      <c r="P25" s="35" t="s">
        <v>174</v>
      </c>
      <c r="Q25" s="35" t="s">
        <v>174</v>
      </c>
      <c r="R25" s="35" t="s">
        <v>174</v>
      </c>
      <c r="S25" s="35" t="s">
        <v>174</v>
      </c>
      <c r="T25" s="35" t="s">
        <v>174</v>
      </c>
      <c r="U25" s="35" t="s">
        <v>174</v>
      </c>
      <c r="V25" s="35" t="s">
        <v>174</v>
      </c>
      <c r="W25"/>
      <c r="AR25"/>
      <c r="AS25"/>
      <c r="AT25"/>
      <c r="BA25"/>
      <c r="BB25"/>
      <c r="BC25"/>
    </row>
    <row r="26" spans="1:64">
      <c r="A26" s="21" t="s">
        <v>175</v>
      </c>
      <c r="B26" s="31">
        <v>1.671</v>
      </c>
      <c r="C26" s="21">
        <v>1.5466</v>
      </c>
      <c r="D26" s="31">
        <v>1.5475000000000001</v>
      </c>
      <c r="E26" s="31">
        <v>1.5276000000000001</v>
      </c>
      <c r="F26" s="31">
        <v>1.4601999999999999</v>
      </c>
      <c r="G26" s="31">
        <v>1.5374000000000001</v>
      </c>
      <c r="H26" s="31">
        <v>1.5578000000000001</v>
      </c>
      <c r="I26" s="31">
        <v>1.5427999999999999</v>
      </c>
      <c r="J26" s="31">
        <v>1.5410999999999999</v>
      </c>
      <c r="K26" s="21">
        <v>1.5544</v>
      </c>
      <c r="L26" s="21">
        <v>1.5543</v>
      </c>
      <c r="M26" s="21">
        <v>1.5328999999999999</v>
      </c>
      <c r="N26" s="21">
        <v>1.4611000000000001</v>
      </c>
      <c r="O26" s="34">
        <v>1.5431999999999999</v>
      </c>
      <c r="P26" s="31">
        <v>1.5523</v>
      </c>
      <c r="Q26" s="31">
        <v>1.5536000000000001</v>
      </c>
      <c r="R26" s="31">
        <v>1.6523000000000001</v>
      </c>
      <c r="S26" s="21">
        <v>1.5613999999999999</v>
      </c>
      <c r="T26" s="21">
        <v>1.5545</v>
      </c>
      <c r="U26" s="21">
        <v>1.5417000000000001</v>
      </c>
      <c r="V26" s="21">
        <v>1.5362</v>
      </c>
      <c r="W26"/>
      <c r="AR26"/>
      <c r="AS26"/>
      <c r="AT26"/>
      <c r="BA26"/>
      <c r="BB26"/>
      <c r="BC26"/>
    </row>
    <row r="27" spans="1:64">
      <c r="A27" s="21" t="s">
        <v>176</v>
      </c>
      <c r="B27" s="31">
        <v>33.436799999999998</v>
      </c>
      <c r="C27" s="21">
        <v>11.5061</v>
      </c>
      <c r="D27" s="31">
        <v>11.1997</v>
      </c>
      <c r="E27" s="31">
        <v>30.0213</v>
      </c>
      <c r="F27" s="31">
        <v>12.229900000000001</v>
      </c>
      <c r="G27" s="31">
        <v>10.833600000000001</v>
      </c>
      <c r="H27" s="31">
        <v>33.423900000000003</v>
      </c>
      <c r="I27" s="31">
        <v>11.4886</v>
      </c>
      <c r="J27" s="31">
        <v>10.6769</v>
      </c>
      <c r="K27" s="21">
        <v>33.979900000000001</v>
      </c>
      <c r="L27" s="21">
        <v>12.045999999999999</v>
      </c>
      <c r="M27" s="21">
        <v>10.7363</v>
      </c>
      <c r="N27" s="21">
        <v>11.9198</v>
      </c>
      <c r="O27" s="34">
        <v>10.654199999999999</v>
      </c>
      <c r="P27" s="31">
        <v>12.4917</v>
      </c>
      <c r="Q27" s="31">
        <v>11.3744</v>
      </c>
      <c r="R27" s="31">
        <v>10.6547</v>
      </c>
      <c r="S27" s="21">
        <v>10.938599999999999</v>
      </c>
      <c r="T27" s="21">
        <v>13.1569</v>
      </c>
      <c r="U27" s="21">
        <v>10.2163</v>
      </c>
      <c r="V27" s="21">
        <v>10.5496</v>
      </c>
      <c r="W27"/>
      <c r="AR27"/>
      <c r="AS27"/>
      <c r="AT27"/>
      <c r="BA27"/>
      <c r="BB27"/>
      <c r="BC27"/>
    </row>
    <row r="28" spans="1:64">
      <c r="A28" s="21" t="s">
        <v>177</v>
      </c>
      <c r="B28" s="31">
        <f t="shared" ref="B28:V28" si="53">B27+B26</f>
        <v>35.107799999999997</v>
      </c>
      <c r="C28" s="21">
        <f t="shared" si="53"/>
        <v>13.0527</v>
      </c>
      <c r="D28" s="31">
        <f t="shared" si="53"/>
        <v>12.747199999999999</v>
      </c>
      <c r="E28" s="31">
        <f t="shared" si="53"/>
        <v>31.5489</v>
      </c>
      <c r="F28" s="31">
        <f t="shared" si="53"/>
        <v>13.690100000000001</v>
      </c>
      <c r="G28" s="31">
        <f t="shared" si="53"/>
        <v>12.371</v>
      </c>
      <c r="H28" s="31">
        <f t="shared" si="53"/>
        <v>34.981700000000004</v>
      </c>
      <c r="I28" s="31">
        <f t="shared" si="53"/>
        <v>13.0314</v>
      </c>
      <c r="J28" s="31">
        <f t="shared" si="53"/>
        <v>12.218</v>
      </c>
      <c r="K28" s="21">
        <f t="shared" si="53"/>
        <v>35.534300000000002</v>
      </c>
      <c r="L28" s="21">
        <f t="shared" si="53"/>
        <v>13.600299999999999</v>
      </c>
      <c r="M28" s="21">
        <f t="shared" si="53"/>
        <v>12.2692</v>
      </c>
      <c r="N28" s="21">
        <f t="shared" si="53"/>
        <v>13.3809</v>
      </c>
      <c r="O28" s="34">
        <f t="shared" si="53"/>
        <v>12.1974</v>
      </c>
      <c r="P28" s="31">
        <f t="shared" si="53"/>
        <v>14.044</v>
      </c>
      <c r="Q28" s="31">
        <f t="shared" si="53"/>
        <v>12.927999999999999</v>
      </c>
      <c r="R28" s="31">
        <f t="shared" si="53"/>
        <v>12.307</v>
      </c>
      <c r="S28" s="21">
        <f t="shared" si="53"/>
        <v>12.5</v>
      </c>
      <c r="T28" s="21">
        <f t="shared" si="53"/>
        <v>14.711400000000001</v>
      </c>
      <c r="U28" s="21">
        <f t="shared" si="53"/>
        <v>11.758000000000001</v>
      </c>
      <c r="V28" s="21">
        <f t="shared" si="53"/>
        <v>12.085799999999999</v>
      </c>
      <c r="W28"/>
      <c r="AR28"/>
      <c r="AS28"/>
      <c r="AT28"/>
      <c r="BA28"/>
      <c r="BB28"/>
      <c r="BC28"/>
    </row>
    <row r="29" spans="1:64">
      <c r="A29" s="21" t="s">
        <v>178</v>
      </c>
      <c r="B29" s="31">
        <v>0.93200000000000005</v>
      </c>
      <c r="C29" s="31">
        <v>1.05</v>
      </c>
      <c r="D29" s="31">
        <v>0.7</v>
      </c>
      <c r="E29" s="31">
        <v>0.57699999999999996</v>
      </c>
      <c r="F29" s="31">
        <v>0.88</v>
      </c>
      <c r="G29" s="31">
        <v>0.39</v>
      </c>
      <c r="H29" s="31">
        <v>1.0169999999999999</v>
      </c>
      <c r="I29" s="31">
        <v>1.21</v>
      </c>
      <c r="J29" s="31">
        <v>0.88</v>
      </c>
      <c r="K29" s="21">
        <v>0.495</v>
      </c>
      <c r="L29" s="21">
        <v>0.72</v>
      </c>
      <c r="M29" s="21">
        <v>0.25</v>
      </c>
      <c r="N29" s="21">
        <v>0.223</v>
      </c>
      <c r="O29" s="21">
        <v>0.88300000000000001</v>
      </c>
      <c r="P29" s="34">
        <v>1.1499999999999999</v>
      </c>
      <c r="Q29" s="31">
        <v>0.33900000000000002</v>
      </c>
      <c r="R29" s="31">
        <v>0.82799999999999996</v>
      </c>
      <c r="S29" s="31">
        <v>1.2010000000000001</v>
      </c>
      <c r="T29" s="21">
        <v>0.79200000000000004</v>
      </c>
      <c r="U29" s="31">
        <v>1.05</v>
      </c>
      <c r="V29" s="31">
        <v>0.7</v>
      </c>
      <c r="W29"/>
      <c r="AR29"/>
      <c r="AS29"/>
      <c r="AT29"/>
      <c r="BA29"/>
      <c r="BB29"/>
      <c r="BC29"/>
    </row>
    <row r="30" spans="1:64">
      <c r="A30" s="21" t="s">
        <v>179</v>
      </c>
      <c r="B30" s="31">
        <v>0.23899999999999999</v>
      </c>
      <c r="C30" s="31">
        <v>-0.05</v>
      </c>
      <c r="D30" s="31">
        <v>0.32</v>
      </c>
      <c r="E30" s="31">
        <v>0.75700000000000001</v>
      </c>
      <c r="F30" s="31">
        <v>0.45</v>
      </c>
      <c r="G30" s="31">
        <v>0.93</v>
      </c>
      <c r="H30" s="31">
        <v>0.32200000000000001</v>
      </c>
      <c r="I30" s="31">
        <v>0.11</v>
      </c>
      <c r="J30" s="31">
        <v>0.48</v>
      </c>
      <c r="K30" s="21">
        <v>0.84499999999999997</v>
      </c>
      <c r="L30" s="21">
        <v>0.63</v>
      </c>
      <c r="M30" s="21">
        <v>0.97</v>
      </c>
      <c r="N30" s="21">
        <v>1.1399999999999999</v>
      </c>
      <c r="O30" s="21">
        <v>0.58699999999999997</v>
      </c>
      <c r="P30" s="34">
        <v>-0.05</v>
      </c>
      <c r="Q30" s="31">
        <v>0.95399999999999996</v>
      </c>
      <c r="R30" s="31">
        <v>0.63100000000000001</v>
      </c>
      <c r="S30" s="31">
        <v>5.0000000000000001E-3</v>
      </c>
      <c r="T30" s="21">
        <v>0.96399999999999997</v>
      </c>
      <c r="U30" s="31">
        <v>-0.05</v>
      </c>
      <c r="V30" s="31">
        <v>0.32</v>
      </c>
      <c r="W30"/>
      <c r="AR30"/>
      <c r="AS30"/>
      <c r="AT30"/>
      <c r="BA30"/>
      <c r="BB30"/>
      <c r="BC30"/>
    </row>
    <row r="31" spans="1:64">
      <c r="A31" s="21" t="s">
        <v>180</v>
      </c>
      <c r="B31" s="31">
        <v>-0.18</v>
      </c>
      <c r="C31" s="31">
        <v>-0.14000000000000001</v>
      </c>
      <c r="D31" s="31">
        <v>-0.14000000000000001</v>
      </c>
      <c r="E31" s="31">
        <v>-0.18</v>
      </c>
      <c r="F31" s="31">
        <v>-0.1</v>
      </c>
      <c r="G31" s="31">
        <v>-0.14000000000000001</v>
      </c>
      <c r="H31" s="31">
        <v>-6.25E-2</v>
      </c>
      <c r="I31" s="31">
        <v>-0.02</v>
      </c>
      <c r="J31" s="31">
        <v>-0.03</v>
      </c>
      <c r="K31" s="21">
        <v>-6.25E-2</v>
      </c>
      <c r="L31" s="21">
        <v>-0.03</v>
      </c>
      <c r="M31" s="21">
        <v>-0.05</v>
      </c>
      <c r="N31" s="21">
        <v>3.6999999999999998E-2</v>
      </c>
      <c r="O31" s="21">
        <v>5.0999999999999997E-2</v>
      </c>
      <c r="P31" s="34">
        <v>0.05</v>
      </c>
      <c r="Q31" s="31">
        <v>-4.9000000000000002E-2</v>
      </c>
      <c r="R31" s="31">
        <v>-0.08</v>
      </c>
      <c r="S31" s="31">
        <v>-8.5999999999999993E-2</v>
      </c>
      <c r="T31" s="21">
        <v>5.8000000000000003E-2</v>
      </c>
      <c r="U31" s="31">
        <v>-0.14000000000000001</v>
      </c>
      <c r="V31" s="31">
        <v>-0.14000000000000001</v>
      </c>
      <c r="W31"/>
      <c r="AR31"/>
      <c r="AS31"/>
      <c r="AT31"/>
      <c r="BA31"/>
      <c r="BB31"/>
      <c r="BC31"/>
    </row>
    <row r="32" spans="1:64">
      <c r="A32" s="21" t="s">
        <v>181</v>
      </c>
      <c r="B32" s="31">
        <v>0.93189999999999995</v>
      </c>
      <c r="C32" s="31">
        <v>1.0497000000000001</v>
      </c>
      <c r="D32" s="31">
        <v>0.70069999999999999</v>
      </c>
      <c r="E32" s="31">
        <v>0.57820000000000005</v>
      </c>
      <c r="F32" s="45">
        <v>0.87990000000000002</v>
      </c>
      <c r="G32" s="45">
        <v>0.3901</v>
      </c>
      <c r="H32" s="31">
        <v>1.0172000000000001</v>
      </c>
      <c r="I32" s="31">
        <v>1.2101999999999999</v>
      </c>
      <c r="J32" s="31">
        <v>0.88049999999999995</v>
      </c>
      <c r="K32" s="21">
        <v>0.49490000000000001</v>
      </c>
      <c r="L32" s="21">
        <v>0.72040000000000004</v>
      </c>
      <c r="M32" s="21">
        <v>0.24990000000000001</v>
      </c>
      <c r="N32" s="21">
        <v>0.22259999999999999</v>
      </c>
      <c r="O32" s="34">
        <v>0.88249999999999995</v>
      </c>
      <c r="P32" s="31">
        <v>1.1504000000000001</v>
      </c>
      <c r="Q32" s="31">
        <v>0.33989999999999998</v>
      </c>
      <c r="R32" s="31">
        <v>0.82750000000000001</v>
      </c>
      <c r="S32" s="21">
        <v>1.2007000000000001</v>
      </c>
      <c r="T32" s="21">
        <v>0.79139999999999999</v>
      </c>
      <c r="U32" s="21">
        <v>1.0492999999999999</v>
      </c>
      <c r="V32" s="21">
        <v>0.70020000000000004</v>
      </c>
      <c r="W32"/>
      <c r="AR32"/>
      <c r="AS32"/>
      <c r="AT32"/>
      <c r="BA32"/>
      <c r="BB32"/>
      <c r="BC32"/>
    </row>
    <row r="33" spans="1:55">
      <c r="A33" s="21" t="s">
        <v>182</v>
      </c>
      <c r="B33" s="31">
        <v>0.2389</v>
      </c>
      <c r="C33" s="31">
        <v>-5.0999999999999997E-2</v>
      </c>
      <c r="D33" s="31">
        <v>0.32019999999999998</v>
      </c>
      <c r="E33" s="31">
        <v>0.75690000000000002</v>
      </c>
      <c r="F33" s="31">
        <v>0.44950000000000001</v>
      </c>
      <c r="G33" s="31">
        <v>0.92930000000000001</v>
      </c>
      <c r="H33" s="31">
        <v>0.32190000000000002</v>
      </c>
      <c r="I33" s="31">
        <v>0.1094</v>
      </c>
      <c r="J33" s="31">
        <v>0.47949999999999998</v>
      </c>
      <c r="K33" s="21">
        <v>0.84519999999999995</v>
      </c>
      <c r="L33" s="21">
        <v>0.62970000000000004</v>
      </c>
      <c r="M33" s="21">
        <v>0.96960000000000002</v>
      </c>
      <c r="N33" s="21">
        <v>1.1400999999999999</v>
      </c>
      <c r="O33" s="34">
        <v>0.58709999999999996</v>
      </c>
      <c r="P33" s="31">
        <v>-5.0500000000000003E-2</v>
      </c>
      <c r="Q33" s="31">
        <v>0.9546</v>
      </c>
      <c r="R33" s="31">
        <v>0.63060000000000005</v>
      </c>
      <c r="S33" s="21">
        <v>4.4000000000000003E-3</v>
      </c>
      <c r="T33" s="21">
        <v>0.96360000000000001</v>
      </c>
      <c r="U33" s="21">
        <v>-5.0299999999999997E-2</v>
      </c>
      <c r="V33" s="21">
        <v>0.31990000000000002</v>
      </c>
      <c r="W33"/>
      <c r="AR33"/>
      <c r="AS33"/>
      <c r="AT33"/>
      <c r="BA33"/>
      <c r="BB33"/>
      <c r="BC33"/>
    </row>
    <row r="34" spans="1:55">
      <c r="A34" s="21" t="s">
        <v>183</v>
      </c>
      <c r="B34" s="31">
        <v>0.45029999999999998</v>
      </c>
      <c r="C34" s="31">
        <v>-0.13900000000000001</v>
      </c>
      <c r="D34" s="31">
        <v>-0.13930000000000001</v>
      </c>
      <c r="E34" s="31">
        <v>0.4506</v>
      </c>
      <c r="F34" s="31">
        <v>-0.10150000000000001</v>
      </c>
      <c r="G34" s="31">
        <v>-0.1409</v>
      </c>
      <c r="H34" s="31">
        <v>0.4506</v>
      </c>
      <c r="I34" s="31">
        <v>-1.8700000000000001E-2</v>
      </c>
      <c r="J34" s="31">
        <v>-2.9600000000000001E-2</v>
      </c>
      <c r="K34" s="21">
        <v>0.4501</v>
      </c>
      <c r="L34" s="21">
        <v>-3.09E-2</v>
      </c>
      <c r="M34" s="21">
        <v>-5.0700000000000002E-2</v>
      </c>
      <c r="N34" s="21">
        <v>3.61E-2</v>
      </c>
      <c r="O34" s="34">
        <v>5.1040000000000002E-2</v>
      </c>
      <c r="P34" s="31">
        <v>5.0299999999999997E-2</v>
      </c>
      <c r="Q34" s="31">
        <v>-4.8899999999999999E-2</v>
      </c>
      <c r="R34" s="31">
        <v>-7.9899999999999999E-2</v>
      </c>
      <c r="S34" s="21">
        <v>-8.5900000000000004E-2</v>
      </c>
      <c r="T34" s="21">
        <v>5.7500000000000002E-2</v>
      </c>
      <c r="U34" s="21">
        <v>-0.1399</v>
      </c>
      <c r="V34" s="21">
        <v>-0.14019999999999999</v>
      </c>
      <c r="W34"/>
      <c r="AR34"/>
      <c r="AS34"/>
      <c r="AT34"/>
      <c r="BA34"/>
      <c r="BB34"/>
      <c r="BC34"/>
    </row>
    <row r="35" spans="1:55">
      <c r="A35" s="21" t="s">
        <v>184</v>
      </c>
      <c r="B35" s="21">
        <f t="shared" ref="B35:V35" si="54">ABS(B32-B29)*1000</f>
        <v>0.10000000000010001</v>
      </c>
      <c r="C35" s="31">
        <f t="shared" si="54"/>
        <v>0.29999999999996696</v>
      </c>
      <c r="D35" s="31">
        <f t="shared" si="54"/>
        <v>0.70000000000003393</v>
      </c>
      <c r="E35" s="21">
        <f t="shared" si="54"/>
        <v>1.2000000000000899</v>
      </c>
      <c r="F35" s="21">
        <f t="shared" si="54"/>
        <v>9.9999999999988987E-2</v>
      </c>
      <c r="G35" s="31">
        <f t="shared" si="54"/>
        <v>9.9999999999988987E-2</v>
      </c>
      <c r="H35" s="21">
        <f t="shared" si="54"/>
        <v>0.20000000000020002</v>
      </c>
      <c r="I35" s="31">
        <f t="shared" si="54"/>
        <v>0.19999999999997797</v>
      </c>
      <c r="J35" s="31">
        <f t="shared" si="54"/>
        <v>0.49999999999994493</v>
      </c>
      <c r="K35" s="21">
        <f t="shared" si="54"/>
        <v>9.9999999999988987E-2</v>
      </c>
      <c r="L35" s="21">
        <f t="shared" si="54"/>
        <v>0.40000000000006697</v>
      </c>
      <c r="M35" s="21">
        <f t="shared" si="54"/>
        <v>9.9999999999988987E-2</v>
      </c>
      <c r="N35" s="21">
        <f t="shared" si="54"/>
        <v>0.40000000000001146</v>
      </c>
      <c r="O35" s="31">
        <f t="shared" si="54"/>
        <v>0.50000000000005596</v>
      </c>
      <c r="P35" s="31">
        <f t="shared" si="54"/>
        <v>0.40000000000017799</v>
      </c>
      <c r="Q35" s="31">
        <f t="shared" si="54"/>
        <v>0.89999999999995639</v>
      </c>
      <c r="R35" s="31">
        <f t="shared" si="54"/>
        <v>0.49999999999994493</v>
      </c>
      <c r="S35" s="21">
        <f t="shared" si="54"/>
        <v>0.29999999999996696</v>
      </c>
      <c r="T35" s="31">
        <f t="shared" si="54"/>
        <v>0.60000000000004494</v>
      </c>
      <c r="U35" s="21">
        <f t="shared" si="54"/>
        <v>0.70000000000014495</v>
      </c>
      <c r="V35" s="31">
        <f t="shared" si="54"/>
        <v>0.200000000000089</v>
      </c>
      <c r="W35"/>
      <c r="AR35"/>
      <c r="AS35"/>
      <c r="AT35"/>
      <c r="BA35"/>
      <c r="BB35"/>
      <c r="BC35"/>
    </row>
    <row r="36" spans="1:55">
      <c r="A36" s="21" t="s">
        <v>185</v>
      </c>
      <c r="B36" s="21">
        <f t="shared" ref="B36:L36" si="55">ABS(B33-B30)*1000</f>
        <v>9.9999999999988987E-2</v>
      </c>
      <c r="C36" s="31">
        <f t="shared" si="55"/>
        <v>0.999999999999994</v>
      </c>
      <c r="D36" s="31">
        <f t="shared" si="55"/>
        <v>0.19999999999997797</v>
      </c>
      <c r="E36" s="21">
        <f t="shared" si="55"/>
        <v>9.9999999999988987E-2</v>
      </c>
      <c r="F36" s="21">
        <f t="shared" si="55"/>
        <v>0.50000000000000044</v>
      </c>
      <c r="G36" s="31">
        <f t="shared" si="55"/>
        <v>0.70000000000003393</v>
      </c>
      <c r="H36" s="21">
        <f t="shared" si="55"/>
        <v>9.9999999999988987E-2</v>
      </c>
      <c r="I36" s="31">
        <f t="shared" si="55"/>
        <v>0.60000000000000331</v>
      </c>
      <c r="J36" s="31">
        <f t="shared" si="55"/>
        <v>0.50000000000000044</v>
      </c>
      <c r="K36" s="21">
        <f t="shared" si="55"/>
        <v>0.19999999999997797</v>
      </c>
      <c r="L36" s="21">
        <f t="shared" si="55"/>
        <v>0.29999999999996696</v>
      </c>
      <c r="M36" s="21">
        <f t="shared" ref="M36" si="56">ABS(M33-M30)*1000</f>
        <v>0.39999999999995595</v>
      </c>
      <c r="N36" s="21">
        <f t="shared" ref="N36:N37" si="57">ABS(N33-N30)*1000</f>
        <v>9.9999999999988987E-2</v>
      </c>
      <c r="O36" s="31">
        <f>ABS(O33-O30)*1000</f>
        <v>9.9999999999988987E-2</v>
      </c>
      <c r="P36" s="31">
        <f t="shared" ref="P36" si="58">ABS(P33-P30)*1000</f>
        <v>0.50000000000000044</v>
      </c>
      <c r="Q36" s="31">
        <f t="shared" ref="Q36" si="59">ABS(Q33-Q30)*1000</f>
        <v>0.60000000000004494</v>
      </c>
      <c r="R36" s="31">
        <f t="shared" ref="R36" si="60">ABS(R33-R30)*1000</f>
        <v>0.39999999999995595</v>
      </c>
      <c r="S36" s="21">
        <f t="shared" ref="S36" si="61">ABS(S33-S30)*1000</f>
        <v>0.59999999999999987</v>
      </c>
      <c r="T36" s="31">
        <f t="shared" ref="T36" si="62">ABS(T33-T30)*1000</f>
        <v>0.39999999999995595</v>
      </c>
      <c r="U36" s="21">
        <f t="shared" ref="U36:V37" si="63">ABS(U33-U30)*1000</f>
        <v>0.29999999999999472</v>
      </c>
      <c r="V36" s="31">
        <f t="shared" si="63"/>
        <v>9.9999999999988987E-2</v>
      </c>
      <c r="W36"/>
      <c r="AR36"/>
      <c r="AS36"/>
      <c r="AT36"/>
      <c r="BA36"/>
      <c r="BB36"/>
      <c r="BC36"/>
    </row>
    <row r="37" spans="1:55">
      <c r="A37" s="21" t="s">
        <v>186</v>
      </c>
      <c r="B37" s="21">
        <f t="shared" ref="B37:L37" si="64">ABS(B34-B31)*1000</f>
        <v>630.29999999999995</v>
      </c>
      <c r="C37" s="31">
        <f t="shared" si="64"/>
        <v>1.0000000000000009</v>
      </c>
      <c r="D37" s="31">
        <f t="shared" si="64"/>
        <v>0.70000000000000617</v>
      </c>
      <c r="E37" s="21">
        <f t="shared" si="64"/>
        <v>630.6</v>
      </c>
      <c r="F37" s="21">
        <f t="shared" si="64"/>
        <v>1.5000000000000013</v>
      </c>
      <c r="G37" s="31">
        <f t="shared" si="64"/>
        <v>0.89999999999998415</v>
      </c>
      <c r="H37" s="21">
        <f t="shared" si="64"/>
        <v>513.1</v>
      </c>
      <c r="I37" s="31">
        <f t="shared" si="64"/>
        <v>1.2999999999999992</v>
      </c>
      <c r="J37" s="31">
        <f t="shared" si="64"/>
        <v>0.39999999999999758</v>
      </c>
      <c r="K37" s="21">
        <f t="shared" si="64"/>
        <v>512.59999999999991</v>
      </c>
      <c r="L37" s="21">
        <f t="shared" si="64"/>
        <v>0.90000000000000147</v>
      </c>
      <c r="M37" s="21">
        <f t="shared" ref="M37" si="65">ABS(M34-M31)*1000</f>
        <v>0.69999999999999929</v>
      </c>
      <c r="N37" s="21">
        <f t="shared" si="57"/>
        <v>0.89999999999999802</v>
      </c>
      <c r="O37" s="31">
        <f>ABS(O34-O31)*1000</f>
        <v>4.0000000000005309E-2</v>
      </c>
      <c r="P37" s="31">
        <f t="shared" ref="P37" si="66">ABS(P34-P31)*1000</f>
        <v>0.29999999999999472</v>
      </c>
      <c r="Q37" s="31">
        <f t="shared" ref="Q37" si="67">ABS(Q34-Q31)*1000</f>
        <v>0.10000000000000286</v>
      </c>
      <c r="R37" s="31">
        <f t="shared" ref="R37" si="68">ABS(R34-R31)*1000</f>
        <v>0.10000000000000286</v>
      </c>
      <c r="S37" s="21">
        <f t="shared" ref="S37" si="69">ABS(S34-S31)*1000</f>
        <v>9.9999999999988987E-2</v>
      </c>
      <c r="T37" s="31">
        <f t="shared" ref="T37" si="70">ABS(T34-T31)*1000</f>
        <v>0.50000000000000044</v>
      </c>
      <c r="U37" s="21">
        <f t="shared" si="63"/>
        <v>0.10000000000001674</v>
      </c>
      <c r="V37" s="31">
        <f t="shared" si="63"/>
        <v>0.19999999999997797</v>
      </c>
      <c r="W37"/>
      <c r="AR37"/>
      <c r="AS37"/>
      <c r="AT37"/>
      <c r="BA37"/>
      <c r="BB37"/>
      <c r="BC37"/>
    </row>
    <row r="38" spans="1:55" s="15" customFormat="1">
      <c r="A38" s="21" t="s">
        <v>187</v>
      </c>
      <c r="B38" s="21">
        <f t="shared" ref="B38:V38" si="71">SQRT(SUMSQ(B35:B37))</f>
        <v>630.30001586546064</v>
      </c>
      <c r="C38" s="31">
        <f t="shared" si="71"/>
        <v>1.4456832294800854</v>
      </c>
      <c r="D38" s="31">
        <f t="shared" si="71"/>
        <v>1.0099504938362311</v>
      </c>
      <c r="E38" s="21">
        <f t="shared" si="71"/>
        <v>630.60114969765164</v>
      </c>
      <c r="F38" s="21">
        <f t="shared" si="71"/>
        <v>1.5842979517754867</v>
      </c>
      <c r="G38" s="21">
        <f t="shared" si="71"/>
        <v>1.144552314225967</v>
      </c>
      <c r="H38" s="21">
        <f t="shared" si="71"/>
        <v>513.10004872344348</v>
      </c>
      <c r="I38" s="31">
        <f t="shared" si="71"/>
        <v>1.4456832294800934</v>
      </c>
      <c r="J38" s="21">
        <f t="shared" si="71"/>
        <v>0.81240384046356118</v>
      </c>
      <c r="K38" s="21">
        <f t="shared" si="71"/>
        <v>512.60004877096912</v>
      </c>
      <c r="L38" s="21">
        <f t="shared" si="71"/>
        <v>1.0295630140987178</v>
      </c>
      <c r="M38" s="21">
        <f t="shared" si="71"/>
        <v>0.81240384046357239</v>
      </c>
      <c r="N38" s="21">
        <f t="shared" si="71"/>
        <v>0.98994949366116824</v>
      </c>
      <c r="O38" s="21">
        <f t="shared" si="71"/>
        <v>0.51146847410182983</v>
      </c>
      <c r="P38" s="31">
        <f t="shared" si="71"/>
        <v>0.70710678118664627</v>
      </c>
      <c r="Q38" s="31">
        <f t="shared" si="71"/>
        <v>1.0862780491200106</v>
      </c>
      <c r="R38" s="31">
        <f t="shared" si="71"/>
        <v>0.6480740698407168</v>
      </c>
      <c r="S38" s="21">
        <f t="shared" si="71"/>
        <v>0.67823299831251038</v>
      </c>
      <c r="T38" s="31">
        <f t="shared" si="71"/>
        <v>0.87749643873922312</v>
      </c>
      <c r="U38" s="21">
        <f t="shared" si="71"/>
        <v>0.76811457478699308</v>
      </c>
      <c r="V38" s="31">
        <f t="shared" si="71"/>
        <v>0.30000000000004096</v>
      </c>
    </row>
    <row r="39" spans="1:55">
      <c r="A39" s="139" t="s">
        <v>46</v>
      </c>
      <c r="B39" s="141" t="s">
        <v>192</v>
      </c>
      <c r="C39" s="141"/>
      <c r="D39" s="141"/>
      <c r="E39" s="141"/>
      <c r="F39" s="141"/>
      <c r="G39" s="141"/>
      <c r="H39" s="141"/>
      <c r="I39" s="141"/>
      <c r="J39" s="47"/>
      <c r="K39" s="46"/>
      <c r="L39" s="47"/>
      <c r="M39" s="47"/>
      <c r="N39" s="46"/>
      <c r="O39" s="47"/>
      <c r="P39" s="47"/>
      <c r="Q39" s="46"/>
      <c r="R39" s="47"/>
      <c r="S39" s="47"/>
      <c r="T39" s="46"/>
      <c r="U39" s="47"/>
      <c r="V39" s="47"/>
      <c r="W39" s="46"/>
    </row>
    <row r="40" spans="1:55">
      <c r="A40" s="140"/>
      <c r="B40" s="141" t="s">
        <v>195</v>
      </c>
      <c r="C40" s="141"/>
      <c r="D40" s="141"/>
      <c r="E40" s="141"/>
      <c r="F40" s="141"/>
      <c r="G40" s="141"/>
      <c r="H40" s="141"/>
      <c r="I40" s="141"/>
      <c r="J40" s="46"/>
      <c r="K40" s="46"/>
      <c r="L40" s="47"/>
      <c r="M40" s="47"/>
      <c r="N40" s="46"/>
      <c r="O40" s="47"/>
      <c r="P40" s="47"/>
      <c r="Q40" s="46"/>
      <c r="R40" s="47"/>
      <c r="S40" s="47"/>
      <c r="T40" s="46"/>
      <c r="U40" s="47"/>
      <c r="V40" s="47"/>
      <c r="W40" s="46"/>
    </row>
    <row r="41" spans="1:55">
      <c r="A41" s="47"/>
      <c r="B41" s="46"/>
      <c r="C41" s="46"/>
      <c r="D41" s="46"/>
      <c r="E41" s="46"/>
      <c r="F41" s="47"/>
      <c r="G41" s="47"/>
      <c r="H41" s="46"/>
      <c r="I41" s="47"/>
      <c r="J41" s="47"/>
      <c r="K41" s="46"/>
      <c r="L41" s="47"/>
      <c r="M41" s="47"/>
      <c r="N41" s="46"/>
      <c r="O41" s="47"/>
      <c r="P41" s="47"/>
      <c r="Q41" s="46"/>
      <c r="R41" s="47"/>
      <c r="S41" s="47"/>
      <c r="T41" s="46"/>
      <c r="U41" s="47"/>
      <c r="V41" s="47"/>
      <c r="W41" s="46"/>
    </row>
  </sheetData>
  <mergeCells count="52">
    <mergeCell ref="BA3:BC3"/>
    <mergeCell ref="AU2:BC2"/>
    <mergeCell ref="BD2:BF2"/>
    <mergeCell ref="AL3:AN3"/>
    <mergeCell ref="AO3:AQ3"/>
    <mergeCell ref="AU3:AW3"/>
    <mergeCell ref="AX3:AZ3"/>
    <mergeCell ref="BD3:BF3"/>
    <mergeCell ref="AL2:AT2"/>
    <mergeCell ref="AR3:AT3"/>
    <mergeCell ref="AC2:AE2"/>
    <mergeCell ref="AF2:AK2"/>
    <mergeCell ref="AC3:AE3"/>
    <mergeCell ref="AF3:AH3"/>
    <mergeCell ref="AI3:AK3"/>
    <mergeCell ref="W3:Y3"/>
    <mergeCell ref="Z3:AB3"/>
    <mergeCell ref="N2:S2"/>
    <mergeCell ref="N3:P3"/>
    <mergeCell ref="Q3:S3"/>
    <mergeCell ref="T2:V2"/>
    <mergeCell ref="T3:V3"/>
    <mergeCell ref="AC23:AE23"/>
    <mergeCell ref="AF23:AK23"/>
    <mergeCell ref="BG3:BI3"/>
    <mergeCell ref="BJ3:BL3"/>
    <mergeCell ref="A1:BL1"/>
    <mergeCell ref="BG2:BL2"/>
    <mergeCell ref="B19:I19"/>
    <mergeCell ref="B3:D3"/>
    <mergeCell ref="B2:D2"/>
    <mergeCell ref="A3:A4"/>
    <mergeCell ref="K2:M2"/>
    <mergeCell ref="K3:M3"/>
    <mergeCell ref="E2:J2"/>
    <mergeCell ref="E3:G3"/>
    <mergeCell ref="H3:J3"/>
    <mergeCell ref="W2:AB2"/>
    <mergeCell ref="A39:A40"/>
    <mergeCell ref="B39:I39"/>
    <mergeCell ref="B40:I40"/>
    <mergeCell ref="A24:A25"/>
    <mergeCell ref="B20:I20"/>
    <mergeCell ref="A19:A20"/>
    <mergeCell ref="L23:M23"/>
    <mergeCell ref="N23:P23"/>
    <mergeCell ref="Q23:S23"/>
    <mergeCell ref="U23:V23"/>
    <mergeCell ref="A22:V22"/>
    <mergeCell ref="C23:D23"/>
    <mergeCell ref="F23:G23"/>
    <mergeCell ref="I23:J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61"/>
  <sheetViews>
    <sheetView workbookViewId="0">
      <selection sqref="A1:H1"/>
    </sheetView>
  </sheetViews>
  <sheetFormatPr defaultRowHeight="13.8"/>
  <cols>
    <col min="1" max="1" width="6.69921875" customWidth="1"/>
    <col min="2" max="2" width="12.5" customWidth="1"/>
    <col min="3" max="3" width="14" customWidth="1"/>
    <col min="4" max="4" width="11.796875" customWidth="1"/>
    <col min="5" max="6" width="11.796875" style="15" customWidth="1"/>
    <col min="7" max="7" width="17.09765625" customWidth="1"/>
    <col min="8" max="8" width="15.19921875" customWidth="1"/>
    <col min="9" max="9" width="20.59765625" style="15" customWidth="1"/>
    <col min="10" max="10" width="15.19921875" style="15" customWidth="1"/>
    <col min="11" max="11" width="18.19921875" customWidth="1"/>
    <col min="12" max="12" width="14" customWidth="1"/>
    <col min="13" max="13" width="11.19921875" customWidth="1"/>
    <col min="14" max="14" width="7" style="15" customWidth="1"/>
    <col min="15" max="15" width="9.796875" style="15" customWidth="1"/>
    <col min="16" max="16" width="16.796875" style="15" customWidth="1"/>
    <col min="17" max="17" width="8.796875" style="15"/>
    <col min="19" max="19" width="11.3984375" customWidth="1"/>
    <col min="24" max="24" width="8.796875" style="15"/>
    <col min="26" max="26" width="40.09765625" customWidth="1"/>
    <col min="27" max="27" width="8.5" customWidth="1"/>
    <col min="28" max="28" width="11.3984375" style="15" customWidth="1"/>
    <col min="29" max="29" width="14" customWidth="1"/>
    <col min="30" max="30" width="11.19921875" customWidth="1"/>
    <col min="31" max="31" width="7" customWidth="1"/>
    <col min="32" max="32" width="9.296875" customWidth="1"/>
    <col min="33" max="33" width="17.3984375" customWidth="1"/>
  </cols>
  <sheetData>
    <row r="1" spans="1:26" s="15" customFormat="1">
      <c r="A1" s="149" t="s">
        <v>196</v>
      </c>
      <c r="B1" s="149"/>
      <c r="C1" s="149"/>
      <c r="D1" s="149"/>
      <c r="E1" s="149"/>
      <c r="F1" s="149"/>
      <c r="G1" s="149"/>
      <c r="H1" s="149"/>
      <c r="I1" s="59"/>
      <c r="J1" s="68"/>
      <c r="R1" s="151" t="s">
        <v>197</v>
      </c>
      <c r="S1" s="151"/>
      <c r="T1" s="151"/>
      <c r="U1" s="151"/>
      <c r="V1" s="151"/>
      <c r="W1" s="151"/>
      <c r="X1" s="151"/>
      <c r="Y1" s="151"/>
      <c r="Z1" s="151"/>
    </row>
    <row r="2" spans="1:26" ht="82.8">
      <c r="A2" s="23" t="s">
        <v>37</v>
      </c>
      <c r="B2" s="23" t="s">
        <v>198</v>
      </c>
      <c r="C2" s="23" t="s">
        <v>199</v>
      </c>
      <c r="D2" s="23" t="s">
        <v>200</v>
      </c>
      <c r="E2" s="23" t="s">
        <v>201</v>
      </c>
      <c r="F2" s="23" t="s">
        <v>202</v>
      </c>
      <c r="G2" s="23" t="s">
        <v>203</v>
      </c>
      <c r="H2" s="23" t="s">
        <v>204</v>
      </c>
      <c r="I2" s="23" t="s">
        <v>46</v>
      </c>
      <c r="J2" s="69"/>
      <c r="R2" s="23" t="s">
        <v>37</v>
      </c>
      <c r="S2" s="23" t="s">
        <v>198</v>
      </c>
      <c r="T2" s="23" t="s">
        <v>199</v>
      </c>
      <c r="U2" s="23" t="s">
        <v>200</v>
      </c>
      <c r="V2" s="23" t="s">
        <v>201</v>
      </c>
      <c r="W2" s="23" t="s">
        <v>202</v>
      </c>
      <c r="X2" s="23" t="s">
        <v>205</v>
      </c>
      <c r="Y2" s="23" t="s">
        <v>204</v>
      </c>
      <c r="Z2" s="23" t="s">
        <v>46</v>
      </c>
    </row>
    <row r="3" spans="1:26">
      <c r="A3" s="133" t="s">
        <v>206</v>
      </c>
      <c r="B3" s="19" t="s">
        <v>207</v>
      </c>
      <c r="C3" s="56">
        <v>0.11663999999999999</v>
      </c>
      <c r="D3" s="56">
        <v>4.4945139999999997</v>
      </c>
      <c r="E3" s="56">
        <f>D3+C3</f>
        <v>4.611154</v>
      </c>
      <c r="F3" s="56">
        <v>47</v>
      </c>
      <c r="G3" s="56">
        <v>2.831715</v>
      </c>
      <c r="H3" s="19" t="s">
        <v>208</v>
      </c>
      <c r="I3" s="19"/>
      <c r="K3" s="15"/>
      <c r="R3" s="146" t="s">
        <v>206</v>
      </c>
      <c r="S3" s="60" t="s">
        <v>207</v>
      </c>
      <c r="T3" s="63">
        <v>8.2686999999999997E-2</v>
      </c>
      <c r="U3" s="63">
        <v>3.7399170000000002</v>
      </c>
      <c r="V3" s="63">
        <f>U3+T3</f>
        <v>3.8226040000000001</v>
      </c>
      <c r="W3" s="56">
        <v>39</v>
      </c>
      <c r="X3" s="63">
        <v>2.25386</v>
      </c>
      <c r="Y3" s="60" t="s">
        <v>208</v>
      </c>
      <c r="Z3" s="60"/>
    </row>
    <row r="4" spans="1:26">
      <c r="A4" s="133"/>
      <c r="B4" s="19" t="s">
        <v>209</v>
      </c>
      <c r="C4" s="56">
        <v>9.3885999999999997E-2</v>
      </c>
      <c r="D4" s="56">
        <v>3.6859820000000001</v>
      </c>
      <c r="E4" s="56">
        <f>D4+C4</f>
        <v>3.779868</v>
      </c>
      <c r="F4" s="56">
        <v>39</v>
      </c>
      <c r="G4" s="56">
        <v>2.2553179999999999</v>
      </c>
      <c r="H4" s="19" t="s">
        <v>208</v>
      </c>
      <c r="I4" s="19"/>
      <c r="K4" s="15"/>
      <c r="R4" s="146"/>
      <c r="S4" s="60" t="s">
        <v>209</v>
      </c>
      <c r="T4" s="63">
        <v>8.838E-2</v>
      </c>
      <c r="U4" s="63">
        <v>3.6990859999999999</v>
      </c>
      <c r="V4" s="63">
        <f>U4+T4</f>
        <v>3.7874659999999998</v>
      </c>
      <c r="W4" s="56">
        <v>39</v>
      </c>
      <c r="X4" s="63">
        <v>2.254267</v>
      </c>
      <c r="Y4" s="60" t="s">
        <v>208</v>
      </c>
      <c r="Z4" s="60"/>
    </row>
    <row r="5" spans="1:26">
      <c r="A5" s="133"/>
      <c r="B5" s="19" t="s">
        <v>210</v>
      </c>
      <c r="C5" s="56">
        <v>7.4256000000000003E-2</v>
      </c>
      <c r="D5" s="56">
        <v>3.7385540000000002</v>
      </c>
      <c r="E5" s="56">
        <f t="shared" ref="E5:E6" si="0">D5+C5</f>
        <v>3.8128100000000003</v>
      </c>
      <c r="F5" s="56">
        <v>39</v>
      </c>
      <c r="G5" s="56">
        <v>2.2558180000000001</v>
      </c>
      <c r="H5" s="19" t="s">
        <v>208</v>
      </c>
      <c r="I5" s="19"/>
      <c r="K5" s="15"/>
      <c r="R5" s="146"/>
      <c r="S5" s="60" t="s">
        <v>210</v>
      </c>
      <c r="T5" s="63">
        <v>8.3432999999999993E-2</v>
      </c>
      <c r="U5" s="63">
        <v>3.747185</v>
      </c>
      <c r="V5" s="63">
        <f>U5+T5</f>
        <v>3.8306179999999999</v>
      </c>
      <c r="W5" s="56">
        <v>39</v>
      </c>
      <c r="X5" s="63">
        <v>2.2539310000000001</v>
      </c>
      <c r="Y5" s="60" t="s">
        <v>208</v>
      </c>
      <c r="Z5" s="60"/>
    </row>
    <row r="6" spans="1:26" s="15" customFormat="1">
      <c r="A6" s="133" t="s">
        <v>211</v>
      </c>
      <c r="B6" s="19" t="s">
        <v>207</v>
      </c>
      <c r="C6" s="56">
        <v>0.12300700000000001</v>
      </c>
      <c r="D6" s="56">
        <v>5.2937289999999999</v>
      </c>
      <c r="E6" s="56">
        <f t="shared" si="0"/>
        <v>5.4167360000000002</v>
      </c>
      <c r="F6" s="56">
        <v>55</v>
      </c>
      <c r="G6" s="56">
        <v>4.3049879999999998</v>
      </c>
      <c r="H6" s="19" t="s">
        <v>208</v>
      </c>
      <c r="I6" s="66" t="s">
        <v>212</v>
      </c>
      <c r="R6" s="146" t="s">
        <v>211</v>
      </c>
      <c r="S6" s="60" t="s">
        <v>207</v>
      </c>
      <c r="T6" s="63">
        <v>7.7683000000000002E-2</v>
      </c>
      <c r="U6" s="63">
        <v>3.4498549999999999</v>
      </c>
      <c r="V6" s="63">
        <f t="shared" ref="V6:V53" si="1">U6+T6</f>
        <v>3.5275379999999998</v>
      </c>
      <c r="W6" s="56">
        <v>36</v>
      </c>
      <c r="X6" s="63">
        <v>1.413859</v>
      </c>
      <c r="Y6" s="60" t="s">
        <v>208</v>
      </c>
      <c r="Z6" s="60"/>
    </row>
    <row r="7" spans="1:26" s="15" customFormat="1">
      <c r="A7" s="133"/>
      <c r="B7" s="19" t="s">
        <v>209</v>
      </c>
      <c r="C7" s="56">
        <v>0.10512000000000001</v>
      </c>
      <c r="D7" s="56">
        <v>3.4432860000000001</v>
      </c>
      <c r="E7" s="56">
        <f t="shared" ref="E7" si="2">D7+C7</f>
        <v>3.5484059999999999</v>
      </c>
      <c r="F7" s="56">
        <v>36</v>
      </c>
      <c r="G7" s="56">
        <v>1.41831</v>
      </c>
      <c r="H7" s="19" t="s">
        <v>208</v>
      </c>
      <c r="I7" s="19"/>
      <c r="K7" s="150" t="s">
        <v>213</v>
      </c>
      <c r="L7" s="150"/>
      <c r="M7" s="150"/>
      <c r="N7" s="58"/>
      <c r="O7" s="58"/>
      <c r="P7" s="58"/>
      <c r="Q7" s="67"/>
      <c r="R7" s="146"/>
      <c r="S7" s="60" t="s">
        <v>209</v>
      </c>
      <c r="T7" s="63">
        <v>0.106917</v>
      </c>
      <c r="U7" s="63">
        <v>3.4514870000000002</v>
      </c>
      <c r="V7" s="63">
        <f t="shared" si="1"/>
        <v>3.5584040000000003</v>
      </c>
      <c r="W7" s="56">
        <v>36</v>
      </c>
      <c r="X7" s="63">
        <v>1.414253</v>
      </c>
      <c r="Y7" s="60" t="s">
        <v>208</v>
      </c>
      <c r="Z7" s="60"/>
    </row>
    <row r="8" spans="1:26" s="15" customFormat="1">
      <c r="A8" s="133"/>
      <c r="B8" s="19" t="s">
        <v>210</v>
      </c>
      <c r="C8" s="56">
        <v>6.8455000000000002E-2</v>
      </c>
      <c r="D8" s="56">
        <v>3.4471289999999999</v>
      </c>
      <c r="E8" s="56">
        <f t="shared" ref="E8:E9" si="3">D8+C8</f>
        <v>3.515584</v>
      </c>
      <c r="F8" s="56">
        <v>36</v>
      </c>
      <c r="G8" s="56">
        <v>1.4174610000000001</v>
      </c>
      <c r="H8" s="19" t="s">
        <v>208</v>
      </c>
      <c r="I8" s="19"/>
      <c r="K8" s="150"/>
      <c r="L8" s="150"/>
      <c r="M8" s="150"/>
      <c r="N8" s="58"/>
      <c r="O8" s="58"/>
      <c r="P8" s="58"/>
      <c r="Q8" s="67"/>
      <c r="R8" s="146"/>
      <c r="S8" s="60" t="s">
        <v>210</v>
      </c>
      <c r="T8" s="63">
        <v>7.8603999999999993E-2</v>
      </c>
      <c r="U8" s="63">
        <v>3.4550930000000002</v>
      </c>
      <c r="V8" s="63">
        <f t="shared" si="1"/>
        <v>3.5336970000000001</v>
      </c>
      <c r="W8" s="56">
        <v>36</v>
      </c>
      <c r="X8" s="63">
        <v>1.418623</v>
      </c>
      <c r="Y8" s="60" t="s">
        <v>208</v>
      </c>
      <c r="Z8" s="60"/>
    </row>
    <row r="9" spans="1:26">
      <c r="A9" s="133" t="s">
        <v>214</v>
      </c>
      <c r="B9" s="19" t="s">
        <v>207</v>
      </c>
      <c r="C9" s="56">
        <v>0.10820100000000001</v>
      </c>
      <c r="D9" s="56">
        <v>4.4419110000000002</v>
      </c>
      <c r="E9" s="56">
        <f t="shared" si="3"/>
        <v>4.5501120000000004</v>
      </c>
      <c r="F9" s="56">
        <v>46</v>
      </c>
      <c r="G9" s="56">
        <v>3.6618219999999999</v>
      </c>
      <c r="H9" s="19" t="s">
        <v>208</v>
      </c>
      <c r="I9" s="19"/>
      <c r="K9" s="147" t="s">
        <v>215</v>
      </c>
      <c r="L9" s="147"/>
      <c r="M9" s="147"/>
      <c r="N9" s="57"/>
      <c r="O9" s="57"/>
      <c r="P9" s="57"/>
      <c r="Q9" s="46"/>
      <c r="R9" s="146" t="s">
        <v>214</v>
      </c>
      <c r="S9" s="60" t="s">
        <v>207</v>
      </c>
      <c r="T9" s="63">
        <v>0.18784699999999999</v>
      </c>
      <c r="U9" s="63">
        <v>6.8512110000000002</v>
      </c>
      <c r="V9" s="63">
        <f t="shared" si="1"/>
        <v>7.0390579999999998</v>
      </c>
      <c r="W9" s="56">
        <v>70</v>
      </c>
      <c r="X9" s="63">
        <v>2.4985040000000001</v>
      </c>
      <c r="Y9" s="60" t="s">
        <v>208</v>
      </c>
      <c r="Z9" s="60"/>
    </row>
    <row r="10" spans="1:26">
      <c r="A10" s="133"/>
      <c r="B10" s="19" t="s">
        <v>209</v>
      </c>
      <c r="C10" s="56">
        <v>8.6583999999999994E-2</v>
      </c>
      <c r="D10" s="56">
        <v>3.7294230000000002</v>
      </c>
      <c r="E10" s="56">
        <f t="shared" ref="E10" si="4">D10+C10</f>
        <v>3.8160069999999999</v>
      </c>
      <c r="F10" s="56">
        <v>39</v>
      </c>
      <c r="G10" s="56">
        <v>2.3762569999999998</v>
      </c>
      <c r="H10" s="19" t="s">
        <v>208</v>
      </c>
      <c r="I10" s="19"/>
      <c r="K10" s="147" t="s">
        <v>216</v>
      </c>
      <c r="L10" s="147"/>
      <c r="M10" s="147"/>
      <c r="N10" s="57"/>
      <c r="O10" s="57"/>
      <c r="P10" s="57"/>
      <c r="Q10" s="46"/>
      <c r="R10" s="146"/>
      <c r="S10" s="60" t="s">
        <v>209</v>
      </c>
      <c r="T10" s="63">
        <v>0.105006</v>
      </c>
      <c r="U10" s="63">
        <v>4.4252359999999999</v>
      </c>
      <c r="V10" s="63">
        <f t="shared" si="1"/>
        <v>4.5302420000000003</v>
      </c>
      <c r="W10" s="56">
        <v>46</v>
      </c>
      <c r="X10" s="63">
        <v>3.0315759999999998</v>
      </c>
      <c r="Y10" s="60" t="s">
        <v>208</v>
      </c>
      <c r="Z10" s="60"/>
    </row>
    <row r="11" spans="1:26">
      <c r="A11" s="133"/>
      <c r="B11" s="19" t="s">
        <v>210</v>
      </c>
      <c r="C11" s="56">
        <v>0.19061400000000001</v>
      </c>
      <c r="D11" s="56">
        <v>8.2473550000000007</v>
      </c>
      <c r="E11" s="56">
        <f t="shared" ref="E11:E12" si="5">D11+C11</f>
        <v>8.4379690000000007</v>
      </c>
      <c r="F11" s="56">
        <v>84</v>
      </c>
      <c r="G11" s="56">
        <v>4.4250949999999998</v>
      </c>
      <c r="H11" s="19" t="s">
        <v>208</v>
      </c>
      <c r="I11" s="66" t="s">
        <v>212</v>
      </c>
      <c r="K11" s="147" t="s">
        <v>217</v>
      </c>
      <c r="L11" s="147"/>
      <c r="M11" s="147"/>
      <c r="N11" s="57"/>
      <c r="O11" s="57"/>
      <c r="P11" s="57"/>
      <c r="Q11" s="46"/>
      <c r="R11" s="146"/>
      <c r="S11" s="60" t="s">
        <v>210</v>
      </c>
      <c r="T11" s="63">
        <v>8.5344000000000003E-2</v>
      </c>
      <c r="U11" s="63">
        <v>4.4432980000000004</v>
      </c>
      <c r="V11" s="63">
        <f t="shared" si="1"/>
        <v>4.5286420000000005</v>
      </c>
      <c r="W11" s="56">
        <v>46</v>
      </c>
      <c r="X11" s="63">
        <v>3.6531509999999998</v>
      </c>
      <c r="Y11" s="60" t="s">
        <v>208</v>
      </c>
      <c r="Z11" s="60"/>
    </row>
    <row r="12" spans="1:26" s="15" customFormat="1">
      <c r="A12" s="133" t="s">
        <v>218</v>
      </c>
      <c r="B12" s="19" t="s">
        <v>207</v>
      </c>
      <c r="C12" s="56">
        <v>7.2170999999999999E-2</v>
      </c>
      <c r="D12" s="56">
        <v>3.1115979999999999</v>
      </c>
      <c r="E12" s="56">
        <f t="shared" si="5"/>
        <v>3.1837689999999998</v>
      </c>
      <c r="F12" s="56">
        <v>32</v>
      </c>
      <c r="G12" s="56">
        <v>1.511817</v>
      </c>
      <c r="H12" s="19" t="s">
        <v>208</v>
      </c>
      <c r="I12" s="19"/>
      <c r="R12" s="146" t="s">
        <v>218</v>
      </c>
      <c r="S12" s="60" t="s">
        <v>207</v>
      </c>
      <c r="T12" s="63">
        <v>8.0012E-2</v>
      </c>
      <c r="U12" s="63">
        <v>3.1014379999999999</v>
      </c>
      <c r="V12" s="63">
        <f t="shared" si="1"/>
        <v>3.1814499999999999</v>
      </c>
      <c r="W12" s="56">
        <v>32</v>
      </c>
      <c r="X12" s="63">
        <v>1.5126409999999999</v>
      </c>
      <c r="Y12" s="60" t="s">
        <v>208</v>
      </c>
      <c r="Z12" s="60"/>
    </row>
    <row r="13" spans="1:26" s="15" customFormat="1">
      <c r="A13" s="133"/>
      <c r="B13" s="19" t="s">
        <v>209</v>
      </c>
      <c r="C13" s="56">
        <v>7.4055999999999997E-2</v>
      </c>
      <c r="D13" s="56">
        <v>3.044419</v>
      </c>
      <c r="E13" s="56">
        <f t="shared" ref="E13" si="6">D13+C13</f>
        <v>3.1184750000000001</v>
      </c>
      <c r="F13" s="56">
        <v>32</v>
      </c>
      <c r="G13" s="56">
        <v>1.511741</v>
      </c>
      <c r="H13" s="19" t="s">
        <v>208</v>
      </c>
      <c r="I13" s="19"/>
      <c r="R13" s="146"/>
      <c r="S13" s="60" t="s">
        <v>209</v>
      </c>
      <c r="T13" s="63">
        <v>9.2743999999999993E-2</v>
      </c>
      <c r="U13" s="63">
        <v>3.1543589999999999</v>
      </c>
      <c r="V13" s="63">
        <f t="shared" si="1"/>
        <v>3.2471030000000001</v>
      </c>
      <c r="W13" s="56">
        <v>33</v>
      </c>
      <c r="X13" s="63">
        <v>1.5165900000000001</v>
      </c>
      <c r="Y13" s="60" t="s">
        <v>208</v>
      </c>
      <c r="Z13" s="60"/>
    </row>
    <row r="14" spans="1:26" s="15" customFormat="1" ht="14.4">
      <c r="A14" s="133"/>
      <c r="B14" s="19" t="s">
        <v>210</v>
      </c>
      <c r="C14" s="19" t="s">
        <v>58</v>
      </c>
      <c r="D14" s="19" t="s">
        <v>58</v>
      </c>
      <c r="E14" s="19" t="s">
        <v>58</v>
      </c>
      <c r="F14" s="19" t="s">
        <v>58</v>
      </c>
      <c r="G14" s="19" t="s">
        <v>58</v>
      </c>
      <c r="H14" s="74" t="s">
        <v>219</v>
      </c>
      <c r="I14" s="75" t="s">
        <v>220</v>
      </c>
      <c r="R14" s="146"/>
      <c r="S14" s="60" t="s">
        <v>210</v>
      </c>
      <c r="T14" s="63">
        <v>7.0765999999999996E-2</v>
      </c>
      <c r="U14" s="63">
        <v>3.051946</v>
      </c>
      <c r="V14" s="63">
        <f t="shared" si="1"/>
        <v>3.1227119999999999</v>
      </c>
      <c r="W14" s="56">
        <v>32</v>
      </c>
      <c r="X14" s="63">
        <v>1.5129539999999999</v>
      </c>
      <c r="Y14" s="60" t="s">
        <v>208</v>
      </c>
      <c r="Z14" s="60"/>
    </row>
    <row r="15" spans="1:26">
      <c r="A15" s="133" t="s">
        <v>221</v>
      </c>
      <c r="B15" s="19" t="s">
        <v>207</v>
      </c>
      <c r="C15" s="56">
        <v>8.8376999999999997E-2</v>
      </c>
      <c r="D15" s="56">
        <v>3.6935850000000001</v>
      </c>
      <c r="E15" s="56">
        <f t="shared" ref="E15" si="7">D15+C15</f>
        <v>3.781962</v>
      </c>
      <c r="F15" s="56">
        <v>39</v>
      </c>
      <c r="G15" s="56">
        <v>2.2684000000000002</v>
      </c>
      <c r="H15" s="19" t="s">
        <v>208</v>
      </c>
      <c r="I15" s="19"/>
      <c r="K15" s="15"/>
      <c r="R15" s="146" t="s">
        <v>221</v>
      </c>
      <c r="S15" s="60" t="s">
        <v>207</v>
      </c>
      <c r="T15" s="63">
        <v>8.3686999999999998E-2</v>
      </c>
      <c r="U15" s="63">
        <v>4.588965</v>
      </c>
      <c r="V15" s="63">
        <f t="shared" si="1"/>
        <v>4.6726520000000002</v>
      </c>
      <c r="W15" s="56">
        <v>48</v>
      </c>
      <c r="X15" s="63">
        <v>2.9858910000000001</v>
      </c>
      <c r="Y15" s="60" t="s">
        <v>208</v>
      </c>
      <c r="Z15" s="60"/>
    </row>
    <row r="16" spans="1:26">
      <c r="A16" s="133"/>
      <c r="B16" s="19" t="s">
        <v>209</v>
      </c>
      <c r="C16" s="56">
        <v>7.3994000000000004E-2</v>
      </c>
      <c r="D16" s="56">
        <v>4.5858299999999996</v>
      </c>
      <c r="E16" s="56">
        <f t="shared" ref="E16" si="8">D16+C16</f>
        <v>4.6598239999999995</v>
      </c>
      <c r="F16" s="56">
        <v>48</v>
      </c>
      <c r="G16" s="56">
        <v>2.9843320000000002</v>
      </c>
      <c r="H16" s="19" t="s">
        <v>208</v>
      </c>
      <c r="I16" s="19"/>
      <c r="K16" s="15"/>
      <c r="R16" s="146"/>
      <c r="S16" s="60" t="s">
        <v>209</v>
      </c>
      <c r="T16" s="63">
        <v>8.9514999999999997E-2</v>
      </c>
      <c r="U16" s="63">
        <v>3.6843940000000002</v>
      </c>
      <c r="V16" s="63">
        <f t="shared" si="1"/>
        <v>3.7739090000000002</v>
      </c>
      <c r="W16" s="56">
        <v>39</v>
      </c>
      <c r="X16" s="63">
        <v>2.2695850000000002</v>
      </c>
      <c r="Y16" s="60" t="s">
        <v>208</v>
      </c>
      <c r="Z16" s="60"/>
    </row>
    <row r="17" spans="1:33">
      <c r="A17" s="133"/>
      <c r="B17" s="19" t="s">
        <v>210</v>
      </c>
      <c r="C17" s="56">
        <v>8.6699999999999999E-2</v>
      </c>
      <c r="D17" s="56">
        <v>4.5442729999999996</v>
      </c>
      <c r="E17" s="56">
        <f t="shared" ref="E17:E18" si="9">D17+C17</f>
        <v>4.6309729999999991</v>
      </c>
      <c r="F17" s="56">
        <v>47</v>
      </c>
      <c r="G17" s="56">
        <v>2.9840810000000002</v>
      </c>
      <c r="H17" s="19" t="s">
        <v>208</v>
      </c>
      <c r="I17" s="19"/>
      <c r="K17" s="15"/>
      <c r="R17" s="146"/>
      <c r="S17" s="60" t="s">
        <v>210</v>
      </c>
      <c r="T17" s="63">
        <v>8.6238999999999996E-2</v>
      </c>
      <c r="U17" s="63">
        <v>3.6912850000000001</v>
      </c>
      <c r="V17" s="63">
        <f t="shared" si="1"/>
        <v>3.7775240000000001</v>
      </c>
      <c r="W17" s="56">
        <v>39</v>
      </c>
      <c r="X17" s="63">
        <v>2.2685420000000001</v>
      </c>
      <c r="Y17" s="60" t="s">
        <v>208</v>
      </c>
      <c r="Z17" s="60"/>
    </row>
    <row r="18" spans="1:33" s="15" customFormat="1">
      <c r="A18" s="133" t="s">
        <v>222</v>
      </c>
      <c r="B18" s="19" t="s">
        <v>207</v>
      </c>
      <c r="C18" s="56">
        <v>8.7822999999999998E-2</v>
      </c>
      <c r="D18" s="56">
        <v>2.8874379999999999</v>
      </c>
      <c r="E18" s="56">
        <f t="shared" si="9"/>
        <v>2.9752610000000002</v>
      </c>
      <c r="F18" s="56">
        <v>30</v>
      </c>
      <c r="G18" s="56">
        <v>1.184259</v>
      </c>
      <c r="H18" s="19" t="s">
        <v>208</v>
      </c>
      <c r="I18" s="19"/>
      <c r="R18" s="146" t="s">
        <v>222</v>
      </c>
      <c r="S18" s="60" t="s">
        <v>207</v>
      </c>
      <c r="T18" s="63">
        <v>8.9548000000000003E-2</v>
      </c>
      <c r="U18" s="63">
        <v>3.1044999999999998</v>
      </c>
      <c r="V18" s="63">
        <f t="shared" si="1"/>
        <v>3.194048</v>
      </c>
      <c r="W18" s="56">
        <v>33</v>
      </c>
      <c r="X18" s="63">
        <v>1.6754</v>
      </c>
      <c r="Y18" s="60" t="s">
        <v>208</v>
      </c>
      <c r="Z18" s="60"/>
    </row>
    <row r="19" spans="1:33" s="15" customFormat="1">
      <c r="A19" s="133"/>
      <c r="B19" s="19" t="s">
        <v>209</v>
      </c>
      <c r="C19" s="56">
        <v>9.6216999999999997E-2</v>
      </c>
      <c r="D19" s="56">
        <v>4.4963730000000002</v>
      </c>
      <c r="E19" s="56">
        <f t="shared" ref="E19" si="10">D19+C19</f>
        <v>4.5925900000000004</v>
      </c>
      <c r="F19" s="56">
        <v>47</v>
      </c>
      <c r="G19" s="56">
        <v>3.9169420000000001</v>
      </c>
      <c r="H19" s="19" t="s">
        <v>208</v>
      </c>
      <c r="I19" s="19"/>
      <c r="R19" s="146"/>
      <c r="S19" s="60" t="s">
        <v>209</v>
      </c>
      <c r="T19" s="63">
        <v>8.4791000000000005E-2</v>
      </c>
      <c r="U19" s="63">
        <v>2.898822</v>
      </c>
      <c r="V19" s="63">
        <f t="shared" si="1"/>
        <v>2.9836130000000001</v>
      </c>
      <c r="W19" s="56">
        <v>30</v>
      </c>
      <c r="X19" s="63">
        <v>1.1831670000000001</v>
      </c>
      <c r="Y19" s="60" t="s">
        <v>208</v>
      </c>
      <c r="Z19" s="60"/>
    </row>
    <row r="20" spans="1:33" s="15" customFormat="1" ht="19.2" customHeight="1">
      <c r="A20" s="133"/>
      <c r="B20" s="19" t="s">
        <v>210</v>
      </c>
      <c r="C20" s="56">
        <v>0.105846</v>
      </c>
      <c r="D20" s="56">
        <v>4.5467469999999999</v>
      </c>
      <c r="E20" s="56">
        <f t="shared" ref="E20:E21" si="11">D20+C20</f>
        <v>4.6525929999999995</v>
      </c>
      <c r="F20" s="56">
        <v>47</v>
      </c>
      <c r="G20" s="56">
        <v>3.9133399999999998</v>
      </c>
      <c r="H20" s="19" t="s">
        <v>208</v>
      </c>
      <c r="I20" s="19"/>
      <c r="L20" s="3" t="s">
        <v>223</v>
      </c>
      <c r="M20" s="3" t="s">
        <v>224</v>
      </c>
      <c r="N20" s="3" t="s">
        <v>225</v>
      </c>
      <c r="O20" s="3" t="s">
        <v>226</v>
      </c>
      <c r="P20" s="3" t="s">
        <v>227</v>
      </c>
      <c r="R20" s="146"/>
      <c r="S20" s="60" t="s">
        <v>210</v>
      </c>
      <c r="T20" s="63">
        <v>7.6033000000000003E-2</v>
      </c>
      <c r="U20" s="63">
        <v>2.893637</v>
      </c>
      <c r="V20" s="63">
        <f t="shared" si="1"/>
        <v>2.9696699999999998</v>
      </c>
      <c r="W20" s="56">
        <v>30</v>
      </c>
      <c r="X20" s="63">
        <v>1.1842550000000001</v>
      </c>
      <c r="Y20" s="60" t="s">
        <v>208</v>
      </c>
      <c r="Z20" s="60"/>
      <c r="AB20" s="70"/>
      <c r="AC20" s="3" t="s">
        <v>223</v>
      </c>
      <c r="AD20" s="3" t="s">
        <v>224</v>
      </c>
      <c r="AE20" s="3" t="s">
        <v>225</v>
      </c>
      <c r="AF20" s="3" t="s">
        <v>228</v>
      </c>
      <c r="AG20" s="3" t="s">
        <v>229</v>
      </c>
    </row>
    <row r="21" spans="1:33" s="15" customFormat="1">
      <c r="A21" s="133" t="s">
        <v>230</v>
      </c>
      <c r="B21" s="19" t="s">
        <v>207</v>
      </c>
      <c r="C21" s="56">
        <v>0.10485899999999999</v>
      </c>
      <c r="D21" s="56">
        <v>4.2438079999999996</v>
      </c>
      <c r="E21" s="56">
        <f t="shared" si="11"/>
        <v>4.3486669999999998</v>
      </c>
      <c r="F21" s="56">
        <v>44</v>
      </c>
      <c r="G21" s="56">
        <v>3.3886310000000002</v>
      </c>
      <c r="H21" s="19" t="s">
        <v>208</v>
      </c>
      <c r="I21" s="19"/>
      <c r="K21" t="s">
        <v>207</v>
      </c>
      <c r="L21" s="78">
        <f>AVERAGEIF(B3:B53,"RRTConnect",C3:C53)</f>
        <v>0.10392817647058823</v>
      </c>
      <c r="M21" s="78">
        <f>AVERAGEIF(B3:B53,"RRTConnect",D3:D53)</f>
        <v>3.8426905294117648</v>
      </c>
      <c r="N21" s="78">
        <f>AVERAGEIF(B3:B53,"RRTConnect",E3:E53)</f>
        <v>3.946618705882353</v>
      </c>
      <c r="O21" s="78">
        <f>AVERAGEIF(B3:B53,"RRTConnect",F3:F53)</f>
        <v>40.058823529411768</v>
      </c>
      <c r="P21" s="78">
        <f>AVERAGEIF(B3:B53,"RRTConnect",G3:G53)</f>
        <v>2.5743560588235295</v>
      </c>
      <c r="R21" s="146" t="s">
        <v>230</v>
      </c>
      <c r="S21" s="60" t="s">
        <v>207</v>
      </c>
      <c r="T21" s="63">
        <v>0.10329199999999999</v>
      </c>
      <c r="U21" s="63">
        <v>4.2451470000000002</v>
      </c>
      <c r="V21" s="63">
        <f t="shared" si="1"/>
        <v>4.3484389999999999</v>
      </c>
      <c r="W21" s="56">
        <v>44</v>
      </c>
      <c r="X21" s="63">
        <v>3.3822800000000002</v>
      </c>
      <c r="Y21" s="60" t="s">
        <v>208</v>
      </c>
      <c r="Z21" s="60"/>
      <c r="AB21" s="73" t="s">
        <v>207</v>
      </c>
      <c r="AC21" s="31">
        <f>AVERAGEIF(S3:S53,"RRTConnect",T3:T53)</f>
        <v>9.0371647058823529E-2</v>
      </c>
      <c r="AD21" s="31">
        <f>AVERAGEIF(S3:S53,"RRTConnect",U3:U53)</f>
        <v>3.9676867647058818</v>
      </c>
      <c r="AE21" s="31">
        <f>AVERAGEIF(S3:S53,"RRTConnect",V3:V53)</f>
        <v>4.0580584117647067</v>
      </c>
      <c r="AF21" s="31">
        <f>AVERAGEIF(S3:S53,"RRTConnect",W3:W53)</f>
        <v>40.588235294117645</v>
      </c>
      <c r="AG21" s="31">
        <f>AVERAGEIF(S3:S53,"RRTConnect",X3:X53)</f>
        <v>2.0454482941176471</v>
      </c>
    </row>
    <row r="22" spans="1:33" s="15" customFormat="1">
      <c r="A22" s="133"/>
      <c r="B22" s="19" t="s">
        <v>209</v>
      </c>
      <c r="C22" s="56">
        <v>8.1577999999999998E-2</v>
      </c>
      <c r="D22" s="56">
        <v>4.2479889999999996</v>
      </c>
      <c r="E22" s="56">
        <f t="shared" ref="E22" si="12">D22+C22</f>
        <v>4.3295669999999999</v>
      </c>
      <c r="F22" s="56">
        <v>44</v>
      </c>
      <c r="G22" s="56">
        <v>3.3821569999999999</v>
      </c>
      <c r="H22" s="19" t="s">
        <v>208</v>
      </c>
      <c r="I22" s="19"/>
      <c r="K22" t="s">
        <v>209</v>
      </c>
      <c r="L22" s="79">
        <f>AVERAGEIF(B3:B53,"RRTstar",C3:C53)</f>
        <v>8.6073117647058842E-2</v>
      </c>
      <c r="M22" s="79">
        <f>AVERAGEIF(B3:B53,"RRTstar",D3:D53)</f>
        <v>3.6146478235294111</v>
      </c>
      <c r="N22" s="79">
        <f>AVERAGEIF(B3:B53,"RRTstar",E3:E53)</f>
        <v>3.700720941176471</v>
      </c>
      <c r="O22" s="79">
        <f>AVERAGEIF(B3:B53,"RRTstar",F3:F53)</f>
        <v>38</v>
      </c>
      <c r="P22" s="79">
        <f>AVERAGEIF(B3:B53,"RRTstar",G3:G53)</f>
        <v>2.141477882352941</v>
      </c>
      <c r="R22" s="146"/>
      <c r="S22" s="60" t="s">
        <v>209</v>
      </c>
      <c r="T22" s="63">
        <v>0.107875</v>
      </c>
      <c r="U22" s="63">
        <v>3.63856</v>
      </c>
      <c r="V22" s="63">
        <f t="shared" si="1"/>
        <v>3.746435</v>
      </c>
      <c r="W22" s="56">
        <v>38</v>
      </c>
      <c r="X22" s="63">
        <v>2.2759290000000001</v>
      </c>
      <c r="Y22" s="60" t="s">
        <v>208</v>
      </c>
      <c r="Z22" s="60"/>
      <c r="AB22" s="73" t="s">
        <v>209</v>
      </c>
      <c r="AC22" s="31">
        <f>AVERAGEIF(S3:S53,"RRTstar",T3:T53)</f>
        <v>8.4629235294117644E-2</v>
      </c>
      <c r="AD22" s="77">
        <f>AVERAGEIF(S3:S53,"RRTstar",U3:U53)</f>
        <v>3.5984899411764704</v>
      </c>
      <c r="AE22" s="77">
        <f>AVERAGEIF(S3:S53,"RRTstar",V3:V53)</f>
        <v>3.683119176470588</v>
      </c>
      <c r="AF22" s="77">
        <f>AVERAGEIF(S3:S53,"RRTstar",W3:W53)</f>
        <v>37.647058823529413</v>
      </c>
      <c r="AG22" s="77">
        <f>AVERAGEIF(S3:S53,"RRTstar",X3:X53)</f>
        <v>1.9166410588235294</v>
      </c>
    </row>
    <row r="23" spans="1:33" s="15" customFormat="1">
      <c r="A23" s="133"/>
      <c r="B23" s="19" t="s">
        <v>210</v>
      </c>
      <c r="C23" s="56">
        <v>0.166186</v>
      </c>
      <c r="D23" s="56">
        <v>8.1919609999999992</v>
      </c>
      <c r="E23" s="56">
        <f t="shared" ref="E23:E24" si="13">D23+C23</f>
        <v>8.3581469999999989</v>
      </c>
      <c r="F23" s="56">
        <v>83</v>
      </c>
      <c r="G23" s="56">
        <v>4.7955269999999999</v>
      </c>
      <c r="H23" s="19" t="s">
        <v>208</v>
      </c>
      <c r="I23" s="66" t="s">
        <v>212</v>
      </c>
      <c r="K23" t="s">
        <v>210</v>
      </c>
      <c r="L23" s="78">
        <f>AVERAGEIF(B3:B53,"PRMstar",C3:C53)</f>
        <v>9.7574187499999993E-2</v>
      </c>
      <c r="M23" s="78">
        <f>AVERAGEIF(B3:B53,"PRMstar",D3:D53)</f>
        <v>4.2471065000000001</v>
      </c>
      <c r="N23" s="78">
        <f>AVERAGEIF(B3:B53,"PRMstar",E3:E53)</f>
        <v>4.3446806875000004</v>
      </c>
      <c r="O23" s="78">
        <f>AVERAGEIF(B3:B53,"PRMstar",F3:F53)</f>
        <v>43.8125</v>
      </c>
      <c r="P23" s="78">
        <f>AVERAGEIF(B3:B53,"PRMstar",G3:G53)</f>
        <v>2.4810594374999999</v>
      </c>
      <c r="R23" s="146"/>
      <c r="S23" s="60" t="s">
        <v>210</v>
      </c>
      <c r="T23" s="63">
        <v>6.9603999999999999E-2</v>
      </c>
      <c r="U23" s="63">
        <v>3.6481789999999998</v>
      </c>
      <c r="V23" s="63">
        <f t="shared" si="1"/>
        <v>3.7177829999999998</v>
      </c>
      <c r="W23" s="56">
        <v>38</v>
      </c>
      <c r="X23" s="63">
        <v>2.4003700000000001</v>
      </c>
      <c r="Y23" s="60" t="s">
        <v>208</v>
      </c>
      <c r="Z23" s="60"/>
      <c r="AB23" s="73" t="s">
        <v>210</v>
      </c>
      <c r="AC23" s="77">
        <f>AVERAGEIF(S3:S53,"PRMstar",T3:T53)</f>
        <v>7.7802312499999998E-2</v>
      </c>
      <c r="AD23" s="31">
        <f>AVERAGEIF(S3:S53,"PRMstar",U3:U53)</f>
        <v>3.5955821874999998</v>
      </c>
      <c r="AE23" s="31">
        <f>AVERAGEIF(S3:S53,"PRMstar",V3:V53)</f>
        <v>3.6733845000000001</v>
      </c>
      <c r="AF23" s="31">
        <f>AVERAGEIF(S3:S53,"PRMstar",W3:W53)</f>
        <v>37.5</v>
      </c>
      <c r="AG23" s="31">
        <f>AVERAGEIF(S3:S53,"PRMstar",X3:X53)</f>
        <v>2.0486119999999999</v>
      </c>
    </row>
    <row r="24" spans="1:33">
      <c r="A24" s="133" t="s">
        <v>231</v>
      </c>
      <c r="B24" s="19" t="s">
        <v>207</v>
      </c>
      <c r="C24" s="56">
        <v>6.1878000000000002E-2</v>
      </c>
      <c r="D24" s="56">
        <v>2.956337</v>
      </c>
      <c r="E24" s="56">
        <f t="shared" si="13"/>
        <v>3.0182150000000001</v>
      </c>
      <c r="F24" s="56">
        <v>31</v>
      </c>
      <c r="G24" s="56">
        <v>1.2833220000000001</v>
      </c>
      <c r="H24" s="19" t="s">
        <v>208</v>
      </c>
      <c r="I24" s="19"/>
      <c r="K24" s="15"/>
      <c r="R24" s="146" t="s">
        <v>231</v>
      </c>
      <c r="S24" s="60" t="s">
        <v>207</v>
      </c>
      <c r="T24" s="63">
        <v>8.2258999999999999E-2</v>
      </c>
      <c r="U24" s="63">
        <v>2.9494500000000001</v>
      </c>
      <c r="V24" s="63">
        <f t="shared" si="1"/>
        <v>3.0317090000000002</v>
      </c>
      <c r="W24" s="56">
        <v>31</v>
      </c>
      <c r="X24" s="63">
        <v>1.281542</v>
      </c>
      <c r="Y24" s="60" t="s">
        <v>208</v>
      </c>
      <c r="Z24" s="60"/>
    </row>
    <row r="25" spans="1:33">
      <c r="A25" s="133"/>
      <c r="B25" s="19" t="s">
        <v>209</v>
      </c>
      <c r="C25" s="56">
        <v>7.6359999999999997E-2</v>
      </c>
      <c r="D25" s="56">
        <v>2.9510640000000001</v>
      </c>
      <c r="E25" s="56">
        <f t="shared" ref="E25" si="14">D25+C25</f>
        <v>3.0274240000000003</v>
      </c>
      <c r="F25" s="56">
        <v>31</v>
      </c>
      <c r="G25" s="56">
        <v>1.2825660000000001</v>
      </c>
      <c r="H25" s="19" t="s">
        <v>208</v>
      </c>
      <c r="I25" s="19"/>
      <c r="K25" s="15"/>
      <c r="R25" s="146"/>
      <c r="S25" s="60" t="s">
        <v>209</v>
      </c>
      <c r="T25" s="63">
        <v>6.2057000000000001E-2</v>
      </c>
      <c r="U25" s="63">
        <v>4.8944549999999998</v>
      </c>
      <c r="V25" s="63">
        <f t="shared" si="1"/>
        <v>4.956512</v>
      </c>
      <c r="W25" s="56">
        <v>50</v>
      </c>
      <c r="X25" s="63">
        <v>2.2682769999999999</v>
      </c>
      <c r="Y25" s="60" t="s">
        <v>208</v>
      </c>
      <c r="Z25" s="60"/>
    </row>
    <row r="26" spans="1:33" ht="14.4">
      <c r="A26" s="133"/>
      <c r="B26" s="19" t="s">
        <v>210</v>
      </c>
      <c r="C26" s="56">
        <v>8.4392999999999996E-2</v>
      </c>
      <c r="D26" s="56">
        <v>2.8923930000000002</v>
      </c>
      <c r="E26" s="56">
        <f t="shared" ref="E26:E27" si="15">D26+C26</f>
        <v>2.9767860000000002</v>
      </c>
      <c r="F26" s="56">
        <v>30</v>
      </c>
      <c r="G26" s="56">
        <v>1.282419</v>
      </c>
      <c r="H26" s="19" t="s">
        <v>208</v>
      </c>
      <c r="I26" s="19"/>
      <c r="K26" s="15"/>
      <c r="R26" s="146"/>
      <c r="S26" s="60" t="s">
        <v>210</v>
      </c>
      <c r="T26" s="19" t="s">
        <v>58</v>
      </c>
      <c r="U26" s="19" t="s">
        <v>58</v>
      </c>
      <c r="V26" s="19" t="s">
        <v>58</v>
      </c>
      <c r="W26" s="19" t="s">
        <v>58</v>
      </c>
      <c r="X26" s="19" t="s">
        <v>58</v>
      </c>
      <c r="Y26" s="74" t="s">
        <v>219</v>
      </c>
      <c r="Z26" s="75" t="s">
        <v>220</v>
      </c>
    </row>
    <row r="27" spans="1:33">
      <c r="A27" s="133" t="s">
        <v>232</v>
      </c>
      <c r="B27" s="19" t="s">
        <v>207</v>
      </c>
      <c r="C27" s="56">
        <v>0.113818</v>
      </c>
      <c r="D27" s="56">
        <v>4.1506990000000004</v>
      </c>
      <c r="E27" s="56">
        <f t="shared" si="15"/>
        <v>4.2645170000000006</v>
      </c>
      <c r="F27" s="56">
        <v>43</v>
      </c>
      <c r="G27" s="56">
        <v>3.2021099999999998</v>
      </c>
      <c r="H27" s="19" t="s">
        <v>208</v>
      </c>
      <c r="I27" s="19"/>
      <c r="K27" s="15"/>
      <c r="R27" s="146" t="s">
        <v>232</v>
      </c>
      <c r="S27" s="60" t="s">
        <v>207</v>
      </c>
      <c r="T27" s="63">
        <v>0.111239</v>
      </c>
      <c r="U27" s="63">
        <v>4.1318400000000004</v>
      </c>
      <c r="V27" s="63">
        <f t="shared" si="1"/>
        <v>4.2430790000000007</v>
      </c>
      <c r="W27" s="56">
        <v>43</v>
      </c>
      <c r="X27" s="63">
        <v>3.208593</v>
      </c>
      <c r="Y27" s="60" t="s">
        <v>208</v>
      </c>
      <c r="Z27" s="60"/>
    </row>
    <row r="28" spans="1:33">
      <c r="A28" s="133"/>
      <c r="B28" s="19" t="s">
        <v>209</v>
      </c>
      <c r="C28" s="56">
        <v>9.9737999999999993E-2</v>
      </c>
      <c r="D28" s="56">
        <v>3.49491</v>
      </c>
      <c r="E28" s="56">
        <f t="shared" ref="E28" si="16">D28+C28</f>
        <v>3.5946479999999998</v>
      </c>
      <c r="F28" s="56">
        <v>36</v>
      </c>
      <c r="G28" s="56">
        <v>2.8432930000000001</v>
      </c>
      <c r="H28" s="19" t="s">
        <v>208</v>
      </c>
      <c r="I28" s="19"/>
      <c r="K28" s="15"/>
      <c r="R28" s="146"/>
      <c r="S28" s="60" t="s">
        <v>209</v>
      </c>
      <c r="T28" s="63">
        <v>8.1919000000000006E-2</v>
      </c>
      <c r="U28" s="63">
        <v>3.6468099999999999</v>
      </c>
      <c r="V28" s="63">
        <f t="shared" si="1"/>
        <v>3.728729</v>
      </c>
      <c r="W28" s="56">
        <v>38</v>
      </c>
      <c r="X28" s="63">
        <v>2.2875489999999998</v>
      </c>
      <c r="Y28" s="60" t="s">
        <v>208</v>
      </c>
      <c r="Z28" s="60"/>
    </row>
    <row r="29" spans="1:33">
      <c r="A29" s="133"/>
      <c r="B29" s="19" t="s">
        <v>210</v>
      </c>
      <c r="C29" s="56">
        <v>9.3214000000000005E-2</v>
      </c>
      <c r="D29" s="56">
        <v>3.5490210000000002</v>
      </c>
      <c r="E29" s="56">
        <f t="shared" ref="E29:E30" si="17">D29+C29</f>
        <v>3.6422350000000003</v>
      </c>
      <c r="F29" s="56">
        <v>37</v>
      </c>
      <c r="G29" s="56">
        <v>2.8429540000000002</v>
      </c>
      <c r="H29" s="19" t="s">
        <v>208</v>
      </c>
      <c r="I29" s="19"/>
      <c r="K29" s="15"/>
      <c r="R29" s="146"/>
      <c r="S29" s="60" t="s">
        <v>210</v>
      </c>
      <c r="T29" s="63">
        <v>7.5128E-2</v>
      </c>
      <c r="U29" s="63">
        <v>3.3451590000000002</v>
      </c>
      <c r="V29" s="63">
        <f t="shared" si="1"/>
        <v>3.4202870000000001</v>
      </c>
      <c r="W29" s="56">
        <v>35</v>
      </c>
      <c r="X29" s="63">
        <v>2.8413979999999999</v>
      </c>
      <c r="Y29" s="60" t="s">
        <v>208</v>
      </c>
      <c r="Z29" s="60"/>
    </row>
    <row r="30" spans="1:33">
      <c r="A30" s="133" t="s">
        <v>233</v>
      </c>
      <c r="B30" s="19" t="s">
        <v>207</v>
      </c>
      <c r="C30" s="56">
        <v>0.139846</v>
      </c>
      <c r="D30" s="56">
        <v>5.0091469999999996</v>
      </c>
      <c r="E30" s="56">
        <f t="shared" si="17"/>
        <v>5.1489929999999999</v>
      </c>
      <c r="F30" s="56">
        <v>52</v>
      </c>
      <c r="G30" s="56">
        <v>3.038456</v>
      </c>
      <c r="H30" s="19" t="s">
        <v>208</v>
      </c>
      <c r="I30" s="19"/>
      <c r="K30" s="15"/>
      <c r="R30" s="146" t="s">
        <v>233</v>
      </c>
      <c r="S30" s="60" t="s">
        <v>207</v>
      </c>
      <c r="T30" s="63">
        <v>8.4166000000000005E-2</v>
      </c>
      <c r="U30" s="63">
        <v>5.1457699999999997</v>
      </c>
      <c r="V30" s="63">
        <f t="shared" si="1"/>
        <v>5.2299359999999995</v>
      </c>
      <c r="W30" s="56">
        <v>53</v>
      </c>
      <c r="X30" s="63">
        <v>1.736696</v>
      </c>
      <c r="Y30" s="60" t="s">
        <v>208</v>
      </c>
      <c r="Z30" s="60"/>
    </row>
    <row r="31" spans="1:33">
      <c r="A31" s="133"/>
      <c r="B31" s="19" t="s">
        <v>209</v>
      </c>
      <c r="C31" s="56">
        <v>6.3220999999999999E-2</v>
      </c>
      <c r="D31" s="56">
        <v>3.4389889999999999</v>
      </c>
      <c r="E31" s="56">
        <f t="shared" ref="E31" si="18">D31+C31</f>
        <v>3.5022099999999998</v>
      </c>
      <c r="F31" s="56">
        <v>36</v>
      </c>
      <c r="G31" s="56">
        <v>1.3874740000000001</v>
      </c>
      <c r="H31" s="19" t="s">
        <v>208</v>
      </c>
      <c r="I31" s="19"/>
      <c r="K31" s="15"/>
      <c r="R31" s="146"/>
      <c r="S31" s="60" t="s">
        <v>209</v>
      </c>
      <c r="T31" s="63">
        <v>7.9677999999999999E-2</v>
      </c>
      <c r="U31" s="63">
        <v>3.448502</v>
      </c>
      <c r="V31" s="63">
        <f t="shared" si="1"/>
        <v>3.5281799999999999</v>
      </c>
      <c r="W31" s="56">
        <v>36</v>
      </c>
      <c r="X31" s="63">
        <v>1.387032</v>
      </c>
      <c r="Y31" s="60" t="s">
        <v>208</v>
      </c>
      <c r="Z31" s="60"/>
    </row>
    <row r="32" spans="1:33">
      <c r="A32" s="133"/>
      <c r="B32" s="19" t="s">
        <v>210</v>
      </c>
      <c r="C32" s="56">
        <v>0.11085</v>
      </c>
      <c r="D32" s="56">
        <v>3.4898859999999998</v>
      </c>
      <c r="E32" s="56">
        <f t="shared" ref="E32:E33" si="19">D32+C32</f>
        <v>3.6007359999999999</v>
      </c>
      <c r="F32" s="56">
        <v>37</v>
      </c>
      <c r="G32" s="56">
        <v>1.3878410000000001</v>
      </c>
      <c r="H32" s="19" t="s">
        <v>208</v>
      </c>
      <c r="I32" s="19"/>
      <c r="K32" s="15"/>
      <c r="R32" s="146"/>
      <c r="S32" s="60" t="s">
        <v>210</v>
      </c>
      <c r="T32" s="63">
        <v>8.3302000000000001E-2</v>
      </c>
      <c r="U32" s="63">
        <v>3.4964170000000001</v>
      </c>
      <c r="V32" s="63">
        <f t="shared" si="1"/>
        <v>3.5797190000000003</v>
      </c>
      <c r="W32" s="56">
        <v>36</v>
      </c>
      <c r="X32" s="63">
        <v>1.3859429999999999</v>
      </c>
      <c r="Y32" s="60" t="s">
        <v>208</v>
      </c>
      <c r="Z32" s="60"/>
    </row>
    <row r="33" spans="1:26">
      <c r="A33" s="133" t="s">
        <v>234</v>
      </c>
      <c r="B33" s="19" t="s">
        <v>207</v>
      </c>
      <c r="C33" s="56">
        <v>0.16047600000000001</v>
      </c>
      <c r="D33" s="56">
        <v>4.6971040000000004</v>
      </c>
      <c r="E33" s="56">
        <f t="shared" si="19"/>
        <v>4.8575800000000005</v>
      </c>
      <c r="F33" s="56">
        <v>49</v>
      </c>
      <c r="G33" s="56">
        <v>5.2704599999999999</v>
      </c>
      <c r="H33" s="19" t="s">
        <v>208</v>
      </c>
      <c r="I33" s="19"/>
      <c r="K33" s="15"/>
      <c r="R33" s="146" t="s">
        <v>234</v>
      </c>
      <c r="S33" s="60" t="s">
        <v>207</v>
      </c>
      <c r="T33" s="63">
        <v>0.100665</v>
      </c>
      <c r="U33" s="63">
        <v>5.4592830000000001</v>
      </c>
      <c r="V33" s="63">
        <f t="shared" si="1"/>
        <v>5.5599480000000003</v>
      </c>
      <c r="W33" s="56">
        <v>50</v>
      </c>
      <c r="X33" s="63">
        <v>1.7896000000000001</v>
      </c>
      <c r="Y33" s="60" t="s">
        <v>208</v>
      </c>
      <c r="Z33" s="21"/>
    </row>
    <row r="34" spans="1:26">
      <c r="A34" s="133"/>
      <c r="B34" s="19" t="s">
        <v>209</v>
      </c>
      <c r="C34" s="56">
        <v>7.4505000000000002E-2</v>
      </c>
      <c r="D34" s="56">
        <v>3.7498339999999999</v>
      </c>
      <c r="E34" s="56">
        <f t="shared" ref="E34" si="20">D34+C34</f>
        <v>3.8243389999999997</v>
      </c>
      <c r="F34" s="56">
        <v>39</v>
      </c>
      <c r="G34" s="56">
        <v>1.290953</v>
      </c>
      <c r="H34" s="19" t="s">
        <v>208</v>
      </c>
      <c r="I34" s="19"/>
      <c r="K34" s="15"/>
      <c r="R34" s="146"/>
      <c r="S34" s="60" t="s">
        <v>209</v>
      </c>
      <c r="T34" s="63">
        <v>8.9813000000000004E-2</v>
      </c>
      <c r="U34" s="63">
        <v>4.1414090000000003</v>
      </c>
      <c r="V34" s="63">
        <f t="shared" si="1"/>
        <v>4.2312220000000007</v>
      </c>
      <c r="W34" s="56">
        <v>43</v>
      </c>
      <c r="X34" s="63">
        <v>1.3827860000000001</v>
      </c>
      <c r="Y34" s="60" t="s">
        <v>208</v>
      </c>
      <c r="Z34" s="60"/>
    </row>
    <row r="35" spans="1:26">
      <c r="A35" s="133"/>
      <c r="B35" s="19" t="s">
        <v>210</v>
      </c>
      <c r="C35" s="56">
        <v>8.4739999999999996E-2</v>
      </c>
      <c r="D35" s="56">
        <v>4.0518229999999997</v>
      </c>
      <c r="E35" s="56">
        <f t="shared" ref="E35:E36" si="21">D35+C35</f>
        <v>4.1365629999999998</v>
      </c>
      <c r="F35" s="56">
        <v>42</v>
      </c>
      <c r="G35" s="56">
        <v>1.385651</v>
      </c>
      <c r="H35" s="19" t="s">
        <v>208</v>
      </c>
      <c r="I35" s="19"/>
      <c r="K35" s="15"/>
      <c r="R35" s="146"/>
      <c r="S35" s="60" t="s">
        <v>210</v>
      </c>
      <c r="T35" s="63">
        <v>7.8810000000000005E-2</v>
      </c>
      <c r="U35" s="63">
        <v>5.3048739999999999</v>
      </c>
      <c r="V35" s="63">
        <f t="shared" si="1"/>
        <v>5.3836839999999997</v>
      </c>
      <c r="W35" s="56">
        <v>55</v>
      </c>
      <c r="X35" s="63">
        <v>2.1455160000000002</v>
      </c>
      <c r="Y35" s="60" t="s">
        <v>208</v>
      </c>
      <c r="Z35" s="60"/>
    </row>
    <row r="36" spans="1:26">
      <c r="A36" s="133" t="s">
        <v>235</v>
      </c>
      <c r="B36" s="19" t="s">
        <v>207</v>
      </c>
      <c r="C36" s="56">
        <v>9.3743000000000007E-2</v>
      </c>
      <c r="D36" s="56">
        <v>3.6670509999999998</v>
      </c>
      <c r="E36" s="56">
        <f t="shared" si="21"/>
        <v>3.7607939999999997</v>
      </c>
      <c r="F36" s="56">
        <v>38</v>
      </c>
      <c r="G36" s="56">
        <v>2.7290939999999999</v>
      </c>
      <c r="H36" s="19" t="s">
        <v>208</v>
      </c>
      <c r="I36" s="19"/>
      <c r="K36" s="15"/>
      <c r="R36" s="146" t="s">
        <v>235</v>
      </c>
      <c r="S36" s="60" t="s">
        <v>207</v>
      </c>
      <c r="T36" s="63">
        <v>7.9824999999999993E-2</v>
      </c>
      <c r="U36" s="63">
        <v>3.6514950000000002</v>
      </c>
      <c r="V36" s="63">
        <f t="shared" si="1"/>
        <v>3.7313200000000002</v>
      </c>
      <c r="W36" s="56">
        <v>38</v>
      </c>
      <c r="X36" s="63">
        <v>2.7294870000000002</v>
      </c>
      <c r="Y36" s="60" t="s">
        <v>208</v>
      </c>
      <c r="Z36" s="60"/>
    </row>
    <row r="37" spans="1:26">
      <c r="A37" s="133"/>
      <c r="B37" s="19" t="s">
        <v>209</v>
      </c>
      <c r="C37" s="56">
        <v>0.102947</v>
      </c>
      <c r="D37" s="56">
        <v>3.6505749999999999</v>
      </c>
      <c r="E37" s="56">
        <f t="shared" ref="E37" si="22">D37+C37</f>
        <v>3.7535219999999998</v>
      </c>
      <c r="F37" s="56">
        <v>38</v>
      </c>
      <c r="G37" s="56">
        <v>2.7271200000000002</v>
      </c>
      <c r="H37" s="19" t="s">
        <v>208</v>
      </c>
      <c r="I37" s="19"/>
      <c r="K37" s="15"/>
      <c r="R37" s="146"/>
      <c r="S37" s="60" t="s">
        <v>209</v>
      </c>
      <c r="T37" s="63">
        <v>8.0619999999999997E-2</v>
      </c>
      <c r="U37" s="63">
        <v>3.64263</v>
      </c>
      <c r="V37" s="63">
        <f t="shared" si="1"/>
        <v>3.7232500000000002</v>
      </c>
      <c r="W37" s="56">
        <v>38</v>
      </c>
      <c r="X37" s="63">
        <v>2.7267540000000001</v>
      </c>
      <c r="Y37" s="60" t="s">
        <v>208</v>
      </c>
      <c r="Z37" s="60"/>
    </row>
    <row r="38" spans="1:26">
      <c r="A38" s="133"/>
      <c r="B38" s="19" t="s">
        <v>210</v>
      </c>
      <c r="C38" s="56">
        <v>8.4037000000000001E-2</v>
      </c>
      <c r="D38" s="56">
        <v>3.6461730000000001</v>
      </c>
      <c r="E38" s="56">
        <f t="shared" ref="E38:E39" si="23">D38+C38</f>
        <v>3.73021</v>
      </c>
      <c r="F38" s="56">
        <v>38</v>
      </c>
      <c r="G38" s="56">
        <v>2.7284130000000002</v>
      </c>
      <c r="H38" s="19" t="s">
        <v>208</v>
      </c>
      <c r="I38" s="19"/>
      <c r="K38" s="15"/>
      <c r="R38" s="146"/>
      <c r="S38" s="60" t="s">
        <v>210</v>
      </c>
      <c r="T38" s="63">
        <v>8.3501000000000006E-2</v>
      </c>
      <c r="U38" s="63">
        <v>3.6136249999999999</v>
      </c>
      <c r="V38" s="63">
        <f t="shared" si="1"/>
        <v>3.6971259999999999</v>
      </c>
      <c r="W38" s="56">
        <v>37</v>
      </c>
      <c r="X38" s="63">
        <v>2.7287940000000002</v>
      </c>
      <c r="Y38" s="60" t="s">
        <v>208</v>
      </c>
      <c r="Z38" s="60"/>
    </row>
    <row r="39" spans="1:26">
      <c r="A39" s="133" t="s">
        <v>236</v>
      </c>
      <c r="B39" s="19" t="s">
        <v>207</v>
      </c>
      <c r="C39" s="56">
        <v>7.8313999999999995E-2</v>
      </c>
      <c r="D39" s="56">
        <v>2.8977949999999999</v>
      </c>
      <c r="E39" s="56">
        <f t="shared" si="23"/>
        <v>2.9761090000000001</v>
      </c>
      <c r="F39" s="56">
        <v>30</v>
      </c>
      <c r="G39" s="56">
        <v>1.3266210000000001</v>
      </c>
      <c r="H39" s="19" t="s">
        <v>208</v>
      </c>
      <c r="I39" s="19"/>
      <c r="K39" s="15"/>
      <c r="R39" s="146" t="s">
        <v>236</v>
      </c>
      <c r="S39" s="60" t="s">
        <v>207</v>
      </c>
      <c r="T39" s="63">
        <v>5.6326000000000001E-2</v>
      </c>
      <c r="U39" s="63">
        <v>2.9095680000000002</v>
      </c>
      <c r="V39" s="63">
        <f t="shared" si="1"/>
        <v>2.965894</v>
      </c>
      <c r="W39" s="56">
        <v>30</v>
      </c>
      <c r="X39" s="63">
        <v>1.329051</v>
      </c>
      <c r="Y39" s="60" t="s">
        <v>208</v>
      </c>
      <c r="Z39" s="60"/>
    </row>
    <row r="40" spans="1:26">
      <c r="A40" s="133"/>
      <c r="B40" s="19" t="s">
        <v>209</v>
      </c>
      <c r="C40" s="56">
        <v>8.3117999999999997E-2</v>
      </c>
      <c r="D40" s="56">
        <v>2.8854760000000002</v>
      </c>
      <c r="E40" s="56">
        <f t="shared" ref="E40" si="24">D40+C40</f>
        <v>2.968594</v>
      </c>
      <c r="F40" s="56">
        <v>30</v>
      </c>
      <c r="G40" s="56">
        <v>1.3285769999999999</v>
      </c>
      <c r="H40" s="19" t="s">
        <v>208</v>
      </c>
      <c r="I40" s="19"/>
      <c r="K40" s="15"/>
      <c r="R40" s="146"/>
      <c r="S40" s="60" t="s">
        <v>209</v>
      </c>
      <c r="T40" s="63">
        <v>8.4459999999999993E-2</v>
      </c>
      <c r="U40" s="63">
        <v>2.906466</v>
      </c>
      <c r="V40" s="63">
        <f t="shared" ref="V40:V41" si="25">U40+T40</f>
        <v>2.990926</v>
      </c>
      <c r="W40" s="56">
        <v>30</v>
      </c>
      <c r="X40" s="63">
        <v>1.3306439999999999</v>
      </c>
      <c r="Y40" s="60" t="s">
        <v>208</v>
      </c>
      <c r="Z40" s="60"/>
    </row>
    <row r="41" spans="1:26">
      <c r="A41" s="133"/>
      <c r="B41" s="19" t="s">
        <v>210</v>
      </c>
      <c r="C41" s="56">
        <v>8.3984000000000003E-2</v>
      </c>
      <c r="D41" s="56">
        <v>2.8982160000000001</v>
      </c>
      <c r="E41" s="56">
        <f t="shared" ref="E41:E42" si="26">D41+C41</f>
        <v>2.9822000000000002</v>
      </c>
      <c r="F41" s="56">
        <v>30</v>
      </c>
      <c r="G41" s="56">
        <v>1.3295509999999999</v>
      </c>
      <c r="H41" s="19" t="s">
        <v>208</v>
      </c>
      <c r="I41" s="19"/>
      <c r="K41" s="15"/>
      <c r="R41" s="146"/>
      <c r="S41" s="60" t="s">
        <v>210</v>
      </c>
      <c r="T41" s="63">
        <v>7.3629E-2</v>
      </c>
      <c r="U41" s="63">
        <v>2.996286</v>
      </c>
      <c r="V41" s="63">
        <f t="shared" si="25"/>
        <v>3.0699149999999999</v>
      </c>
      <c r="W41" s="56">
        <v>32</v>
      </c>
      <c r="X41" s="63">
        <v>1.3258049999999999</v>
      </c>
      <c r="Y41" s="60" t="s">
        <v>208</v>
      </c>
      <c r="Z41" s="60"/>
    </row>
    <row r="42" spans="1:26">
      <c r="A42" s="133" t="s">
        <v>237</v>
      </c>
      <c r="B42" s="19" t="s">
        <v>207</v>
      </c>
      <c r="C42" s="56">
        <v>8.3858000000000002E-2</v>
      </c>
      <c r="D42" s="56">
        <v>3.1983709999999999</v>
      </c>
      <c r="E42" s="56">
        <f t="shared" si="26"/>
        <v>3.2822290000000001</v>
      </c>
      <c r="F42" s="56">
        <v>34</v>
      </c>
      <c r="G42" s="56">
        <v>1.4893559999999999</v>
      </c>
      <c r="H42" s="19" t="s">
        <v>208</v>
      </c>
      <c r="I42" s="19"/>
      <c r="K42" s="15"/>
      <c r="R42" s="146" t="s">
        <v>237</v>
      </c>
      <c r="S42" s="60" t="s">
        <v>207</v>
      </c>
      <c r="T42" s="63">
        <v>6.7879999999999996E-2</v>
      </c>
      <c r="U42" s="63">
        <v>3.1282679999999998</v>
      </c>
      <c r="V42" s="63">
        <f t="shared" si="1"/>
        <v>3.196148</v>
      </c>
      <c r="W42" s="56">
        <v>33</v>
      </c>
      <c r="X42" s="63">
        <v>1.488516</v>
      </c>
      <c r="Y42" s="60" t="s">
        <v>208</v>
      </c>
      <c r="Z42" s="60"/>
    </row>
    <row r="43" spans="1:26">
      <c r="A43" s="133"/>
      <c r="B43" s="19" t="s">
        <v>209</v>
      </c>
      <c r="C43" s="56">
        <v>9.2036000000000007E-2</v>
      </c>
      <c r="D43" s="56">
        <v>3.1453690000000001</v>
      </c>
      <c r="E43" s="56">
        <f t="shared" ref="E43" si="27">D43+C43</f>
        <v>3.2374049999999999</v>
      </c>
      <c r="F43" s="56">
        <v>33</v>
      </c>
      <c r="G43" s="56">
        <v>1.484246</v>
      </c>
      <c r="H43" s="19" t="s">
        <v>208</v>
      </c>
      <c r="I43" s="19"/>
      <c r="K43" s="15"/>
      <c r="R43" s="146"/>
      <c r="S43" s="60" t="s">
        <v>209</v>
      </c>
      <c r="T43" s="63">
        <v>5.5441999999999998E-2</v>
      </c>
      <c r="U43" s="63">
        <v>3.1342850000000002</v>
      </c>
      <c r="V43" s="63">
        <f t="shared" si="1"/>
        <v>3.1897270000000004</v>
      </c>
      <c r="W43" s="56">
        <v>33</v>
      </c>
      <c r="X43" s="63">
        <v>1.4871989999999999</v>
      </c>
      <c r="Y43" s="60" t="s">
        <v>208</v>
      </c>
      <c r="Z43" s="60"/>
    </row>
    <row r="44" spans="1:26">
      <c r="A44" s="133"/>
      <c r="B44" s="19" t="s">
        <v>210</v>
      </c>
      <c r="C44" s="56">
        <v>7.1969000000000005E-2</v>
      </c>
      <c r="D44" s="56">
        <v>3.1236449999999998</v>
      </c>
      <c r="E44" s="56">
        <f t="shared" ref="E44:E45" si="28">D44+C44</f>
        <v>3.195614</v>
      </c>
      <c r="F44" s="56">
        <v>33</v>
      </c>
      <c r="G44" s="56">
        <v>1.4882409999999999</v>
      </c>
      <c r="H44" s="19" t="s">
        <v>208</v>
      </c>
      <c r="I44" s="19"/>
      <c r="K44" s="15"/>
      <c r="R44" s="146"/>
      <c r="S44" s="60" t="s">
        <v>210</v>
      </c>
      <c r="T44" s="63">
        <v>7.8543000000000002E-2</v>
      </c>
      <c r="U44" s="63">
        <v>3.1933159999999998</v>
      </c>
      <c r="V44" s="63">
        <f t="shared" si="1"/>
        <v>3.2718589999999996</v>
      </c>
      <c r="W44" s="56">
        <v>34</v>
      </c>
      <c r="X44" s="63">
        <v>1.4891529999999999</v>
      </c>
      <c r="Y44" s="60" t="s">
        <v>208</v>
      </c>
      <c r="Z44" s="60"/>
    </row>
    <row r="45" spans="1:26">
      <c r="A45" s="133" t="s">
        <v>151</v>
      </c>
      <c r="B45" s="19" t="s">
        <v>207</v>
      </c>
      <c r="C45" s="56">
        <v>8.4749000000000005E-2</v>
      </c>
      <c r="D45" s="56">
        <v>3.4424030000000001</v>
      </c>
      <c r="E45" s="56">
        <f t="shared" si="28"/>
        <v>3.5271520000000001</v>
      </c>
      <c r="F45" s="56">
        <v>36</v>
      </c>
      <c r="G45" s="56">
        <v>2.6006100000000001</v>
      </c>
      <c r="H45" s="19" t="s">
        <v>208</v>
      </c>
      <c r="I45" s="19"/>
      <c r="K45" s="15"/>
      <c r="R45" s="146" t="s">
        <v>151</v>
      </c>
      <c r="S45" s="60" t="s">
        <v>207</v>
      </c>
      <c r="T45" s="63">
        <v>9.8915000000000003E-2</v>
      </c>
      <c r="U45" s="63">
        <v>3.9976509999999998</v>
      </c>
      <c r="V45" s="63">
        <f t="shared" si="1"/>
        <v>4.0965660000000002</v>
      </c>
      <c r="W45" s="56">
        <v>42</v>
      </c>
      <c r="X45" s="63">
        <v>2.4637410000000002</v>
      </c>
      <c r="Y45" s="60" t="s">
        <v>208</v>
      </c>
      <c r="Z45" s="60"/>
    </row>
    <row r="46" spans="1:26">
      <c r="A46" s="133"/>
      <c r="B46" s="19" t="s">
        <v>209</v>
      </c>
      <c r="C46" s="56">
        <v>8.6239999999999997E-2</v>
      </c>
      <c r="D46" s="56">
        <v>4.3154110000000001</v>
      </c>
      <c r="E46" s="56">
        <f t="shared" ref="E46" si="29">D46+C46</f>
        <v>4.4016510000000002</v>
      </c>
      <c r="F46" s="56">
        <v>44</v>
      </c>
      <c r="G46" s="56">
        <v>2.6376689999999998</v>
      </c>
      <c r="H46" s="19" t="s">
        <v>208</v>
      </c>
      <c r="I46" s="19"/>
      <c r="K46" s="15"/>
      <c r="R46" s="146"/>
      <c r="S46" s="60" t="s">
        <v>209</v>
      </c>
      <c r="T46" s="63">
        <v>7.1287000000000003E-2</v>
      </c>
      <c r="U46" s="63">
        <v>3.4538129999999998</v>
      </c>
      <c r="V46" s="63">
        <f t="shared" si="1"/>
        <v>3.5250999999999997</v>
      </c>
      <c r="W46" s="56">
        <v>36</v>
      </c>
      <c r="X46" s="63">
        <v>2.6001660000000002</v>
      </c>
      <c r="Y46" s="60" t="s">
        <v>208</v>
      </c>
      <c r="Z46" s="60"/>
    </row>
    <row r="47" spans="1:26">
      <c r="A47" s="133"/>
      <c r="B47" s="19" t="s">
        <v>210</v>
      </c>
      <c r="C47" s="56">
        <v>8.3122000000000001E-2</v>
      </c>
      <c r="D47" s="56">
        <v>3.4983629999999999</v>
      </c>
      <c r="E47" s="56">
        <f t="shared" ref="E47:E49" si="30">D47+C47</f>
        <v>3.5814849999999998</v>
      </c>
      <c r="F47" s="56">
        <v>37</v>
      </c>
      <c r="G47" s="56">
        <v>2.5996579999999998</v>
      </c>
      <c r="H47" s="19" t="s">
        <v>208</v>
      </c>
      <c r="I47" s="19"/>
      <c r="K47" s="15"/>
      <c r="R47" s="146"/>
      <c r="S47" s="60" t="s">
        <v>210</v>
      </c>
      <c r="T47" s="63">
        <v>7.8658000000000006E-2</v>
      </c>
      <c r="U47" s="63">
        <v>3.4503759999999999</v>
      </c>
      <c r="V47" s="63">
        <f t="shared" si="1"/>
        <v>3.5290339999999998</v>
      </c>
      <c r="W47" s="56">
        <v>36</v>
      </c>
      <c r="X47" s="63">
        <v>2.6005219999999998</v>
      </c>
      <c r="Y47" s="60" t="s">
        <v>208</v>
      </c>
      <c r="Z47" s="60"/>
    </row>
    <row r="48" spans="1:26">
      <c r="A48" s="133" t="s">
        <v>238</v>
      </c>
      <c r="B48" s="19" t="s">
        <v>207</v>
      </c>
      <c r="C48" s="56">
        <v>0.12565499999999999</v>
      </c>
      <c r="D48" s="56">
        <v>3.6844450000000002</v>
      </c>
      <c r="E48" s="56">
        <f t="shared" si="30"/>
        <v>3.8101000000000003</v>
      </c>
      <c r="F48" s="56">
        <v>39</v>
      </c>
      <c r="G48" s="56">
        <v>2.2543899999999999</v>
      </c>
      <c r="H48" s="19" t="s">
        <v>208</v>
      </c>
      <c r="I48" s="19"/>
      <c r="K48" s="15"/>
      <c r="R48" s="146" t="s">
        <v>238</v>
      </c>
      <c r="S48" s="60" t="s">
        <v>207</v>
      </c>
      <c r="T48" s="63">
        <v>8.2686999999999997E-2</v>
      </c>
      <c r="U48" s="63">
        <v>3.7399170000000002</v>
      </c>
      <c r="V48" s="63">
        <f>U48+T48</f>
        <v>3.8226040000000001</v>
      </c>
      <c r="W48" s="56">
        <v>39</v>
      </c>
      <c r="X48" s="63">
        <v>2.25386</v>
      </c>
      <c r="Y48" s="60" t="s">
        <v>208</v>
      </c>
      <c r="Z48" s="60"/>
    </row>
    <row r="49" spans="1:26">
      <c r="A49" s="133"/>
      <c r="B49" s="19" t="s">
        <v>209</v>
      </c>
      <c r="C49" s="56">
        <v>7.4256000000000003E-2</v>
      </c>
      <c r="D49" s="56">
        <v>3.7385540000000002</v>
      </c>
      <c r="E49" s="56">
        <f t="shared" si="30"/>
        <v>3.8128100000000003</v>
      </c>
      <c r="F49" s="56">
        <v>39</v>
      </c>
      <c r="G49" s="56">
        <v>2.2558180000000001</v>
      </c>
      <c r="H49" s="19" t="s">
        <v>208</v>
      </c>
      <c r="I49" s="19"/>
      <c r="K49" s="15"/>
      <c r="R49" s="146"/>
      <c r="S49" s="60" t="s">
        <v>209</v>
      </c>
      <c r="T49" s="63">
        <v>8.838E-2</v>
      </c>
      <c r="U49" s="63">
        <v>3.6990859999999999</v>
      </c>
      <c r="V49" s="63">
        <f>U49+T49</f>
        <v>3.7874659999999998</v>
      </c>
      <c r="W49" s="56">
        <v>39</v>
      </c>
      <c r="X49" s="63">
        <v>2.254267</v>
      </c>
      <c r="Y49" s="60" t="s">
        <v>208</v>
      </c>
      <c r="Z49" s="60"/>
    </row>
    <row r="50" spans="1:26">
      <c r="A50" s="133"/>
      <c r="B50" s="19" t="s">
        <v>210</v>
      </c>
      <c r="C50" s="56">
        <v>0.108098</v>
      </c>
      <c r="D50" s="56">
        <v>4.5382410000000002</v>
      </c>
      <c r="E50" s="56">
        <f t="shared" ref="E50:E51" si="31">D50+C50</f>
        <v>4.6463390000000002</v>
      </c>
      <c r="F50" s="56">
        <v>47</v>
      </c>
      <c r="G50" s="56">
        <v>2.8390420000000001</v>
      </c>
      <c r="H50" s="19" t="s">
        <v>208</v>
      </c>
      <c r="I50" s="19"/>
      <c r="K50" s="15"/>
      <c r="R50" s="146"/>
      <c r="S50" s="60" t="s">
        <v>210</v>
      </c>
      <c r="T50" s="63">
        <v>8.3432999999999993E-2</v>
      </c>
      <c r="U50" s="63">
        <v>3.747185</v>
      </c>
      <c r="V50" s="63">
        <f>U50+T50</f>
        <v>3.8306179999999999</v>
      </c>
      <c r="W50" s="56">
        <v>39</v>
      </c>
      <c r="X50" s="63">
        <v>2.2539310000000001</v>
      </c>
      <c r="Y50" s="60" t="s">
        <v>208</v>
      </c>
      <c r="Z50" s="60"/>
    </row>
    <row r="51" spans="1:26">
      <c r="A51" s="133" t="s">
        <v>239</v>
      </c>
      <c r="B51" s="19" t="s">
        <v>207</v>
      </c>
      <c r="C51" s="56">
        <v>0.123364</v>
      </c>
      <c r="D51" s="56">
        <v>3.4558040000000001</v>
      </c>
      <c r="E51" s="56">
        <f t="shared" si="31"/>
        <v>3.5791680000000001</v>
      </c>
      <c r="F51" s="56">
        <v>36</v>
      </c>
      <c r="G51" s="56">
        <v>1.418002</v>
      </c>
      <c r="H51" s="19" t="s">
        <v>208</v>
      </c>
      <c r="I51" s="19"/>
      <c r="K51" s="15"/>
      <c r="R51" s="146" t="s">
        <v>239</v>
      </c>
      <c r="S51" s="60" t="s">
        <v>207</v>
      </c>
      <c r="T51" s="63">
        <v>6.7599999999999993E-2</v>
      </c>
      <c r="U51" s="63">
        <v>3.2564000000000002</v>
      </c>
      <c r="V51" s="64">
        <f t="shared" si="1"/>
        <v>3.3240000000000003</v>
      </c>
      <c r="W51" s="56">
        <v>29</v>
      </c>
      <c r="X51" s="63">
        <v>0.76910000000000001</v>
      </c>
      <c r="Y51" s="60" t="s">
        <v>208</v>
      </c>
      <c r="Z51" s="60"/>
    </row>
    <row r="52" spans="1:26">
      <c r="A52" s="133"/>
      <c r="B52" s="19" t="s">
        <v>209</v>
      </c>
      <c r="C52" s="56">
        <v>9.9387000000000003E-2</v>
      </c>
      <c r="D52" s="56">
        <v>2.845529</v>
      </c>
      <c r="E52" s="56">
        <f t="shared" ref="E52" si="32">D52+C52</f>
        <v>2.9449160000000001</v>
      </c>
      <c r="F52" s="56">
        <v>35</v>
      </c>
      <c r="G52" s="56">
        <v>1.3223510000000001</v>
      </c>
      <c r="H52" s="19" t="s">
        <v>208</v>
      </c>
      <c r="I52" s="19"/>
      <c r="K52" s="15"/>
      <c r="R52" s="146"/>
      <c r="S52" s="60" t="s">
        <v>209</v>
      </c>
      <c r="T52" s="63">
        <v>6.9813E-2</v>
      </c>
      <c r="U52" s="63">
        <v>3.2549290000000002</v>
      </c>
      <c r="V52" s="63">
        <f t="shared" si="1"/>
        <v>3.3247420000000001</v>
      </c>
      <c r="W52" s="56">
        <v>36</v>
      </c>
      <c r="X52" s="63">
        <v>0.91285700000000003</v>
      </c>
      <c r="Y52" s="60" t="s">
        <v>208</v>
      </c>
      <c r="Z52" s="60"/>
    </row>
    <row r="53" spans="1:26">
      <c r="A53" s="133"/>
      <c r="B53" s="19" t="s">
        <v>210</v>
      </c>
      <c r="C53" s="56">
        <v>6.4723000000000003E-2</v>
      </c>
      <c r="D53" s="56">
        <v>3.5499239999999999</v>
      </c>
      <c r="E53" s="56">
        <f t="shared" ref="E53" si="33">D53+C53</f>
        <v>3.6146469999999997</v>
      </c>
      <c r="F53" s="56">
        <v>34</v>
      </c>
      <c r="G53" s="56">
        <v>2.0218590000000001</v>
      </c>
      <c r="H53" s="19" t="s">
        <v>208</v>
      </c>
      <c r="I53" s="19"/>
      <c r="K53" s="15"/>
      <c r="R53" s="146"/>
      <c r="S53" s="60" t="s">
        <v>210</v>
      </c>
      <c r="T53" s="63">
        <v>5.9810000000000002E-2</v>
      </c>
      <c r="U53" s="63">
        <v>3.451454</v>
      </c>
      <c r="V53" s="63">
        <f t="shared" si="1"/>
        <v>3.5112640000000002</v>
      </c>
      <c r="W53" s="56">
        <v>36</v>
      </c>
      <c r="X53" s="63">
        <v>1.3149040000000001</v>
      </c>
      <c r="Y53" s="60" t="s">
        <v>208</v>
      </c>
      <c r="Z53" s="60"/>
    </row>
    <row r="54" spans="1:26">
      <c r="B54" s="15"/>
      <c r="R54" s="61"/>
      <c r="S54" s="61"/>
      <c r="T54" s="61"/>
      <c r="U54" s="61"/>
      <c r="V54" s="61"/>
      <c r="W54" s="61"/>
      <c r="X54" s="62"/>
      <c r="Y54" s="61"/>
      <c r="Z54" s="61"/>
    </row>
    <row r="55" spans="1:26">
      <c r="A55" s="148" t="s">
        <v>240</v>
      </c>
      <c r="B55" s="148"/>
      <c r="C55" s="148"/>
      <c r="D55" s="148"/>
      <c r="E55" s="148"/>
      <c r="F55" s="148"/>
      <c r="G55" s="148"/>
      <c r="H55" s="148"/>
      <c r="I55" s="59"/>
      <c r="J55" s="68"/>
      <c r="R55" s="148" t="s">
        <v>241</v>
      </c>
      <c r="S55" s="148"/>
      <c r="T55" s="148"/>
      <c r="U55" s="148"/>
      <c r="V55" s="148"/>
      <c r="W55" s="148"/>
      <c r="X55" s="148"/>
      <c r="Y55" s="148"/>
      <c r="Z55" s="59"/>
    </row>
    <row r="56" spans="1:26" ht="82.8">
      <c r="A56" s="23" t="s">
        <v>37</v>
      </c>
      <c r="B56" s="23" t="s">
        <v>198</v>
      </c>
      <c r="C56" s="23" t="s">
        <v>199</v>
      </c>
      <c r="D56" s="23" t="s">
        <v>200</v>
      </c>
      <c r="E56" s="23" t="s">
        <v>201</v>
      </c>
      <c r="F56" s="23" t="s">
        <v>202</v>
      </c>
      <c r="G56" s="23" t="s">
        <v>203</v>
      </c>
      <c r="H56" s="23" t="s">
        <v>204</v>
      </c>
      <c r="I56" s="65" t="s">
        <v>46</v>
      </c>
      <c r="J56" s="69"/>
      <c r="R56" s="23" t="s">
        <v>37</v>
      </c>
      <c r="S56" s="23" t="s">
        <v>198</v>
      </c>
      <c r="T56" s="23" t="s">
        <v>199</v>
      </c>
      <c r="U56" s="23" t="s">
        <v>200</v>
      </c>
      <c r="V56" s="23" t="s">
        <v>201</v>
      </c>
      <c r="W56" s="23" t="s">
        <v>202</v>
      </c>
      <c r="X56" s="23" t="s">
        <v>205</v>
      </c>
      <c r="Y56" s="23" t="s">
        <v>204</v>
      </c>
      <c r="Z56" s="65" t="s">
        <v>46</v>
      </c>
    </row>
    <row r="57" spans="1:26">
      <c r="A57" s="146" t="s">
        <v>206</v>
      </c>
      <c r="B57" s="72" t="s">
        <v>207</v>
      </c>
      <c r="C57" s="71">
        <v>9.0151999999999996E-2</v>
      </c>
      <c r="D57" s="71">
        <v>3.7480180000000001</v>
      </c>
      <c r="E57" s="71">
        <f>D57+C57</f>
        <v>3.8381699999999999</v>
      </c>
      <c r="F57" s="71">
        <v>39</v>
      </c>
      <c r="G57" s="71">
        <v>2.2557040000000002</v>
      </c>
      <c r="H57" s="19" t="s">
        <v>208</v>
      </c>
      <c r="I57" s="19"/>
      <c r="R57" s="133" t="s">
        <v>206</v>
      </c>
      <c r="S57" s="19" t="s">
        <v>207</v>
      </c>
      <c r="T57" s="71">
        <v>8.5305000000000006E-2</v>
      </c>
      <c r="U57" s="71">
        <v>4.4859989999999996</v>
      </c>
      <c r="V57" s="71">
        <f t="shared" ref="V57:V58" si="34">U57+T57</f>
        <v>4.5713039999999996</v>
      </c>
      <c r="W57" s="71">
        <v>47</v>
      </c>
      <c r="X57" s="71">
        <v>2.8319549999999998</v>
      </c>
      <c r="Y57" s="19" t="s">
        <v>208</v>
      </c>
      <c r="Z57" s="19"/>
    </row>
    <row r="58" spans="1:26">
      <c r="A58" s="146"/>
      <c r="B58" s="72" t="s">
        <v>209</v>
      </c>
      <c r="C58" s="71">
        <v>9.2524999999999996E-2</v>
      </c>
      <c r="D58" s="71">
        <v>3.7421829999999998</v>
      </c>
      <c r="E58" s="71">
        <f>D58+C58</f>
        <v>3.834708</v>
      </c>
      <c r="F58" s="71">
        <v>39</v>
      </c>
      <c r="G58" s="71">
        <v>2.2546430000000002</v>
      </c>
      <c r="H58" s="19" t="s">
        <v>208</v>
      </c>
      <c r="I58" s="19"/>
      <c r="R58" s="133"/>
      <c r="S58" s="19" t="s">
        <v>209</v>
      </c>
      <c r="T58" s="71">
        <v>6.8698999999999996E-2</v>
      </c>
      <c r="U58" s="71">
        <v>3.7462870000000001</v>
      </c>
      <c r="V58" s="71">
        <f t="shared" si="34"/>
        <v>3.8149860000000002</v>
      </c>
      <c r="W58" s="71">
        <v>39</v>
      </c>
      <c r="X58" s="71">
        <v>2.2539440000000002</v>
      </c>
      <c r="Y58" s="19" t="s">
        <v>208</v>
      </c>
      <c r="Z58" s="19"/>
    </row>
    <row r="59" spans="1:26">
      <c r="A59" s="146"/>
      <c r="B59" s="72" t="s">
        <v>210</v>
      </c>
      <c r="C59" s="71">
        <v>0.122015</v>
      </c>
      <c r="D59" s="71">
        <v>3.7471450000000002</v>
      </c>
      <c r="E59" s="71">
        <f>D59+C59</f>
        <v>3.8691600000000004</v>
      </c>
      <c r="F59" s="71">
        <v>39</v>
      </c>
      <c r="G59" s="71">
        <v>2.375162</v>
      </c>
      <c r="H59" s="19" t="s">
        <v>208</v>
      </c>
      <c r="I59" s="19"/>
      <c r="R59" s="133"/>
      <c r="S59" s="19" t="s">
        <v>210</v>
      </c>
      <c r="T59" s="63">
        <v>8.3432999999999993E-2</v>
      </c>
      <c r="U59" s="63">
        <v>3.747185</v>
      </c>
      <c r="V59" s="63">
        <f>U59+T59</f>
        <v>3.8306179999999999</v>
      </c>
      <c r="W59" s="56">
        <v>39</v>
      </c>
      <c r="X59" s="63">
        <v>2.2539310000000001</v>
      </c>
      <c r="Y59" s="19" t="s">
        <v>208</v>
      </c>
      <c r="Z59" s="19"/>
    </row>
    <row r="60" spans="1:26">
      <c r="A60" s="146" t="s">
        <v>211</v>
      </c>
      <c r="B60" s="72" t="s">
        <v>207</v>
      </c>
      <c r="C60" s="71">
        <v>0.110427</v>
      </c>
      <c r="D60" s="71">
        <v>3.4507300000000001</v>
      </c>
      <c r="E60" s="71">
        <f t="shared" ref="E60" si="35">D60+C60</f>
        <v>3.5611570000000001</v>
      </c>
      <c r="F60" s="71">
        <v>36</v>
      </c>
      <c r="G60" s="71">
        <v>1.418887</v>
      </c>
      <c r="H60" s="19" t="s">
        <v>208</v>
      </c>
      <c r="I60" s="19"/>
      <c r="R60" s="133" t="s">
        <v>211</v>
      </c>
      <c r="S60" s="19" t="s">
        <v>207</v>
      </c>
      <c r="T60" s="71">
        <v>0.10453</v>
      </c>
      <c r="U60" s="71">
        <v>4.8467770000000003</v>
      </c>
      <c r="V60" s="71">
        <f t="shared" ref="V60:V62" si="36">U60+T60</f>
        <v>4.9513069999999999</v>
      </c>
      <c r="W60" s="71">
        <v>50</v>
      </c>
      <c r="X60" s="71">
        <v>3.4717669999999998</v>
      </c>
      <c r="Y60" s="19" t="s">
        <v>208</v>
      </c>
      <c r="Z60" s="19"/>
    </row>
    <row r="61" spans="1:26" ht="14.4">
      <c r="A61" s="146"/>
      <c r="B61" s="72" t="s">
        <v>209</v>
      </c>
      <c r="C61" s="72" t="s">
        <v>58</v>
      </c>
      <c r="D61" s="72" t="s">
        <v>58</v>
      </c>
      <c r="E61" s="72" t="s">
        <v>58</v>
      </c>
      <c r="F61" s="72" t="s">
        <v>58</v>
      </c>
      <c r="G61" s="72" t="s">
        <v>58</v>
      </c>
      <c r="H61" s="74" t="s">
        <v>219</v>
      </c>
      <c r="I61" s="75" t="s">
        <v>220</v>
      </c>
      <c r="R61" s="133"/>
      <c r="S61" s="19" t="s">
        <v>209</v>
      </c>
      <c r="T61" s="71">
        <v>7.4032000000000001E-2</v>
      </c>
      <c r="U61" s="71">
        <v>3.4016320000000002</v>
      </c>
      <c r="V61" s="71">
        <f t="shared" si="36"/>
        <v>3.4756640000000001</v>
      </c>
      <c r="W61" s="71">
        <v>36</v>
      </c>
      <c r="X61" s="71">
        <v>1.414523</v>
      </c>
      <c r="Y61" s="19" t="s">
        <v>208</v>
      </c>
      <c r="Z61" s="19"/>
    </row>
    <row r="62" spans="1:26">
      <c r="A62" s="146"/>
      <c r="B62" s="72" t="s">
        <v>210</v>
      </c>
      <c r="C62" s="71">
        <v>6.3572000000000004E-2</v>
      </c>
      <c r="D62" s="71">
        <v>3.0468090000000001</v>
      </c>
      <c r="E62" s="71">
        <f t="shared" ref="E62" si="37">D62+C62</f>
        <v>3.1103810000000003</v>
      </c>
      <c r="F62" s="71">
        <v>32</v>
      </c>
      <c r="G62" s="71">
        <v>1.5129030000000001</v>
      </c>
      <c r="H62" s="19" t="s">
        <v>208</v>
      </c>
      <c r="I62" s="19"/>
      <c r="R62" s="133"/>
      <c r="S62" s="19" t="s">
        <v>210</v>
      </c>
      <c r="T62" s="63">
        <v>7.8603999999999993E-2</v>
      </c>
      <c r="U62" s="63">
        <v>3.4550930000000002</v>
      </c>
      <c r="V62" s="63">
        <f t="shared" si="36"/>
        <v>3.5336970000000001</v>
      </c>
      <c r="W62" s="56">
        <v>36</v>
      </c>
      <c r="X62" s="63">
        <v>1.418623</v>
      </c>
      <c r="Y62" s="19" t="s">
        <v>208</v>
      </c>
      <c r="Z62" s="19"/>
    </row>
    <row r="63" spans="1:26">
      <c r="A63" s="146" t="s">
        <v>214</v>
      </c>
      <c r="B63" s="72" t="s">
        <v>207</v>
      </c>
      <c r="C63" s="71">
        <v>8.3335999999999993E-2</v>
      </c>
      <c r="D63" s="71">
        <v>3.6963010000000001</v>
      </c>
      <c r="E63" s="71">
        <f t="shared" ref="E63:E65" si="38">D63+C63</f>
        <v>3.7796370000000001</v>
      </c>
      <c r="F63" s="71">
        <v>39</v>
      </c>
      <c r="G63" s="71">
        <v>2.3774280000000001</v>
      </c>
      <c r="H63" s="19" t="s">
        <v>208</v>
      </c>
      <c r="I63" s="19"/>
      <c r="R63" s="133" t="s">
        <v>214</v>
      </c>
      <c r="S63" s="19" t="s">
        <v>207</v>
      </c>
      <c r="T63" s="71">
        <v>7.2813000000000003E-2</v>
      </c>
      <c r="U63" s="71">
        <v>3.7413129999999999</v>
      </c>
      <c r="V63" s="71">
        <f t="shared" ref="V63:V64" si="39">U63+T63</f>
        <v>3.8141259999999999</v>
      </c>
      <c r="W63" s="71">
        <v>39</v>
      </c>
      <c r="X63" s="71">
        <v>2.3779759999999999</v>
      </c>
      <c r="Y63" s="19" t="s">
        <v>208</v>
      </c>
      <c r="Z63" s="19"/>
    </row>
    <row r="64" spans="1:26">
      <c r="A64" s="146"/>
      <c r="B64" s="72" t="s">
        <v>209</v>
      </c>
      <c r="C64" s="71">
        <v>0.108406</v>
      </c>
      <c r="D64" s="71">
        <v>4.4494860000000003</v>
      </c>
      <c r="E64" s="71">
        <f t="shared" si="38"/>
        <v>4.5578920000000007</v>
      </c>
      <c r="F64" s="71">
        <v>46</v>
      </c>
      <c r="G64" s="71">
        <v>3.2418209999999998</v>
      </c>
      <c r="H64" s="19" t="s">
        <v>208</v>
      </c>
      <c r="I64" s="19"/>
      <c r="R64" s="133"/>
      <c r="S64" s="19" t="s">
        <v>209</v>
      </c>
      <c r="T64" s="71">
        <v>0.17691699999999999</v>
      </c>
      <c r="U64" s="71">
        <v>8.7493379999999998</v>
      </c>
      <c r="V64" s="71">
        <f t="shared" si="39"/>
        <v>8.9262549999999994</v>
      </c>
      <c r="W64" s="71">
        <v>89</v>
      </c>
      <c r="X64" s="71">
        <v>4.8962760000000003</v>
      </c>
      <c r="Y64" s="19" t="s">
        <v>208</v>
      </c>
      <c r="Z64" s="66" t="s">
        <v>242</v>
      </c>
    </row>
    <row r="65" spans="1:33">
      <c r="A65" s="146"/>
      <c r="B65" s="72" t="s">
        <v>210</v>
      </c>
      <c r="C65" s="71">
        <v>8.3905999999999994E-2</v>
      </c>
      <c r="D65" s="71">
        <v>4.5035590000000001</v>
      </c>
      <c r="E65" s="71">
        <f t="shared" si="38"/>
        <v>4.5874649999999999</v>
      </c>
      <c r="F65" s="71">
        <v>47</v>
      </c>
      <c r="G65" s="71">
        <v>3.9168539999999998</v>
      </c>
      <c r="H65" s="19" t="s">
        <v>208</v>
      </c>
      <c r="I65" s="19"/>
      <c r="R65" s="133"/>
      <c r="S65" s="19" t="s">
        <v>210</v>
      </c>
      <c r="T65" s="71">
        <v>0.104474</v>
      </c>
      <c r="U65" s="71">
        <v>4.6362709999999998</v>
      </c>
      <c r="V65" s="71">
        <f>U65+T65</f>
        <v>4.7407449999999995</v>
      </c>
      <c r="W65" s="71">
        <v>48</v>
      </c>
      <c r="X65" s="71">
        <v>5.5638170000000002</v>
      </c>
      <c r="Y65" s="19" t="s">
        <v>208</v>
      </c>
      <c r="Z65" s="66" t="s">
        <v>242</v>
      </c>
    </row>
    <row r="66" spans="1:33" ht="17.55" customHeight="1">
      <c r="A66" s="146" t="s">
        <v>218</v>
      </c>
      <c r="B66" s="72" t="s">
        <v>207</v>
      </c>
      <c r="C66" s="71">
        <v>6.9006999999999999E-2</v>
      </c>
      <c r="D66" s="71">
        <v>3.1032000000000002</v>
      </c>
      <c r="E66" s="71">
        <f t="shared" ref="E66:E67" si="40">D66+C66</f>
        <v>3.1722070000000002</v>
      </c>
      <c r="F66" s="71">
        <v>32</v>
      </c>
      <c r="G66" s="71">
        <v>1.5134749999999999</v>
      </c>
      <c r="H66" s="19" t="s">
        <v>208</v>
      </c>
      <c r="I66" s="19"/>
      <c r="K66" s="70"/>
      <c r="L66" s="3" t="s">
        <v>223</v>
      </c>
      <c r="M66" s="3" t="s">
        <v>224</v>
      </c>
      <c r="N66" s="3" t="s">
        <v>225</v>
      </c>
      <c r="O66" s="3" t="s">
        <v>228</v>
      </c>
      <c r="P66" s="3" t="s">
        <v>229</v>
      </c>
      <c r="R66" s="133" t="s">
        <v>218</v>
      </c>
      <c r="S66" s="19" t="s">
        <v>207</v>
      </c>
      <c r="T66" s="71">
        <v>8.5145999999999999E-2</v>
      </c>
      <c r="U66" s="71">
        <v>3.1013799999999998</v>
      </c>
      <c r="V66" s="71">
        <f t="shared" ref="V66:V68" si="41">U66+T66</f>
        <v>3.1865259999999997</v>
      </c>
      <c r="W66" s="71">
        <v>32</v>
      </c>
      <c r="X66" s="71">
        <v>1.51135</v>
      </c>
      <c r="Y66" s="19" t="s">
        <v>208</v>
      </c>
      <c r="Z66" s="19"/>
      <c r="AB66" s="70"/>
      <c r="AC66" s="3" t="s">
        <v>223</v>
      </c>
      <c r="AD66" s="3" t="s">
        <v>224</v>
      </c>
      <c r="AE66" s="3" t="s">
        <v>225</v>
      </c>
      <c r="AF66" s="3" t="s">
        <v>228</v>
      </c>
      <c r="AG66" s="3" t="s">
        <v>229</v>
      </c>
    </row>
    <row r="67" spans="1:33">
      <c r="A67" s="146"/>
      <c r="B67" s="72" t="s">
        <v>209</v>
      </c>
      <c r="C67" s="71">
        <v>8.5627999999999996E-2</v>
      </c>
      <c r="D67" s="71">
        <v>3.1601490000000001</v>
      </c>
      <c r="E67" s="71">
        <f t="shared" si="40"/>
        <v>3.2457769999999999</v>
      </c>
      <c r="F67" s="71">
        <v>33</v>
      </c>
      <c r="G67" s="71">
        <v>1.51925</v>
      </c>
      <c r="H67" s="19" t="s">
        <v>208</v>
      </c>
      <c r="I67" s="19"/>
      <c r="K67" s="73" t="s">
        <v>207</v>
      </c>
      <c r="L67" s="76">
        <f>AVERAGEIF(B57:B107,"RRTConnect",C57:C107)</f>
        <v>9.0522588235294132E-2</v>
      </c>
      <c r="M67" s="76">
        <f>AVERAGEIF(B57:B107,"RRTConnect",D57:D107)</f>
        <v>3.7167427647058817</v>
      </c>
      <c r="N67" s="76">
        <f>AVERAGEIF(B57:B107,"RRTConnect",E57:E107)</f>
        <v>3.8072653529411764</v>
      </c>
      <c r="O67" s="76">
        <f>AVERAGEIF(B57:B107,"RRTConnect",F57:F107)</f>
        <v>38.588235294117645</v>
      </c>
      <c r="P67" s="76">
        <f>AVERAGEIF(B57:B107,"RRTConnect",G57:G107)</f>
        <v>2.1998127647058823</v>
      </c>
      <c r="R67" s="133"/>
      <c r="S67" s="19" t="s">
        <v>209</v>
      </c>
      <c r="T67" s="71">
        <v>0.10886899999999999</v>
      </c>
      <c r="U67" s="71">
        <v>3.1516630000000001</v>
      </c>
      <c r="V67" s="71">
        <f t="shared" si="41"/>
        <v>3.260532</v>
      </c>
      <c r="W67" s="71">
        <v>33</v>
      </c>
      <c r="X67" s="71">
        <v>1.5168060000000001</v>
      </c>
      <c r="Y67" s="19" t="s">
        <v>208</v>
      </c>
      <c r="Z67" s="19"/>
      <c r="AB67" s="73" t="s">
        <v>207</v>
      </c>
      <c r="AC67" s="64">
        <f>AVERAGEIF(S57:S107,"RRTConnect",T49:T99)</f>
        <v>9.4912562499999992E-2</v>
      </c>
      <c r="AD67" s="64">
        <f>AVERAGEIF(S57:S107,"RRTConnect",U57:U107)</f>
        <v>3.8604635882352945</v>
      </c>
      <c r="AE67" s="64">
        <f>AVERAGEIF(S57:S107,"RRTConnect",V57:V107)</f>
        <v>3.9472240000000007</v>
      </c>
      <c r="AF67" s="64">
        <f>AVERAGEIF(S57:S107,"RRTConnect",W57:W107)</f>
        <v>40.176470588235297</v>
      </c>
      <c r="AG67" s="64">
        <f>AVERAGEIF(S57:S107,"RRTConnect",X57:X107)</f>
        <v>2.5706085294117647</v>
      </c>
    </row>
    <row r="68" spans="1:33" ht="14.4">
      <c r="A68" s="146"/>
      <c r="B68" s="72" t="s">
        <v>210</v>
      </c>
      <c r="C68" s="72" t="s">
        <v>58</v>
      </c>
      <c r="D68" s="72" t="s">
        <v>58</v>
      </c>
      <c r="E68" s="72" t="s">
        <v>58</v>
      </c>
      <c r="F68" s="72" t="s">
        <v>58</v>
      </c>
      <c r="G68" s="72" t="s">
        <v>58</v>
      </c>
      <c r="H68" s="74" t="s">
        <v>219</v>
      </c>
      <c r="I68" s="75" t="s">
        <v>220</v>
      </c>
      <c r="K68" s="73" t="s">
        <v>209</v>
      </c>
      <c r="L68" s="31">
        <f>AVERAGEIF(B57:B107,"RRTstar",C57:C107)</f>
        <v>9.4962124999999994E-2</v>
      </c>
      <c r="M68" s="31">
        <f>AVERAGEIF(B57:B107,"RRTstar",D57:D107)</f>
        <v>4.0939382499999999</v>
      </c>
      <c r="N68" s="31">
        <f>AVERAGEIF(B57:B107,"RRTstar",E57:E107)</f>
        <v>4.1889003749999993</v>
      </c>
      <c r="O68" s="31">
        <f>AVERAGEIF(B57:B107,"RRTstar",F57:F107)</f>
        <v>40.3125</v>
      </c>
      <c r="P68" s="31">
        <f>AVERAGEIF(B57:B107,"RRTstar",G57:G107)</f>
        <v>2.6354238750000003</v>
      </c>
      <c r="R68" s="133"/>
      <c r="S68" s="19" t="s">
        <v>210</v>
      </c>
      <c r="T68" s="71">
        <v>7.7582999999999999E-2</v>
      </c>
      <c r="U68" s="71">
        <v>3.4905710000000001</v>
      </c>
      <c r="V68" s="71">
        <f t="shared" si="41"/>
        <v>3.5681540000000003</v>
      </c>
      <c r="W68" s="71">
        <v>37</v>
      </c>
      <c r="X68" s="71">
        <v>2.6007280000000002</v>
      </c>
      <c r="Y68" s="19" t="s">
        <v>208</v>
      </c>
      <c r="Z68" s="19"/>
      <c r="AB68" s="73" t="s">
        <v>209</v>
      </c>
      <c r="AC68" s="76">
        <f>AVERAGEIF(S57:S107,"RRTstar",T57:T107)</f>
        <v>9.3472E-2</v>
      </c>
      <c r="AD68" s="64">
        <f>AVERAGEIF(S57:S107,"RRTstar",U57:U107)</f>
        <v>3.9149139411764708</v>
      </c>
      <c r="AE68" s="64">
        <f>AVERAGEIF(S57:S107,"RRTstar",V57:V107)</f>
        <v>4.0083859411764697</v>
      </c>
      <c r="AF68" s="64">
        <f>AVERAGEIF(S57:S107,"RRTstar",W57:W107)</f>
        <v>41.176470588235297</v>
      </c>
      <c r="AG68" s="76">
        <f>AVERAGEIF(S57:S107,"RRTstar",X57:X107)</f>
        <v>2.3285892352941175</v>
      </c>
    </row>
    <row r="69" spans="1:33">
      <c r="A69" s="146" t="s">
        <v>221</v>
      </c>
      <c r="B69" s="72" t="s">
        <v>207</v>
      </c>
      <c r="C69" s="71">
        <v>0.109759</v>
      </c>
      <c r="D69" s="71">
        <v>4.6149199999999997</v>
      </c>
      <c r="E69" s="71">
        <f t="shared" ref="E69:E71" si="42">D69+C69</f>
        <v>4.7246790000000001</v>
      </c>
      <c r="F69" s="71">
        <v>48</v>
      </c>
      <c r="G69" s="71">
        <v>2.9843820000000001</v>
      </c>
      <c r="H69" s="19" t="s">
        <v>208</v>
      </c>
      <c r="I69" s="19"/>
      <c r="K69" s="73" t="s">
        <v>210</v>
      </c>
      <c r="L69" s="31">
        <f>AVERAGEIF(B57:B107,"PRMstar",C57:C107)</f>
        <v>9.5890187500000001E-2</v>
      </c>
      <c r="M69" s="31">
        <f>AVERAGEIF(B57:B107,"PRMstar",D57:D107)</f>
        <v>4.00551675</v>
      </c>
      <c r="N69" s="31">
        <f>AVERAGEIF(B57:B107,"PRMstar",E57:E107)</f>
        <v>4.1014069374999993</v>
      </c>
      <c r="O69" s="31">
        <f>AVERAGEIF(B57:B107,"PRMstar",F57:F107)</f>
        <v>41.6875</v>
      </c>
      <c r="P69" s="31">
        <f>AVERAGEIF(B57:B107,"PRMstar",G57:G107)</f>
        <v>3.0824771875000003</v>
      </c>
      <c r="R69" s="133" t="s">
        <v>221</v>
      </c>
      <c r="S69" s="19" t="s">
        <v>207</v>
      </c>
      <c r="T69" s="71">
        <v>7.4122999999999994E-2</v>
      </c>
      <c r="U69" s="71">
        <v>3.6812900000000002</v>
      </c>
      <c r="V69" s="71">
        <f t="shared" ref="V69:V71" si="43">U69+T69</f>
        <v>3.7554130000000003</v>
      </c>
      <c r="W69" s="71">
        <v>39</v>
      </c>
      <c r="X69" s="71">
        <v>2.2692999999999999</v>
      </c>
      <c r="Y69" s="19" t="s">
        <v>208</v>
      </c>
      <c r="Z69" s="19"/>
      <c r="AB69" s="73" t="s">
        <v>210</v>
      </c>
      <c r="AC69" s="64">
        <f>AVERAGEIF(S57:S107,"PRMstar",T57:T107)</f>
        <v>9.6537562499999993E-2</v>
      </c>
      <c r="AD69" s="76">
        <f>AVERAGEIF(S57:S107,"PRMstar",U57:U107)</f>
        <v>3.6315391875</v>
      </c>
      <c r="AE69" s="76">
        <f>AVERAGEIF(S57:S107,"PRMstar",V57:V107)</f>
        <v>3.7280767499999996</v>
      </c>
      <c r="AF69" s="76">
        <f>AVERAGEIF(S57:S107,"PRMstar",W57:W107)</f>
        <v>39.8125</v>
      </c>
      <c r="AG69" s="64">
        <f>AVERAGEIF(S57:S107,"PRMstar",X57:X107)</f>
        <v>2.4137753749999997</v>
      </c>
    </row>
    <row r="70" spans="1:33">
      <c r="A70" s="146"/>
      <c r="B70" s="72" t="s">
        <v>209</v>
      </c>
      <c r="C70" s="71">
        <v>7.1499999999999994E-2</v>
      </c>
      <c r="D70" s="71">
        <v>3.6978879999999998</v>
      </c>
      <c r="E70" s="71">
        <f t="shared" si="42"/>
        <v>3.7693879999999997</v>
      </c>
      <c r="F70" s="71">
        <v>39</v>
      </c>
      <c r="G70" s="71">
        <v>2.2685789999999999</v>
      </c>
      <c r="H70" s="19" t="s">
        <v>208</v>
      </c>
      <c r="I70" s="19"/>
      <c r="R70" s="133"/>
      <c r="S70" s="19" t="s">
        <v>209</v>
      </c>
      <c r="T70" s="71">
        <v>0.117187</v>
      </c>
      <c r="U70" s="71">
        <v>4.0137739999999997</v>
      </c>
      <c r="V70" s="71">
        <f t="shared" si="43"/>
        <v>4.1309610000000001</v>
      </c>
      <c r="W70" s="71">
        <v>42</v>
      </c>
      <c r="X70" s="71">
        <v>2.279525</v>
      </c>
      <c r="Y70" s="19" t="s">
        <v>208</v>
      </c>
      <c r="Z70" s="19"/>
    </row>
    <row r="71" spans="1:33">
      <c r="A71" s="146"/>
      <c r="B71" s="72" t="s">
        <v>210</v>
      </c>
      <c r="C71" s="71">
        <v>9.1203000000000006E-2</v>
      </c>
      <c r="D71" s="71">
        <v>5.2893980000000003</v>
      </c>
      <c r="E71" s="71">
        <f t="shared" si="42"/>
        <v>5.3806010000000004</v>
      </c>
      <c r="F71" s="71">
        <v>55</v>
      </c>
      <c r="G71" s="71">
        <v>5.276923</v>
      </c>
      <c r="H71" s="19" t="s">
        <v>208</v>
      </c>
      <c r="I71" s="66" t="s">
        <v>242</v>
      </c>
      <c r="R71" s="133"/>
      <c r="S71" s="19" t="s">
        <v>210</v>
      </c>
      <c r="T71" s="71">
        <v>7.7854000000000007E-2</v>
      </c>
      <c r="U71" s="71">
        <v>3.681041</v>
      </c>
      <c r="V71" s="71">
        <f t="shared" si="43"/>
        <v>3.7588949999999999</v>
      </c>
      <c r="W71" s="71">
        <v>39</v>
      </c>
      <c r="X71" s="71">
        <v>2.2549009999999998</v>
      </c>
      <c r="Y71" s="19" t="s">
        <v>208</v>
      </c>
      <c r="Z71" s="19"/>
    </row>
    <row r="72" spans="1:33">
      <c r="A72" s="146" t="s">
        <v>222</v>
      </c>
      <c r="B72" s="72" t="s">
        <v>207</v>
      </c>
      <c r="C72" s="71">
        <v>8.3110000000000003E-2</v>
      </c>
      <c r="D72" s="71">
        <v>4.5595600000000003</v>
      </c>
      <c r="E72" s="71">
        <f t="shared" ref="E72:E74" si="44">D72+C72</f>
        <v>4.6426699999999999</v>
      </c>
      <c r="F72" s="71">
        <v>47</v>
      </c>
      <c r="G72" s="71">
        <v>4.2629450000000002</v>
      </c>
      <c r="H72" s="19" t="s">
        <v>208</v>
      </c>
      <c r="I72" s="19"/>
      <c r="R72" s="133" t="s">
        <v>222</v>
      </c>
      <c r="S72" s="19" t="s">
        <v>207</v>
      </c>
      <c r="T72" s="71">
        <v>6.5113000000000004E-2</v>
      </c>
      <c r="U72" s="71">
        <v>2.9031829999999998</v>
      </c>
      <c r="V72" s="71">
        <f t="shared" ref="V72:V74" si="45">U72+T72</f>
        <v>2.968296</v>
      </c>
      <c r="W72" s="71">
        <v>30</v>
      </c>
      <c r="X72" s="71">
        <v>1.1849989999999999</v>
      </c>
      <c r="Y72" s="19" t="s">
        <v>208</v>
      </c>
      <c r="Z72" s="19"/>
    </row>
    <row r="73" spans="1:33">
      <c r="A73" s="146"/>
      <c r="B73" s="72" t="s">
        <v>209</v>
      </c>
      <c r="C73" s="71">
        <v>9.0657000000000001E-2</v>
      </c>
      <c r="D73" s="71">
        <v>2.891918</v>
      </c>
      <c r="E73" s="71">
        <f t="shared" si="44"/>
        <v>2.9825750000000002</v>
      </c>
      <c r="F73" s="71">
        <v>30</v>
      </c>
      <c r="G73" s="71">
        <v>1.1841250000000001</v>
      </c>
      <c r="H73" s="19" t="s">
        <v>208</v>
      </c>
      <c r="I73" s="19"/>
      <c r="R73" s="133"/>
      <c r="S73" s="19" t="s">
        <v>209</v>
      </c>
      <c r="T73" s="71">
        <v>8.7627999999999998E-2</v>
      </c>
      <c r="U73" s="71">
        <v>2.889923</v>
      </c>
      <c r="V73" s="71">
        <f t="shared" si="45"/>
        <v>2.9775510000000001</v>
      </c>
      <c r="W73" s="71">
        <v>30</v>
      </c>
      <c r="X73" s="71">
        <v>1.1854279999999999</v>
      </c>
      <c r="Y73" s="19" t="s">
        <v>208</v>
      </c>
      <c r="Z73" s="19"/>
    </row>
    <row r="74" spans="1:33">
      <c r="A74" s="146"/>
      <c r="B74" s="72" t="s">
        <v>210</v>
      </c>
      <c r="C74" s="71">
        <v>8.3905999999999994E-2</v>
      </c>
      <c r="D74" s="71">
        <v>4.5035590000000001</v>
      </c>
      <c r="E74" s="71">
        <f t="shared" si="44"/>
        <v>4.5874649999999999</v>
      </c>
      <c r="F74" s="71">
        <v>47</v>
      </c>
      <c r="G74" s="71">
        <v>3.9168539999999998</v>
      </c>
      <c r="H74" s="19" t="s">
        <v>208</v>
      </c>
      <c r="I74" s="19"/>
      <c r="R74" s="133"/>
      <c r="S74" s="19" t="s">
        <v>210</v>
      </c>
      <c r="T74" s="71">
        <v>7.7095999999999998E-2</v>
      </c>
      <c r="U74" s="71">
        <v>3.4387989999999999</v>
      </c>
      <c r="V74" s="71">
        <f t="shared" si="45"/>
        <v>3.515895</v>
      </c>
      <c r="W74" s="71">
        <v>36</v>
      </c>
      <c r="X74" s="71">
        <v>1.4190339999999999</v>
      </c>
      <c r="Y74" s="19" t="s">
        <v>208</v>
      </c>
      <c r="Z74" s="19"/>
    </row>
    <row r="75" spans="1:33">
      <c r="A75" s="146" t="s">
        <v>230</v>
      </c>
      <c r="B75" s="72" t="s">
        <v>207</v>
      </c>
      <c r="C75" s="71">
        <v>9.9597000000000005E-2</v>
      </c>
      <c r="D75" s="71">
        <v>4.2368350000000001</v>
      </c>
      <c r="E75" s="71">
        <f t="shared" ref="E75:E77" si="46">D75+C75</f>
        <v>4.3364320000000003</v>
      </c>
      <c r="F75" s="71">
        <v>44</v>
      </c>
      <c r="G75" s="71">
        <v>3.3812869999999999</v>
      </c>
      <c r="H75" s="19" t="s">
        <v>208</v>
      </c>
      <c r="I75" s="19"/>
      <c r="R75" s="133" t="s">
        <v>230</v>
      </c>
      <c r="S75" s="19" t="s">
        <v>207</v>
      </c>
      <c r="T75" s="71">
        <v>6.8581000000000003E-2</v>
      </c>
      <c r="U75" s="71">
        <v>3.692062</v>
      </c>
      <c r="V75" s="71">
        <f t="shared" ref="V75:V77" si="47">U75+T75</f>
        <v>3.760643</v>
      </c>
      <c r="W75" s="71">
        <v>39</v>
      </c>
      <c r="X75" s="71">
        <v>2.3996339999999998</v>
      </c>
      <c r="Y75" s="19" t="s">
        <v>208</v>
      </c>
      <c r="Z75" s="19"/>
    </row>
    <row r="76" spans="1:33">
      <c r="A76" s="146"/>
      <c r="B76" s="72" t="s">
        <v>209</v>
      </c>
      <c r="C76" s="71">
        <v>0.112998</v>
      </c>
      <c r="D76" s="71">
        <v>4.2019140000000004</v>
      </c>
      <c r="E76" s="71">
        <f t="shared" si="46"/>
        <v>4.3149120000000005</v>
      </c>
      <c r="F76" s="71">
        <v>44</v>
      </c>
      <c r="G76" s="71">
        <v>3.0029460000000001</v>
      </c>
      <c r="H76" s="19" t="s">
        <v>208</v>
      </c>
      <c r="I76" s="19"/>
      <c r="R76" s="133"/>
      <c r="S76" s="19" t="s">
        <v>209</v>
      </c>
      <c r="T76" s="71">
        <v>8.2129999999999995E-2</v>
      </c>
      <c r="U76" s="71">
        <v>3.6800899999999999</v>
      </c>
      <c r="V76" s="71">
        <f t="shared" si="47"/>
        <v>3.7622199999999997</v>
      </c>
      <c r="W76" s="71">
        <v>39</v>
      </c>
      <c r="X76" s="71">
        <v>2.4001890000000001</v>
      </c>
      <c r="Y76" s="19" t="s">
        <v>208</v>
      </c>
      <c r="Z76" s="19"/>
    </row>
    <row r="77" spans="1:33">
      <c r="A77" s="146"/>
      <c r="B77" s="72" t="s">
        <v>210</v>
      </c>
      <c r="C77" s="71">
        <v>0.10602300000000001</v>
      </c>
      <c r="D77" s="71">
        <v>3.6789689999999999</v>
      </c>
      <c r="E77" s="71">
        <f t="shared" si="46"/>
        <v>3.7849919999999999</v>
      </c>
      <c r="F77" s="71">
        <v>38</v>
      </c>
      <c r="G77" s="71">
        <v>2.7699769999999999</v>
      </c>
      <c r="H77" s="19" t="s">
        <v>208</v>
      </c>
      <c r="I77" s="19"/>
      <c r="R77" s="133"/>
      <c r="S77" s="19" t="s">
        <v>210</v>
      </c>
      <c r="T77" s="71">
        <v>0.11781999999999999</v>
      </c>
      <c r="U77" s="71">
        <v>3.692326</v>
      </c>
      <c r="V77" s="71">
        <f t="shared" si="47"/>
        <v>3.810146</v>
      </c>
      <c r="W77" s="71">
        <v>39</v>
      </c>
      <c r="X77" s="71">
        <v>2.2554720000000001</v>
      </c>
      <c r="Y77" s="19" t="s">
        <v>208</v>
      </c>
      <c r="Z77" s="19"/>
    </row>
    <row r="78" spans="1:33">
      <c r="A78" s="146" t="s">
        <v>231</v>
      </c>
      <c r="B78" s="72" t="s">
        <v>207</v>
      </c>
      <c r="C78" s="71">
        <v>8.8782E-2</v>
      </c>
      <c r="D78" s="71">
        <v>2.9376669999999998</v>
      </c>
      <c r="E78" s="71">
        <f t="shared" ref="E78:E80" si="48">D78+C78</f>
        <v>3.0264489999999999</v>
      </c>
      <c r="F78" s="71">
        <v>31</v>
      </c>
      <c r="G78" s="71">
        <v>1.281898</v>
      </c>
      <c r="H78" s="19" t="s">
        <v>208</v>
      </c>
      <c r="I78" s="19"/>
      <c r="R78" s="133" t="s">
        <v>231</v>
      </c>
      <c r="S78" s="19" t="s">
        <v>207</v>
      </c>
      <c r="T78" s="71">
        <v>0.115953</v>
      </c>
      <c r="U78" s="71">
        <v>3.4029660000000002</v>
      </c>
      <c r="V78" s="71">
        <f t="shared" ref="V78:V80" si="49">U78+T78</f>
        <v>3.5189190000000004</v>
      </c>
      <c r="W78" s="71">
        <v>35</v>
      </c>
      <c r="X78" s="71">
        <v>1.382317</v>
      </c>
      <c r="Y78" s="19" t="s">
        <v>208</v>
      </c>
      <c r="Z78" s="19"/>
    </row>
    <row r="79" spans="1:33">
      <c r="A79" s="146"/>
      <c r="B79" s="72" t="s">
        <v>209</v>
      </c>
      <c r="C79" s="71">
        <v>0.10376000000000001</v>
      </c>
      <c r="D79" s="71">
        <v>3.0489259999999998</v>
      </c>
      <c r="E79" s="71">
        <f t="shared" si="48"/>
        <v>3.1526859999999997</v>
      </c>
      <c r="F79" s="71">
        <v>32</v>
      </c>
      <c r="G79" s="71">
        <v>1.28664</v>
      </c>
      <c r="H79" s="19" t="s">
        <v>208</v>
      </c>
      <c r="I79" s="19"/>
      <c r="R79" s="133"/>
      <c r="S79" s="19" t="s">
        <v>209</v>
      </c>
      <c r="T79" s="71">
        <v>8.0576999999999996E-2</v>
      </c>
      <c r="U79" s="71">
        <v>3.4389940000000001</v>
      </c>
      <c r="V79" s="71">
        <f t="shared" si="49"/>
        <v>3.519571</v>
      </c>
      <c r="W79" s="71">
        <v>36</v>
      </c>
      <c r="X79" s="71">
        <v>1.3371440000000001</v>
      </c>
      <c r="Y79" s="19" t="s">
        <v>208</v>
      </c>
      <c r="Z79" s="19"/>
    </row>
    <row r="80" spans="1:33">
      <c r="A80" s="146"/>
      <c r="B80" s="72" t="s">
        <v>210</v>
      </c>
      <c r="C80" s="71">
        <v>9.9751999999999993E-2</v>
      </c>
      <c r="D80" s="71">
        <v>4.2519159999999996</v>
      </c>
      <c r="E80" s="71">
        <f t="shared" si="48"/>
        <v>4.3516679999999992</v>
      </c>
      <c r="F80" s="71">
        <v>44</v>
      </c>
      <c r="G80" s="71">
        <v>3.3814950000000001</v>
      </c>
      <c r="H80" s="19" t="s">
        <v>208</v>
      </c>
      <c r="I80" s="19"/>
      <c r="R80" s="133"/>
      <c r="S80" s="19" t="s">
        <v>210</v>
      </c>
      <c r="T80" s="71">
        <v>8.4150000000000003E-2</v>
      </c>
      <c r="U80" s="71">
        <v>3.4540519999999999</v>
      </c>
      <c r="V80" s="71">
        <f t="shared" si="49"/>
        <v>3.5382020000000001</v>
      </c>
      <c r="W80" s="71">
        <v>36</v>
      </c>
      <c r="X80" s="71">
        <v>1.419719</v>
      </c>
      <c r="Y80" s="19" t="s">
        <v>208</v>
      </c>
      <c r="Z80" s="19"/>
    </row>
    <row r="81" spans="1:26">
      <c r="A81" s="146" t="s">
        <v>232</v>
      </c>
      <c r="B81" s="72" t="s">
        <v>207</v>
      </c>
      <c r="C81" s="71">
        <v>0.111985</v>
      </c>
      <c r="D81" s="71">
        <v>3.4900899999999999</v>
      </c>
      <c r="E81" s="71">
        <f t="shared" ref="E81:E83" si="50">D81+C81</f>
        <v>3.6020750000000001</v>
      </c>
      <c r="F81" s="71">
        <v>36</v>
      </c>
      <c r="G81" s="71">
        <v>2.8413520000000001</v>
      </c>
      <c r="H81" s="19" t="s">
        <v>208</v>
      </c>
      <c r="I81" s="19"/>
      <c r="R81" s="133" t="s">
        <v>232</v>
      </c>
      <c r="S81" s="19" t="s">
        <v>207</v>
      </c>
      <c r="T81" s="71">
        <v>0.10459499999999999</v>
      </c>
      <c r="U81" s="71">
        <v>4.1382580000000004</v>
      </c>
      <c r="V81" s="71">
        <f t="shared" ref="V81:V83" si="51">U81+T81</f>
        <v>4.2428530000000002</v>
      </c>
      <c r="W81" s="71">
        <v>43</v>
      </c>
      <c r="X81" s="71">
        <v>3.2025999999999999</v>
      </c>
      <c r="Y81" s="19" t="s">
        <v>208</v>
      </c>
      <c r="Z81" s="19"/>
    </row>
    <row r="82" spans="1:26">
      <c r="A82" s="146"/>
      <c r="B82" s="72" t="s">
        <v>209</v>
      </c>
      <c r="C82" s="71">
        <v>0.11283</v>
      </c>
      <c r="D82" s="71">
        <v>4.1507009999999998</v>
      </c>
      <c r="E82" s="71">
        <f t="shared" si="50"/>
        <v>4.2635309999999995</v>
      </c>
      <c r="F82" s="71">
        <v>43</v>
      </c>
      <c r="G82" s="71">
        <v>3.2054619999999998</v>
      </c>
      <c r="H82" s="19" t="s">
        <v>208</v>
      </c>
      <c r="I82" s="19"/>
      <c r="R82" s="133"/>
      <c r="S82" s="19" t="s">
        <v>209</v>
      </c>
      <c r="T82" s="71">
        <v>0.10364900000000001</v>
      </c>
      <c r="U82" s="71">
        <v>3.5025529999999998</v>
      </c>
      <c r="V82" s="71">
        <f t="shared" si="51"/>
        <v>3.6062019999999997</v>
      </c>
      <c r="W82" s="71">
        <v>36</v>
      </c>
      <c r="X82" s="71">
        <v>2.841507</v>
      </c>
      <c r="Y82" s="19" t="s">
        <v>208</v>
      </c>
      <c r="Z82" s="19"/>
    </row>
    <row r="83" spans="1:26">
      <c r="A83" s="146"/>
      <c r="B83" s="72" t="s">
        <v>210</v>
      </c>
      <c r="C83" s="71">
        <v>9.9713999999999997E-2</v>
      </c>
      <c r="D83" s="71">
        <v>2.888582</v>
      </c>
      <c r="E83" s="71">
        <f t="shared" si="50"/>
        <v>2.9882960000000001</v>
      </c>
      <c r="F83" s="71">
        <v>30</v>
      </c>
      <c r="G83" s="71">
        <v>1.2822039999999999</v>
      </c>
      <c r="H83" s="19" t="s">
        <v>208</v>
      </c>
      <c r="I83" s="19"/>
      <c r="R83" s="133"/>
      <c r="S83" s="19" t="s">
        <v>210</v>
      </c>
      <c r="T83" s="71">
        <v>8.301E-2</v>
      </c>
      <c r="U83" s="71">
        <v>4.4480890000000004</v>
      </c>
      <c r="V83" s="71">
        <f t="shared" si="51"/>
        <v>4.5310990000000002</v>
      </c>
      <c r="W83" s="71">
        <v>46</v>
      </c>
      <c r="X83" s="71">
        <v>3.6550120000000001</v>
      </c>
      <c r="Y83" s="19" t="s">
        <v>208</v>
      </c>
      <c r="Z83" s="19"/>
    </row>
    <row r="84" spans="1:26">
      <c r="A84" s="146" t="s">
        <v>233</v>
      </c>
      <c r="B84" s="72" t="s">
        <v>207</v>
      </c>
      <c r="C84" s="71">
        <v>7.6813000000000006E-2</v>
      </c>
      <c r="D84" s="71">
        <v>3.495822</v>
      </c>
      <c r="E84" s="71">
        <f t="shared" ref="E84:E86" si="52">D84+C84</f>
        <v>3.572635</v>
      </c>
      <c r="F84" s="71">
        <v>37</v>
      </c>
      <c r="G84" s="71">
        <v>1.3877649999999999</v>
      </c>
      <c r="H84" s="19" t="s">
        <v>208</v>
      </c>
      <c r="I84" s="19"/>
      <c r="R84" s="133" t="s">
        <v>233</v>
      </c>
      <c r="S84" s="19" t="s">
        <v>207</v>
      </c>
      <c r="T84" s="71">
        <v>8.0633999999999997E-2</v>
      </c>
      <c r="U84" s="71">
        <v>4.0440500000000004</v>
      </c>
      <c r="V84" s="71">
        <f t="shared" ref="V84:V86" si="53">U84+T84</f>
        <v>4.1246840000000002</v>
      </c>
      <c r="W84" s="71">
        <v>42</v>
      </c>
      <c r="X84" s="71">
        <v>1.5723149999999999</v>
      </c>
      <c r="Y84" s="19" t="s">
        <v>208</v>
      </c>
      <c r="Z84" s="19"/>
    </row>
    <row r="85" spans="1:26">
      <c r="A85" s="146"/>
      <c r="B85" s="72" t="s">
        <v>209</v>
      </c>
      <c r="C85" s="71">
        <v>8.8619000000000003E-2</v>
      </c>
      <c r="D85" s="71">
        <v>4.7465330000000003</v>
      </c>
      <c r="E85" s="71">
        <f t="shared" si="52"/>
        <v>4.8351520000000008</v>
      </c>
      <c r="F85" s="71">
        <v>49</v>
      </c>
      <c r="G85" s="71">
        <v>1.568484</v>
      </c>
      <c r="H85" s="19" t="s">
        <v>208</v>
      </c>
      <c r="I85" s="19"/>
      <c r="R85" s="133"/>
      <c r="S85" s="19" t="s">
        <v>209</v>
      </c>
      <c r="T85" s="71">
        <v>9.6739000000000006E-2</v>
      </c>
      <c r="U85" s="71">
        <v>3.4547150000000002</v>
      </c>
      <c r="V85" s="71">
        <f t="shared" si="53"/>
        <v>3.5514540000000001</v>
      </c>
      <c r="W85" s="71">
        <v>36</v>
      </c>
      <c r="X85" s="71">
        <v>1.3869279999999999</v>
      </c>
      <c r="Y85" s="19" t="s">
        <v>208</v>
      </c>
      <c r="Z85" s="19"/>
    </row>
    <row r="86" spans="1:26">
      <c r="A86" s="146"/>
      <c r="B86" s="72" t="s">
        <v>210</v>
      </c>
      <c r="C86" s="71">
        <v>0.13490099999999999</v>
      </c>
      <c r="D86" s="71">
        <v>4.1489690000000001</v>
      </c>
      <c r="E86" s="71">
        <f t="shared" si="52"/>
        <v>4.2838700000000003</v>
      </c>
      <c r="F86" s="71">
        <v>43</v>
      </c>
      <c r="G86" s="71">
        <v>3.2026729999999999</v>
      </c>
      <c r="H86" s="19" t="s">
        <v>208</v>
      </c>
      <c r="I86" s="19"/>
      <c r="R86" s="133"/>
      <c r="S86" s="19" t="s">
        <v>210</v>
      </c>
      <c r="T86" s="71">
        <v>0.108586</v>
      </c>
      <c r="U86" s="71">
        <v>3.0575770000000002</v>
      </c>
      <c r="V86" s="71">
        <f t="shared" si="53"/>
        <v>3.1661630000000001</v>
      </c>
      <c r="W86" s="71">
        <v>32</v>
      </c>
      <c r="X86" s="71">
        <v>1.5148619999999999</v>
      </c>
      <c r="Y86" s="19" t="s">
        <v>208</v>
      </c>
      <c r="Z86" s="19"/>
    </row>
    <row r="87" spans="1:26">
      <c r="A87" s="146" t="s">
        <v>234</v>
      </c>
      <c r="B87" s="72" t="s">
        <v>207</v>
      </c>
      <c r="C87" s="71">
        <v>9.2055999999999999E-2</v>
      </c>
      <c r="D87" s="71">
        <v>4.0010510000000004</v>
      </c>
      <c r="E87" s="71">
        <f t="shared" ref="E87:E89" si="54">D87+C87</f>
        <v>4.0931070000000007</v>
      </c>
      <c r="F87" s="71">
        <v>42</v>
      </c>
      <c r="G87" s="71">
        <v>1.4142239999999999</v>
      </c>
      <c r="H87" s="19" t="s">
        <v>208</v>
      </c>
      <c r="I87" s="19"/>
      <c r="R87" s="133" t="s">
        <v>234</v>
      </c>
      <c r="S87" s="19" t="s">
        <v>207</v>
      </c>
      <c r="T87" s="71">
        <v>9.0396000000000004E-2</v>
      </c>
      <c r="U87" s="71">
        <v>4.5982070000000004</v>
      </c>
      <c r="V87" s="71">
        <f t="shared" ref="V87:V88" si="55">U87+T87</f>
        <v>4.6886030000000005</v>
      </c>
      <c r="W87" s="71">
        <v>48</v>
      </c>
      <c r="X87" s="71">
        <v>5.1453249999999997</v>
      </c>
      <c r="Y87" s="19" t="s">
        <v>208</v>
      </c>
      <c r="Z87" s="66" t="s">
        <v>242</v>
      </c>
    </row>
    <row r="88" spans="1:26">
      <c r="A88" s="146"/>
      <c r="B88" s="72" t="s">
        <v>209</v>
      </c>
      <c r="C88" s="71">
        <v>0.108099</v>
      </c>
      <c r="D88" s="71">
        <v>6.7976749999999999</v>
      </c>
      <c r="E88" s="71">
        <f t="shared" si="54"/>
        <v>6.9057740000000001</v>
      </c>
      <c r="F88" s="71">
        <v>35</v>
      </c>
      <c r="G88" s="71">
        <v>1.176075</v>
      </c>
      <c r="H88" s="19" t="s">
        <v>208</v>
      </c>
      <c r="I88" s="19"/>
      <c r="R88" s="133"/>
      <c r="S88" s="19" t="s">
        <v>209</v>
      </c>
      <c r="T88" s="71">
        <v>0.10190399999999999</v>
      </c>
      <c r="U88" s="71">
        <v>4.1003369999999997</v>
      </c>
      <c r="V88" s="71">
        <f t="shared" si="55"/>
        <v>4.2022409999999999</v>
      </c>
      <c r="W88" s="71">
        <v>43</v>
      </c>
      <c r="X88" s="71">
        <v>1.5161750000000001</v>
      </c>
      <c r="Y88" s="19" t="s">
        <v>208</v>
      </c>
      <c r="Z88" s="19"/>
    </row>
    <row r="89" spans="1:26" ht="14.4">
      <c r="A89" s="146"/>
      <c r="B89" s="72" t="s">
        <v>210</v>
      </c>
      <c r="C89" s="71">
        <v>0.126947</v>
      </c>
      <c r="D89" s="71">
        <v>4.7469640000000002</v>
      </c>
      <c r="E89" s="71">
        <f t="shared" si="54"/>
        <v>4.8739110000000005</v>
      </c>
      <c r="F89" s="71">
        <v>49</v>
      </c>
      <c r="G89" s="71">
        <v>2.8205870000000002</v>
      </c>
      <c r="H89" s="19" t="s">
        <v>208</v>
      </c>
      <c r="I89" s="19"/>
      <c r="R89" s="133"/>
      <c r="S89" s="19" t="s">
        <v>210</v>
      </c>
      <c r="T89" s="72" t="s">
        <v>58</v>
      </c>
      <c r="U89" s="72" t="s">
        <v>58</v>
      </c>
      <c r="V89" s="72" t="s">
        <v>58</v>
      </c>
      <c r="W89" s="72" t="s">
        <v>58</v>
      </c>
      <c r="X89" s="72" t="s">
        <v>58</v>
      </c>
      <c r="Y89" s="74" t="s">
        <v>219</v>
      </c>
      <c r="Z89" s="75" t="s">
        <v>220</v>
      </c>
    </row>
    <row r="90" spans="1:26">
      <c r="A90" s="146" t="s">
        <v>235</v>
      </c>
      <c r="B90" s="72" t="s">
        <v>207</v>
      </c>
      <c r="C90" s="71">
        <v>7.8836000000000003E-2</v>
      </c>
      <c r="D90" s="71">
        <v>3.653051</v>
      </c>
      <c r="E90" s="71">
        <f t="shared" ref="E90:E92" si="56">D90+C90</f>
        <v>3.731887</v>
      </c>
      <c r="F90" s="71">
        <v>38</v>
      </c>
      <c r="G90" s="71">
        <v>2.7288000000000001</v>
      </c>
      <c r="H90" s="19" t="s">
        <v>208</v>
      </c>
      <c r="I90" s="19"/>
      <c r="R90" s="133" t="s">
        <v>235</v>
      </c>
      <c r="S90" s="19" t="s">
        <v>207</v>
      </c>
      <c r="T90" s="71">
        <v>9.3727000000000005E-2</v>
      </c>
      <c r="U90" s="71">
        <v>3.9447230000000002</v>
      </c>
      <c r="V90" s="71">
        <f t="shared" ref="V90:V92" si="57">U90+T90</f>
        <v>4.0384500000000001</v>
      </c>
      <c r="W90" s="71">
        <v>41</v>
      </c>
      <c r="X90" s="71">
        <v>3.1484920000000001</v>
      </c>
      <c r="Y90" s="19" t="s">
        <v>208</v>
      </c>
      <c r="Z90" s="19"/>
    </row>
    <row r="91" spans="1:26">
      <c r="A91" s="146"/>
      <c r="B91" s="72" t="s">
        <v>209</v>
      </c>
      <c r="C91" s="71">
        <v>9.0588000000000002E-2</v>
      </c>
      <c r="D91" s="71">
        <v>3.9431340000000001</v>
      </c>
      <c r="E91" s="71">
        <f t="shared" si="56"/>
        <v>4.033722</v>
      </c>
      <c r="F91" s="71">
        <v>41</v>
      </c>
      <c r="G91" s="71">
        <v>3.1452740000000001</v>
      </c>
      <c r="H91" s="19" t="s">
        <v>208</v>
      </c>
      <c r="I91" s="19"/>
      <c r="R91" s="133"/>
      <c r="S91" s="19" t="s">
        <v>209</v>
      </c>
      <c r="T91" s="71">
        <v>9.8094000000000001E-2</v>
      </c>
      <c r="U91" s="71">
        <v>3.9507970000000001</v>
      </c>
      <c r="V91" s="71">
        <f t="shared" si="57"/>
        <v>4.0488910000000002</v>
      </c>
      <c r="W91" s="71">
        <v>41</v>
      </c>
      <c r="X91" s="71">
        <v>3.1453350000000002</v>
      </c>
      <c r="Y91" s="19" t="s">
        <v>208</v>
      </c>
      <c r="Z91" s="19"/>
    </row>
    <row r="92" spans="1:26">
      <c r="A92" s="146"/>
      <c r="B92" s="72" t="s">
        <v>210</v>
      </c>
      <c r="C92" s="71">
        <v>9.0878E-2</v>
      </c>
      <c r="D92" s="71">
        <v>4.6388829999999999</v>
      </c>
      <c r="E92" s="71">
        <f t="shared" si="56"/>
        <v>4.7297609999999999</v>
      </c>
      <c r="F92" s="71">
        <v>48</v>
      </c>
      <c r="G92" s="71">
        <v>5.149025</v>
      </c>
      <c r="H92" s="19" t="s">
        <v>208</v>
      </c>
      <c r="I92" s="19"/>
      <c r="R92" s="133"/>
      <c r="S92" s="19" t="s">
        <v>210</v>
      </c>
      <c r="T92" s="71">
        <v>0.10387299999999999</v>
      </c>
      <c r="U92" s="71">
        <v>3.6919620000000002</v>
      </c>
      <c r="V92" s="71">
        <f t="shared" si="57"/>
        <v>3.7958350000000003</v>
      </c>
      <c r="W92" s="71">
        <v>42</v>
      </c>
      <c r="X92" s="71">
        <v>3.2692260000000002</v>
      </c>
      <c r="Y92" s="19" t="s">
        <v>208</v>
      </c>
      <c r="Z92" s="19"/>
    </row>
    <row r="93" spans="1:26">
      <c r="A93" s="146" t="s">
        <v>236</v>
      </c>
      <c r="B93" s="72" t="s">
        <v>207</v>
      </c>
      <c r="C93" s="71">
        <v>0.104033</v>
      </c>
      <c r="D93" s="71">
        <v>2.9999769999999999</v>
      </c>
      <c r="E93" s="71">
        <f t="shared" ref="E93:E95" si="58">D93+C93</f>
        <v>3.1040099999999997</v>
      </c>
      <c r="F93" s="71">
        <v>32</v>
      </c>
      <c r="G93" s="71">
        <v>1.3300019999999999</v>
      </c>
      <c r="H93" s="19" t="s">
        <v>208</v>
      </c>
      <c r="I93" s="19"/>
      <c r="R93" s="133" t="s">
        <v>236</v>
      </c>
      <c r="S93" s="19" t="s">
        <v>207</v>
      </c>
      <c r="T93" s="71">
        <v>6.0090999999999999E-2</v>
      </c>
      <c r="U93" s="71">
        <v>2.9018660000000001</v>
      </c>
      <c r="V93" s="71">
        <f t="shared" ref="V93:V95" si="59">U93+T93</f>
        <v>2.961957</v>
      </c>
      <c r="W93" s="71">
        <v>30</v>
      </c>
      <c r="X93" s="71">
        <v>1.3278540000000001</v>
      </c>
      <c r="Y93" s="19" t="s">
        <v>208</v>
      </c>
      <c r="Z93" s="19"/>
    </row>
    <row r="94" spans="1:26">
      <c r="A94" s="146"/>
      <c r="B94" s="72" t="s">
        <v>209</v>
      </c>
      <c r="C94" s="71">
        <v>7.8516000000000002E-2</v>
      </c>
      <c r="D94" s="71">
        <v>2.8984809999999999</v>
      </c>
      <c r="E94" s="71">
        <f t="shared" si="58"/>
        <v>2.9769969999999999</v>
      </c>
      <c r="F94" s="71">
        <v>30</v>
      </c>
      <c r="G94" s="71">
        <v>1.326889</v>
      </c>
      <c r="H94" s="19" t="s">
        <v>208</v>
      </c>
      <c r="I94" s="19"/>
      <c r="R94" s="133"/>
      <c r="S94" s="19" t="s">
        <v>209</v>
      </c>
      <c r="T94" s="71">
        <v>7.9673999999999995E-2</v>
      </c>
      <c r="U94" s="71">
        <v>2.8890630000000002</v>
      </c>
      <c r="V94" s="71">
        <f t="shared" si="59"/>
        <v>2.968737</v>
      </c>
      <c r="W94" s="71">
        <v>30</v>
      </c>
      <c r="X94" s="71">
        <v>1.327172</v>
      </c>
      <c r="Y94" s="19" t="s">
        <v>208</v>
      </c>
      <c r="Z94" s="19"/>
    </row>
    <row r="95" spans="1:26">
      <c r="A95" s="146"/>
      <c r="B95" s="72" t="s">
        <v>210</v>
      </c>
      <c r="C95" s="71">
        <v>9.2440999999999995E-2</v>
      </c>
      <c r="D95" s="71">
        <v>3.9473940000000001</v>
      </c>
      <c r="E95" s="71">
        <f t="shared" si="58"/>
        <v>4.0398350000000001</v>
      </c>
      <c r="F95" s="71">
        <v>41</v>
      </c>
      <c r="G95" s="71">
        <v>3.1483629999999998</v>
      </c>
      <c r="H95" s="19" t="s">
        <v>208</v>
      </c>
      <c r="I95" s="19"/>
      <c r="R95" s="133"/>
      <c r="S95" s="19" t="s">
        <v>210</v>
      </c>
      <c r="T95" s="71">
        <v>7.6479000000000005E-2</v>
      </c>
      <c r="U95" s="71">
        <v>2.9106260000000002</v>
      </c>
      <c r="V95" s="71">
        <f t="shared" si="59"/>
        <v>2.9871050000000001</v>
      </c>
      <c r="W95" s="71">
        <v>30</v>
      </c>
      <c r="X95" s="71">
        <v>1.1859059999999999</v>
      </c>
      <c r="Y95" s="19" t="s">
        <v>208</v>
      </c>
      <c r="Z95" s="19"/>
    </row>
    <row r="96" spans="1:26">
      <c r="A96" s="146" t="s">
        <v>237</v>
      </c>
      <c r="B96" s="72" t="s">
        <v>207</v>
      </c>
      <c r="C96" s="71">
        <v>6.2141000000000002E-2</v>
      </c>
      <c r="D96" s="71">
        <v>3.198461</v>
      </c>
      <c r="E96" s="71">
        <f t="shared" ref="E96:E98" si="60">D96+C96</f>
        <v>3.260602</v>
      </c>
      <c r="F96" s="71">
        <v>34</v>
      </c>
      <c r="G96" s="71">
        <v>1.4883090000000001</v>
      </c>
      <c r="H96" s="19" t="s">
        <v>208</v>
      </c>
      <c r="I96" s="19"/>
      <c r="R96" s="133" t="s">
        <v>237</v>
      </c>
      <c r="S96" s="19" t="s">
        <v>207</v>
      </c>
      <c r="T96" s="71">
        <v>9.7425999999999999E-2</v>
      </c>
      <c r="U96" s="71">
        <v>4.63741</v>
      </c>
      <c r="V96" s="71">
        <f t="shared" ref="V96:V98" si="61">U96+T96</f>
        <v>4.7348359999999996</v>
      </c>
      <c r="W96" s="71">
        <v>48</v>
      </c>
      <c r="X96" s="71">
        <v>5.5643779999999996</v>
      </c>
      <c r="Y96" s="19" t="s">
        <v>208</v>
      </c>
      <c r="Z96" s="66" t="s">
        <v>242</v>
      </c>
    </row>
    <row r="97" spans="1:26">
      <c r="A97" s="146"/>
      <c r="B97" s="72" t="s">
        <v>209</v>
      </c>
      <c r="C97" s="71">
        <v>0.10868999999999999</v>
      </c>
      <c r="D97" s="71">
        <v>4.6403650000000001</v>
      </c>
      <c r="E97" s="71">
        <f t="shared" si="60"/>
        <v>4.7490550000000002</v>
      </c>
      <c r="F97" s="71">
        <v>48</v>
      </c>
      <c r="G97" s="71">
        <v>5.5551250000000003</v>
      </c>
      <c r="H97" s="19" t="s">
        <v>208</v>
      </c>
      <c r="I97" s="19"/>
      <c r="R97" s="133"/>
      <c r="S97" s="19" t="s">
        <v>209</v>
      </c>
      <c r="T97" s="71">
        <v>8.4308999999999995E-2</v>
      </c>
      <c r="U97" s="71">
        <v>4.6946399999999997</v>
      </c>
      <c r="V97" s="71">
        <f t="shared" si="61"/>
        <v>4.7789489999999999</v>
      </c>
      <c r="W97" s="71">
        <v>48</v>
      </c>
      <c r="X97" s="71">
        <v>5.5559969999999996</v>
      </c>
      <c r="Y97" s="19" t="s">
        <v>208</v>
      </c>
      <c r="Z97" s="72"/>
    </row>
    <row r="98" spans="1:26">
      <c r="A98" s="146"/>
      <c r="B98" s="72" t="s">
        <v>210</v>
      </c>
      <c r="C98" s="71">
        <v>7.9561000000000007E-2</v>
      </c>
      <c r="D98" s="71">
        <v>2.94001</v>
      </c>
      <c r="E98" s="71">
        <f t="shared" si="60"/>
        <v>3.019571</v>
      </c>
      <c r="F98" s="71">
        <v>31</v>
      </c>
      <c r="G98" s="71">
        <v>1.3288629999999999</v>
      </c>
      <c r="H98" s="19" t="s">
        <v>208</v>
      </c>
      <c r="I98" s="19"/>
      <c r="R98" s="133"/>
      <c r="S98" s="19" t="s">
        <v>210</v>
      </c>
      <c r="T98" s="71">
        <v>0.113443</v>
      </c>
      <c r="U98" s="71">
        <v>4.1992669999999999</v>
      </c>
      <c r="V98" s="71">
        <f t="shared" si="61"/>
        <v>4.31271</v>
      </c>
      <c r="W98" s="71">
        <v>44</v>
      </c>
      <c r="X98" s="71">
        <v>3.003552</v>
      </c>
      <c r="Y98" s="19" t="s">
        <v>208</v>
      </c>
      <c r="Z98" s="19"/>
    </row>
    <row r="99" spans="1:26">
      <c r="A99" s="146" t="s">
        <v>151</v>
      </c>
      <c r="B99" s="72" t="s">
        <v>207</v>
      </c>
      <c r="C99" s="71">
        <v>9.2563999999999994E-2</v>
      </c>
      <c r="D99" s="71">
        <v>4.849729</v>
      </c>
      <c r="E99" s="71">
        <f t="shared" ref="E99:E101" si="62">D99+C99</f>
        <v>4.9422930000000003</v>
      </c>
      <c r="F99" s="71">
        <v>50</v>
      </c>
      <c r="G99" s="71">
        <v>3.5575230000000002</v>
      </c>
      <c r="H99" s="19" t="s">
        <v>208</v>
      </c>
      <c r="I99" s="19"/>
      <c r="R99" s="133" t="s">
        <v>151</v>
      </c>
      <c r="S99" s="19" t="s">
        <v>207</v>
      </c>
      <c r="T99" s="71">
        <v>0.108043</v>
      </c>
      <c r="U99" s="71">
        <v>4.364185</v>
      </c>
      <c r="V99" s="71">
        <f t="shared" ref="V99:V101" si="63">U99+T99</f>
        <v>4.4722280000000003</v>
      </c>
      <c r="W99" s="71">
        <v>45</v>
      </c>
      <c r="X99" s="71">
        <v>2.6367370000000001</v>
      </c>
      <c r="Y99" s="19" t="s">
        <v>208</v>
      </c>
      <c r="Z99" s="19"/>
    </row>
    <row r="100" spans="1:26">
      <c r="A100" s="146"/>
      <c r="B100" s="72" t="s">
        <v>209</v>
      </c>
      <c r="C100" s="71">
        <v>9.5992999999999995E-2</v>
      </c>
      <c r="D100" s="71">
        <v>5.9331519999999998</v>
      </c>
      <c r="E100" s="71">
        <f t="shared" si="62"/>
        <v>6.0291449999999998</v>
      </c>
      <c r="F100" s="71">
        <v>61</v>
      </c>
      <c r="G100" s="71">
        <v>7.7588270000000001</v>
      </c>
      <c r="H100" s="19" t="s">
        <v>208</v>
      </c>
      <c r="I100" s="66" t="s">
        <v>242</v>
      </c>
      <c r="R100" s="133"/>
      <c r="S100" s="19" t="s">
        <v>209</v>
      </c>
      <c r="T100" s="56">
        <v>7.4256000000000003E-2</v>
      </c>
      <c r="U100" s="56">
        <v>3.7385540000000002</v>
      </c>
      <c r="V100" s="56">
        <f t="shared" si="63"/>
        <v>3.8128100000000003</v>
      </c>
      <c r="W100" s="56">
        <v>47</v>
      </c>
      <c r="X100" s="56">
        <v>2.8558180000000002</v>
      </c>
      <c r="Y100" s="19" t="s">
        <v>208</v>
      </c>
      <c r="Z100" s="19"/>
    </row>
    <row r="101" spans="1:26">
      <c r="A101" s="146"/>
      <c r="B101" s="72" t="s">
        <v>210</v>
      </c>
      <c r="C101" s="71">
        <v>0.104474</v>
      </c>
      <c r="D101" s="71">
        <v>4.6362709999999998</v>
      </c>
      <c r="E101" s="71">
        <f t="shared" si="62"/>
        <v>4.7407449999999995</v>
      </c>
      <c r="F101" s="71">
        <v>48</v>
      </c>
      <c r="G101" s="71">
        <v>5.5638170000000002</v>
      </c>
      <c r="H101" s="19" t="s">
        <v>208</v>
      </c>
      <c r="I101" s="66" t="s">
        <v>242</v>
      </c>
      <c r="R101" s="133"/>
      <c r="S101" s="19" t="s">
        <v>210</v>
      </c>
      <c r="T101" s="71">
        <v>0.125499</v>
      </c>
      <c r="U101" s="71">
        <v>4.1993549999999997</v>
      </c>
      <c r="V101" s="71">
        <f t="shared" si="63"/>
        <v>4.3248539999999993</v>
      </c>
      <c r="W101" s="71">
        <v>44</v>
      </c>
      <c r="X101" s="71">
        <v>3.2055370000000001</v>
      </c>
      <c r="Y101" s="19" t="s">
        <v>208</v>
      </c>
      <c r="Z101" s="19"/>
    </row>
    <row r="102" spans="1:26">
      <c r="A102" s="146" t="s">
        <v>238</v>
      </c>
      <c r="B102" s="72" t="s">
        <v>207</v>
      </c>
      <c r="C102" s="71">
        <v>7.5858999999999996E-2</v>
      </c>
      <c r="D102" s="71">
        <v>3.6984849999999998</v>
      </c>
      <c r="E102" s="71">
        <f t="shared" ref="E102" si="64">D102+C102</f>
        <v>3.7743439999999997</v>
      </c>
      <c r="F102" s="71">
        <v>35</v>
      </c>
      <c r="G102" s="71">
        <v>1.753949</v>
      </c>
      <c r="H102" s="19" t="s">
        <v>208</v>
      </c>
      <c r="I102" s="19"/>
      <c r="R102" s="133" t="s">
        <v>238</v>
      </c>
      <c r="S102" s="19" t="s">
        <v>207</v>
      </c>
      <c r="T102" s="71">
        <v>8.5417999999999994E-2</v>
      </c>
      <c r="U102" s="71">
        <v>3.6988599999999998</v>
      </c>
      <c r="V102" s="71">
        <f>U102+T102</f>
        <v>3.7842779999999996</v>
      </c>
      <c r="W102" s="71">
        <v>39</v>
      </c>
      <c r="X102" s="71">
        <v>2.254788</v>
      </c>
      <c r="Y102" s="19" t="s">
        <v>208</v>
      </c>
      <c r="Z102" s="19"/>
    </row>
    <row r="103" spans="1:26">
      <c r="A103" s="146"/>
      <c r="B103" s="72" t="s">
        <v>209</v>
      </c>
      <c r="C103" s="71">
        <v>9.0151999999999996E-2</v>
      </c>
      <c r="D103" s="71">
        <v>3.7480180000000001</v>
      </c>
      <c r="E103" s="71">
        <f>D103+C103</f>
        <v>3.8381699999999999</v>
      </c>
      <c r="F103" s="71">
        <v>39</v>
      </c>
      <c r="G103" s="71">
        <v>2.2557040000000002</v>
      </c>
      <c r="H103" s="19" t="s">
        <v>208</v>
      </c>
      <c r="I103" s="19"/>
      <c r="R103" s="133"/>
      <c r="S103" s="19" t="s">
        <v>209</v>
      </c>
      <c r="T103" s="71">
        <v>7.7323000000000003E-2</v>
      </c>
      <c r="U103" s="71">
        <v>3.7011669999999999</v>
      </c>
      <c r="V103" s="71">
        <f t="shared" ref="V103:V104" si="65">U103+T103</f>
        <v>3.7784899999999997</v>
      </c>
      <c r="W103" s="71">
        <v>39</v>
      </c>
      <c r="X103" s="71">
        <v>2.2540819999999999</v>
      </c>
      <c r="Y103" s="19" t="s">
        <v>208</v>
      </c>
      <c r="Z103" s="19"/>
    </row>
    <row r="104" spans="1:26">
      <c r="A104" s="146"/>
      <c r="B104" s="72" t="s">
        <v>210</v>
      </c>
      <c r="C104" s="71">
        <v>7.7854000000000007E-2</v>
      </c>
      <c r="D104" s="71">
        <v>3.681041</v>
      </c>
      <c r="E104" s="71">
        <f t="shared" ref="E104" si="66">D104+C104</f>
        <v>3.7588949999999999</v>
      </c>
      <c r="F104" s="71">
        <v>39</v>
      </c>
      <c r="G104" s="71">
        <v>2.2549009999999998</v>
      </c>
      <c r="H104" s="19" t="s">
        <v>208</v>
      </c>
      <c r="I104" s="19"/>
      <c r="R104" s="133"/>
      <c r="S104" s="19" t="s">
        <v>210</v>
      </c>
      <c r="T104" s="71">
        <v>0.11122700000000001</v>
      </c>
      <c r="U104" s="71">
        <v>2.9645510000000002</v>
      </c>
      <c r="V104" s="71">
        <f t="shared" si="65"/>
        <v>3.0757780000000001</v>
      </c>
      <c r="W104" s="71">
        <v>55</v>
      </c>
      <c r="X104" s="71">
        <v>2.2110820000000002</v>
      </c>
      <c r="Y104" s="19" t="s">
        <v>208</v>
      </c>
      <c r="Z104" s="19"/>
    </row>
    <row r="105" spans="1:26">
      <c r="A105" s="146" t="s">
        <v>239</v>
      </c>
      <c r="B105" s="72" t="s">
        <v>207</v>
      </c>
      <c r="C105" s="71">
        <v>0.110427</v>
      </c>
      <c r="D105" s="71">
        <v>3.4507300000000001</v>
      </c>
      <c r="E105" s="71">
        <f t="shared" ref="E105:E107" si="67">D105+C105</f>
        <v>3.5611570000000001</v>
      </c>
      <c r="F105" s="71">
        <v>36</v>
      </c>
      <c r="G105" s="71">
        <v>1.418887</v>
      </c>
      <c r="H105" s="19" t="s">
        <v>208</v>
      </c>
      <c r="I105" s="19"/>
      <c r="R105" s="133" t="s">
        <v>239</v>
      </c>
      <c r="S105" s="19" t="s">
        <v>207</v>
      </c>
      <c r="T105" s="71">
        <v>8.3032999999999996E-2</v>
      </c>
      <c r="U105" s="71">
        <v>3.4453520000000002</v>
      </c>
      <c r="V105" s="71">
        <f t="shared" ref="V105:V107" si="68">U105+T105</f>
        <v>3.5283850000000001</v>
      </c>
      <c r="W105" s="71">
        <v>36</v>
      </c>
      <c r="X105" s="71">
        <v>1.418558</v>
      </c>
      <c r="Y105" s="19" t="s">
        <v>208</v>
      </c>
      <c r="Z105" s="19"/>
    </row>
    <row r="106" spans="1:26">
      <c r="A106" s="146"/>
      <c r="B106" s="72" t="s">
        <v>209</v>
      </c>
      <c r="C106" s="71">
        <v>8.0433000000000004E-2</v>
      </c>
      <c r="D106" s="71">
        <v>3.4524889999999999</v>
      </c>
      <c r="E106" s="71">
        <f t="shared" si="67"/>
        <v>3.5329220000000001</v>
      </c>
      <c r="F106" s="71">
        <v>36</v>
      </c>
      <c r="G106" s="71">
        <v>1.416938</v>
      </c>
      <c r="H106" s="19" t="s">
        <v>208</v>
      </c>
      <c r="I106" s="19"/>
      <c r="R106" s="133"/>
      <c r="S106" s="19" t="s">
        <v>209</v>
      </c>
      <c r="T106" s="71">
        <v>7.7036999999999994E-2</v>
      </c>
      <c r="U106" s="71">
        <v>3.4500099999999998</v>
      </c>
      <c r="V106" s="71">
        <f t="shared" si="68"/>
        <v>3.5270469999999996</v>
      </c>
      <c r="W106" s="71">
        <v>36</v>
      </c>
      <c r="X106" s="71">
        <v>1.419168</v>
      </c>
      <c r="Y106" s="19" t="s">
        <v>208</v>
      </c>
      <c r="Z106" s="19"/>
    </row>
    <row r="107" spans="1:26">
      <c r="A107" s="146"/>
      <c r="B107" s="72" t="s">
        <v>210</v>
      </c>
      <c r="C107" s="71">
        <v>7.7095999999999998E-2</v>
      </c>
      <c r="D107" s="71">
        <v>3.4387989999999999</v>
      </c>
      <c r="E107" s="71">
        <f t="shared" si="67"/>
        <v>3.515895</v>
      </c>
      <c r="F107" s="71">
        <v>36</v>
      </c>
      <c r="G107" s="71">
        <v>1.4190339999999999</v>
      </c>
      <c r="H107" s="19" t="s">
        <v>208</v>
      </c>
      <c r="I107" s="19"/>
      <c r="R107" s="133"/>
      <c r="S107" s="19" t="s">
        <v>210</v>
      </c>
      <c r="T107" s="71">
        <v>0.12146999999999999</v>
      </c>
      <c r="U107" s="71">
        <v>3.0378620000000001</v>
      </c>
      <c r="V107" s="71">
        <f t="shared" si="68"/>
        <v>3.159332</v>
      </c>
      <c r="W107" s="71">
        <v>34</v>
      </c>
      <c r="X107" s="71">
        <v>1.3890039999999999</v>
      </c>
      <c r="Y107" s="19" t="s">
        <v>208</v>
      </c>
      <c r="Z107" s="19"/>
    </row>
    <row r="109" spans="1:26">
      <c r="A109" s="148" t="s">
        <v>243</v>
      </c>
      <c r="B109" s="148"/>
      <c r="C109" s="148"/>
      <c r="D109" s="148"/>
      <c r="E109" s="148"/>
      <c r="F109" s="148"/>
      <c r="G109" s="148"/>
      <c r="H109" s="148"/>
      <c r="I109" s="59"/>
      <c r="J109" s="68"/>
    </row>
    <row r="110" spans="1:26" ht="55.2">
      <c r="A110" s="23" t="s">
        <v>37</v>
      </c>
      <c r="B110" s="23" t="s">
        <v>198</v>
      </c>
      <c r="C110" s="23" t="s">
        <v>199</v>
      </c>
      <c r="D110" s="23" t="s">
        <v>200</v>
      </c>
      <c r="E110" s="23" t="s">
        <v>201</v>
      </c>
      <c r="F110" s="23" t="s">
        <v>202</v>
      </c>
      <c r="G110" s="23" t="s">
        <v>203</v>
      </c>
      <c r="H110" s="23" t="s">
        <v>204</v>
      </c>
      <c r="I110" s="65" t="s">
        <v>46</v>
      </c>
      <c r="J110" s="69"/>
    </row>
    <row r="111" spans="1:26">
      <c r="A111" s="146" t="s">
        <v>206</v>
      </c>
      <c r="B111" s="72" t="s">
        <v>207</v>
      </c>
      <c r="C111" s="56">
        <v>8.9686000000000002E-2</v>
      </c>
      <c r="D111" s="56">
        <v>4.2369870000000001</v>
      </c>
      <c r="E111" s="56">
        <f>C111+D111</f>
        <v>4.3266730000000004</v>
      </c>
      <c r="F111" s="56">
        <v>44</v>
      </c>
      <c r="G111" s="56">
        <v>2.4609369999999999</v>
      </c>
      <c r="H111" s="72" t="s">
        <v>208</v>
      </c>
      <c r="I111" s="19"/>
    </row>
    <row r="112" spans="1:26">
      <c r="A112" s="146"/>
      <c r="B112" s="72" t="s">
        <v>209</v>
      </c>
      <c r="C112" s="56">
        <v>8.2460000000000006E-2</v>
      </c>
      <c r="D112" s="56">
        <v>3.6964320000000002</v>
      </c>
      <c r="E112" s="56">
        <f t="shared" ref="E112:E113" si="69">D112+C112</f>
        <v>3.7788920000000004</v>
      </c>
      <c r="F112" s="56">
        <v>39</v>
      </c>
      <c r="G112" s="56">
        <v>2.2547069999999998</v>
      </c>
      <c r="H112" s="72" t="s">
        <v>208</v>
      </c>
      <c r="I112" s="19"/>
    </row>
    <row r="113" spans="1:16">
      <c r="A113" s="146"/>
      <c r="B113" s="72" t="s">
        <v>210</v>
      </c>
      <c r="C113" s="56">
        <v>7.4256000000000003E-2</v>
      </c>
      <c r="D113" s="56">
        <v>3.7385540000000002</v>
      </c>
      <c r="E113" s="56">
        <f t="shared" si="69"/>
        <v>3.8128100000000003</v>
      </c>
      <c r="F113" s="56">
        <v>39</v>
      </c>
      <c r="G113" s="56">
        <v>2.2558180000000001</v>
      </c>
      <c r="H113" s="72" t="s">
        <v>208</v>
      </c>
      <c r="I113" s="19"/>
    </row>
    <row r="114" spans="1:16">
      <c r="A114" s="146" t="s">
        <v>211</v>
      </c>
      <c r="B114" s="72" t="s">
        <v>207</v>
      </c>
      <c r="C114" s="56">
        <v>7.5212000000000001E-2</v>
      </c>
      <c r="D114" s="56">
        <v>3.508175</v>
      </c>
      <c r="E114" s="56">
        <f t="shared" ref="E114" si="70">C114+D114</f>
        <v>3.5833870000000001</v>
      </c>
      <c r="F114" s="56">
        <v>36</v>
      </c>
      <c r="G114" s="56">
        <v>1.2155739999999999</v>
      </c>
      <c r="H114" s="72" t="s">
        <v>208</v>
      </c>
      <c r="I114" s="19"/>
    </row>
    <row r="115" spans="1:16">
      <c r="A115" s="146"/>
      <c r="B115" s="72" t="s">
        <v>209</v>
      </c>
      <c r="C115" s="56">
        <v>8.7818999999999994E-2</v>
      </c>
      <c r="D115" s="56">
        <v>3.4582579999999998</v>
      </c>
      <c r="E115" s="56">
        <f t="shared" ref="E115" si="71">D115+C115</f>
        <v>3.5460769999999999</v>
      </c>
      <c r="F115" s="56">
        <v>36</v>
      </c>
      <c r="G115" s="56">
        <v>1.420021</v>
      </c>
      <c r="H115" s="72" t="s">
        <v>208</v>
      </c>
      <c r="I115" s="19"/>
    </row>
    <row r="116" spans="1:16">
      <c r="A116" s="146"/>
      <c r="B116" s="72" t="s">
        <v>210</v>
      </c>
      <c r="C116" s="56">
        <v>0.122015</v>
      </c>
      <c r="D116" s="56">
        <v>3.7471450000000002</v>
      </c>
      <c r="E116" s="56">
        <f>D116+C116</f>
        <v>3.8691600000000004</v>
      </c>
      <c r="F116" s="56">
        <v>39</v>
      </c>
      <c r="G116" s="56">
        <v>2.375162</v>
      </c>
      <c r="H116" s="72" t="s">
        <v>208</v>
      </c>
      <c r="I116" s="19"/>
    </row>
    <row r="117" spans="1:16" ht="41.4">
      <c r="A117" s="146" t="s">
        <v>214</v>
      </c>
      <c r="B117" s="72" t="s">
        <v>207</v>
      </c>
      <c r="C117" s="56">
        <v>8.4127999999999994E-2</v>
      </c>
      <c r="D117" s="56">
        <v>3.703592</v>
      </c>
      <c r="E117" s="56">
        <f t="shared" ref="E117" si="72">C117+D117</f>
        <v>3.7877200000000002</v>
      </c>
      <c r="F117" s="56">
        <v>39</v>
      </c>
      <c r="G117" s="56">
        <v>2.2556020000000001</v>
      </c>
      <c r="H117" s="72" t="s">
        <v>208</v>
      </c>
      <c r="I117" s="19"/>
      <c r="K117" s="70"/>
      <c r="L117" s="3" t="s">
        <v>223</v>
      </c>
      <c r="M117" s="3" t="s">
        <v>224</v>
      </c>
      <c r="N117" s="3" t="s">
        <v>225</v>
      </c>
      <c r="O117" s="3" t="s">
        <v>228</v>
      </c>
      <c r="P117" s="3" t="s">
        <v>229</v>
      </c>
    </row>
    <row r="118" spans="1:16">
      <c r="A118" s="146"/>
      <c r="B118" s="72" t="s">
        <v>209</v>
      </c>
      <c r="C118" s="56">
        <v>9.6407999999999994E-2</v>
      </c>
      <c r="D118" s="56">
        <v>4.4321700000000002</v>
      </c>
      <c r="E118" s="56">
        <f t="shared" ref="E118:E119" si="73">D118+C118</f>
        <v>4.5285780000000004</v>
      </c>
      <c r="F118" s="56">
        <v>46</v>
      </c>
      <c r="G118" s="56">
        <v>3.652101</v>
      </c>
      <c r="H118" s="72" t="s">
        <v>208</v>
      </c>
      <c r="I118" s="19"/>
      <c r="K118" s="73" t="s">
        <v>207</v>
      </c>
      <c r="L118" s="64">
        <f>AVERAGEIF(B111:B161,"RRTConnect",C111:C161)</f>
        <v>8.4078882352941184E-2</v>
      </c>
      <c r="M118" s="64">
        <f>AVERAGEIF(B111:B161,"RRTConnect",D111:D161)</f>
        <v>3.5459391764705877</v>
      </c>
      <c r="N118" s="64">
        <f>AVERAGEIF(B111:B161,"RRTConnect",E111:E161)</f>
        <v>3.6300180588235293</v>
      </c>
      <c r="O118" s="76">
        <f>AVERAGEIF(B111:B161,"RRTConnect",F111:F161)</f>
        <v>36.529411764705884</v>
      </c>
      <c r="P118" s="76">
        <f>AVERAGEIF(B111:B161,"RRTConnect",G111:G161)</f>
        <v>1.9650757058823534</v>
      </c>
    </row>
    <row r="119" spans="1:16">
      <c r="A119" s="146"/>
      <c r="B119" s="72" t="s">
        <v>210</v>
      </c>
      <c r="C119" s="56">
        <v>8.3905999999999994E-2</v>
      </c>
      <c r="D119" s="56">
        <v>4.5035590000000001</v>
      </c>
      <c r="E119" s="56">
        <f t="shared" si="73"/>
        <v>4.5874649999999999</v>
      </c>
      <c r="F119" s="56">
        <v>47</v>
      </c>
      <c r="G119" s="56">
        <v>3.9168539999999998</v>
      </c>
      <c r="H119" s="72" t="s">
        <v>208</v>
      </c>
      <c r="I119" s="19"/>
      <c r="K119" s="73" t="s">
        <v>209</v>
      </c>
      <c r="L119" s="76">
        <f>AVERAGEIF(B111:B161,"RRTstar",C111:C161)</f>
        <v>8.3972466666666662E-2</v>
      </c>
      <c r="M119" s="76">
        <f>AVERAGEIF(B111:B161,"RRTstar",D111:D161)</f>
        <v>3.4613120666666664</v>
      </c>
      <c r="N119" s="76">
        <f>AVERAGEIF(B111:B161,"RRTstar",E111:E161)</f>
        <v>3.5452845333333327</v>
      </c>
      <c r="O119" s="64">
        <f>AVERAGEIF(B111:B161,"RRTstar",F111:F161)</f>
        <v>37.799999999999997</v>
      </c>
      <c r="P119" s="64">
        <f>AVERAGEIF(B111:B161,"RRTstar",G111:G161)</f>
        <v>2.0054156666666669</v>
      </c>
    </row>
    <row r="120" spans="1:16">
      <c r="A120" s="146" t="s">
        <v>218</v>
      </c>
      <c r="B120" s="72" t="s">
        <v>207</v>
      </c>
      <c r="C120" s="56">
        <v>7.5544E-2</v>
      </c>
      <c r="D120" s="56">
        <v>3.4442469999999998</v>
      </c>
      <c r="E120" s="56">
        <f t="shared" ref="E120" si="74">C120+D120</f>
        <v>3.5197909999999997</v>
      </c>
      <c r="F120" s="56">
        <v>36</v>
      </c>
      <c r="G120" s="56">
        <v>1.4188810000000001</v>
      </c>
      <c r="H120" s="72" t="s">
        <v>208</v>
      </c>
      <c r="I120" s="19"/>
      <c r="K120" s="73" t="s">
        <v>210</v>
      </c>
      <c r="L120" s="64">
        <f>AVERAGEIF(B111:B161,"PRMstar",C111:C161)</f>
        <v>8.7770666666666677E-2</v>
      </c>
      <c r="M120" s="64">
        <f>AVERAGEIF(B111:B161,"PRMstar",D111:D161)</f>
        <v>3.6535465333333335</v>
      </c>
      <c r="N120" s="64">
        <f>AVERAGEIF(B111:B161,"PRMstar",E111:E161)</f>
        <v>3.7413172000000001</v>
      </c>
      <c r="O120" s="64">
        <f>AVERAGEIF(B111:B161,"PRMstar",F111:F161)</f>
        <v>37.866666666666667</v>
      </c>
      <c r="P120" s="64">
        <f>AVERAGEIF(B111:B161,"PRMstar",G111:G161)</f>
        <v>2.3711265999999993</v>
      </c>
    </row>
    <row r="121" spans="1:16">
      <c r="A121" s="146"/>
      <c r="B121" s="72" t="s">
        <v>209</v>
      </c>
      <c r="C121" s="56">
        <v>7.9685000000000006E-2</v>
      </c>
      <c r="D121" s="56">
        <v>3.0450219999999999</v>
      </c>
      <c r="E121" s="56">
        <f t="shared" ref="E121:E122" si="75">D121+C121</f>
        <v>3.1247069999999999</v>
      </c>
      <c r="F121" s="56">
        <v>32</v>
      </c>
      <c r="G121" s="56">
        <v>1.511101</v>
      </c>
      <c r="H121" s="72" t="s">
        <v>208</v>
      </c>
      <c r="I121" s="19"/>
    </row>
    <row r="122" spans="1:16">
      <c r="A122" s="146"/>
      <c r="B122" s="72" t="s">
        <v>210</v>
      </c>
      <c r="C122" s="56">
        <v>8.4392999999999996E-2</v>
      </c>
      <c r="D122" s="56">
        <v>2.8923930000000002</v>
      </c>
      <c r="E122" s="56">
        <f t="shared" si="75"/>
        <v>2.9767860000000002</v>
      </c>
      <c r="F122" s="56">
        <v>30</v>
      </c>
      <c r="G122" s="56">
        <v>1.282419</v>
      </c>
      <c r="H122" s="72" t="s">
        <v>208</v>
      </c>
      <c r="I122" s="19"/>
    </row>
    <row r="123" spans="1:16">
      <c r="A123" s="146" t="s">
        <v>221</v>
      </c>
      <c r="B123" s="72" t="s">
        <v>207</v>
      </c>
      <c r="C123" s="56">
        <v>7.9338000000000006E-2</v>
      </c>
      <c r="D123" s="56">
        <v>3.7579009999999999</v>
      </c>
      <c r="E123" s="56">
        <f t="shared" ref="E123" si="76">C123+D123</f>
        <v>3.8372389999999998</v>
      </c>
      <c r="F123" s="56">
        <v>39</v>
      </c>
      <c r="G123" s="56">
        <v>2.3773460000000002</v>
      </c>
      <c r="H123" s="72" t="s">
        <v>208</v>
      </c>
      <c r="I123" s="19"/>
    </row>
    <row r="124" spans="1:16">
      <c r="A124" s="146"/>
      <c r="B124" s="72" t="s">
        <v>209</v>
      </c>
      <c r="C124" s="56">
        <v>8.8372000000000006E-2</v>
      </c>
      <c r="D124" s="56">
        <v>3.9476149999999999</v>
      </c>
      <c r="E124" s="56">
        <f t="shared" ref="E124:E125" si="77">D124+C124</f>
        <v>4.0359869999999995</v>
      </c>
      <c r="F124" s="56">
        <v>41</v>
      </c>
      <c r="G124" s="56">
        <v>2.2802699999999998</v>
      </c>
      <c r="H124" s="72" t="s">
        <v>208</v>
      </c>
      <c r="I124" s="19"/>
    </row>
    <row r="125" spans="1:16">
      <c r="A125" s="146"/>
      <c r="B125" s="72" t="s">
        <v>210</v>
      </c>
      <c r="C125" s="56">
        <v>7.7854000000000007E-2</v>
      </c>
      <c r="D125" s="56">
        <v>3.681041</v>
      </c>
      <c r="E125" s="56">
        <f t="shared" si="77"/>
        <v>3.7588949999999999</v>
      </c>
      <c r="F125" s="56">
        <v>39</v>
      </c>
      <c r="G125" s="56">
        <v>2.2549009999999998</v>
      </c>
      <c r="H125" s="72" t="s">
        <v>208</v>
      </c>
      <c r="I125" s="19"/>
    </row>
    <row r="126" spans="1:16">
      <c r="A126" s="146" t="s">
        <v>222</v>
      </c>
      <c r="B126" s="72" t="s">
        <v>207</v>
      </c>
      <c r="C126" s="56">
        <v>7.5532000000000002E-2</v>
      </c>
      <c r="D126" s="56">
        <v>3.1047739999999999</v>
      </c>
      <c r="E126" s="56">
        <f t="shared" ref="E126" si="78">C126+D126</f>
        <v>3.1803059999999999</v>
      </c>
      <c r="F126" s="56">
        <v>32</v>
      </c>
      <c r="G126" s="56">
        <v>1.513317</v>
      </c>
      <c r="H126" s="72" t="s">
        <v>208</v>
      </c>
      <c r="I126" s="19"/>
    </row>
    <row r="127" spans="1:16">
      <c r="A127" s="146"/>
      <c r="B127" s="72" t="s">
        <v>209</v>
      </c>
      <c r="C127" s="56">
        <v>8.0296999999999993E-2</v>
      </c>
      <c r="D127" s="56">
        <v>2.8978510000000002</v>
      </c>
      <c r="E127" s="56">
        <f t="shared" ref="E127:E128" si="79">D127+C127</f>
        <v>2.978148</v>
      </c>
      <c r="F127" s="56">
        <v>30</v>
      </c>
      <c r="G127" s="56">
        <v>1.183419</v>
      </c>
      <c r="H127" s="72" t="s">
        <v>208</v>
      </c>
      <c r="I127" s="19"/>
    </row>
    <row r="128" spans="1:16">
      <c r="A128" s="146"/>
      <c r="B128" s="72" t="s">
        <v>210</v>
      </c>
      <c r="C128" s="63">
        <v>7.6033000000000003E-2</v>
      </c>
      <c r="D128" s="63">
        <v>2.893637</v>
      </c>
      <c r="E128" s="63">
        <f t="shared" si="79"/>
        <v>2.9696699999999998</v>
      </c>
      <c r="F128" s="56">
        <v>30</v>
      </c>
      <c r="G128" s="63">
        <v>1.1842550000000001</v>
      </c>
      <c r="H128" s="72" t="s">
        <v>208</v>
      </c>
      <c r="I128" s="19"/>
    </row>
    <row r="129" spans="1:9">
      <c r="A129" s="146" t="s">
        <v>230</v>
      </c>
      <c r="B129" s="72" t="s">
        <v>207</v>
      </c>
      <c r="C129" s="56">
        <v>0.104755</v>
      </c>
      <c r="D129" s="56">
        <v>4.2402189999999997</v>
      </c>
      <c r="E129" s="56">
        <f t="shared" ref="E129" si="80">C129+D129</f>
        <v>4.3449739999999997</v>
      </c>
      <c r="F129" s="56">
        <v>44</v>
      </c>
      <c r="G129" s="56">
        <v>3.3808660000000001</v>
      </c>
      <c r="H129" s="72" t="s">
        <v>208</v>
      </c>
      <c r="I129" s="19"/>
    </row>
    <row r="130" spans="1:9">
      <c r="A130" s="146"/>
      <c r="B130" s="72" t="s">
        <v>209</v>
      </c>
      <c r="C130" s="56">
        <v>8.0296999999999993E-2</v>
      </c>
      <c r="D130" s="56">
        <v>2.8978510000000002</v>
      </c>
      <c r="E130" s="56">
        <f t="shared" ref="E130:E131" si="81">D130+C130</f>
        <v>2.978148</v>
      </c>
      <c r="F130" s="56">
        <v>30</v>
      </c>
      <c r="G130" s="56">
        <v>1.183419</v>
      </c>
      <c r="H130" s="72" t="s">
        <v>208</v>
      </c>
      <c r="I130" s="19"/>
    </row>
    <row r="131" spans="1:9">
      <c r="A131" s="146"/>
      <c r="B131" s="72" t="s">
        <v>210</v>
      </c>
      <c r="C131" s="63">
        <v>6.9603999999999999E-2</v>
      </c>
      <c r="D131" s="63">
        <v>3.6481789999999998</v>
      </c>
      <c r="E131" s="63">
        <f t="shared" si="81"/>
        <v>3.7177829999999998</v>
      </c>
      <c r="F131" s="56">
        <v>38</v>
      </c>
      <c r="G131" s="63">
        <v>2.4003700000000001</v>
      </c>
      <c r="H131" s="72" t="s">
        <v>208</v>
      </c>
      <c r="I131" s="19"/>
    </row>
    <row r="132" spans="1:9">
      <c r="A132" s="146" t="s">
        <v>231</v>
      </c>
      <c r="B132" s="72" t="s">
        <v>207</v>
      </c>
      <c r="C132" s="56">
        <v>9.3826999999999994E-2</v>
      </c>
      <c r="D132" s="56">
        <v>2.8867240000000001</v>
      </c>
      <c r="E132" s="56">
        <f t="shared" ref="E132" si="82">C132+D132</f>
        <v>2.9805510000000002</v>
      </c>
      <c r="F132" s="56">
        <v>30</v>
      </c>
      <c r="G132" s="56">
        <v>1.2794479999999999</v>
      </c>
      <c r="H132" s="72" t="s">
        <v>208</v>
      </c>
      <c r="I132" s="19"/>
    </row>
    <row r="133" spans="1:9">
      <c r="A133" s="146"/>
      <c r="B133" s="72" t="s">
        <v>209</v>
      </c>
      <c r="C133" s="56">
        <v>8.0296999999999993E-2</v>
      </c>
      <c r="D133" s="56">
        <v>2.8978510000000002</v>
      </c>
      <c r="E133" s="56">
        <f t="shared" ref="E133:E134" si="83">D133+C133</f>
        <v>2.978148</v>
      </c>
      <c r="F133" s="56">
        <v>30</v>
      </c>
      <c r="G133" s="56">
        <v>1.183419</v>
      </c>
      <c r="H133" s="72" t="s">
        <v>208</v>
      </c>
      <c r="I133" s="19"/>
    </row>
    <row r="134" spans="1:9">
      <c r="A134" s="146"/>
      <c r="B134" s="72" t="s">
        <v>210</v>
      </c>
      <c r="C134" s="56">
        <v>8.4392999999999996E-2</v>
      </c>
      <c r="D134" s="56">
        <v>2.8923930000000002</v>
      </c>
      <c r="E134" s="56">
        <f t="shared" si="83"/>
        <v>2.9767860000000002</v>
      </c>
      <c r="F134" s="56">
        <v>30</v>
      </c>
      <c r="G134" s="56">
        <v>1.282419</v>
      </c>
      <c r="H134" s="72" t="s">
        <v>208</v>
      </c>
      <c r="I134" s="19"/>
    </row>
    <row r="135" spans="1:9">
      <c r="A135" s="146" t="s">
        <v>232</v>
      </c>
      <c r="B135" s="72" t="s">
        <v>207</v>
      </c>
      <c r="C135" s="56">
        <v>0.104641</v>
      </c>
      <c r="D135" s="56">
        <v>3.507444</v>
      </c>
      <c r="E135" s="56">
        <f t="shared" ref="E135" si="84">C135+D135</f>
        <v>3.612085</v>
      </c>
      <c r="F135" s="56">
        <v>36</v>
      </c>
      <c r="G135" s="56">
        <v>2.8418909999999999</v>
      </c>
      <c r="H135" s="72" t="s">
        <v>208</v>
      </c>
      <c r="I135" s="19"/>
    </row>
    <row r="136" spans="1:9">
      <c r="A136" s="146"/>
      <c r="B136" s="72" t="s">
        <v>209</v>
      </c>
      <c r="C136" s="56">
        <v>9.6286999999999998E-2</v>
      </c>
      <c r="D136" s="56">
        <v>3.584981</v>
      </c>
      <c r="E136" s="56">
        <f t="shared" ref="E136:E137" si="85">D136+C136</f>
        <v>3.6812679999999998</v>
      </c>
      <c r="F136" s="56">
        <v>37</v>
      </c>
      <c r="G136" s="56">
        <v>1.436226</v>
      </c>
      <c r="H136" s="72" t="s">
        <v>208</v>
      </c>
      <c r="I136" s="19"/>
    </row>
    <row r="137" spans="1:9">
      <c r="A137" s="146"/>
      <c r="B137" s="72" t="s">
        <v>210</v>
      </c>
      <c r="C137" s="56">
        <v>8.301E-2</v>
      </c>
      <c r="D137" s="56">
        <v>4.4480890000000004</v>
      </c>
      <c r="E137" s="56">
        <f t="shared" si="85"/>
        <v>4.5310990000000002</v>
      </c>
      <c r="F137" s="56">
        <v>46</v>
      </c>
      <c r="G137" s="56">
        <v>3.6550120000000001</v>
      </c>
      <c r="H137" s="72" t="s">
        <v>208</v>
      </c>
      <c r="I137" s="19"/>
    </row>
    <row r="138" spans="1:9">
      <c r="A138" s="146" t="s">
        <v>233</v>
      </c>
      <c r="B138" s="72" t="s">
        <v>207</v>
      </c>
      <c r="C138" s="56">
        <v>8.5024000000000002E-2</v>
      </c>
      <c r="D138" s="56">
        <v>3.4541930000000001</v>
      </c>
      <c r="E138" s="56">
        <f t="shared" ref="E138" si="86">C138+D138</f>
        <v>3.5392170000000003</v>
      </c>
      <c r="F138" s="56">
        <v>36</v>
      </c>
      <c r="G138" s="56">
        <v>1.388522</v>
      </c>
      <c r="H138" s="72" t="s">
        <v>208</v>
      </c>
      <c r="I138" s="72"/>
    </row>
    <row r="139" spans="1:9" ht="14.4">
      <c r="A139" s="146"/>
      <c r="B139" s="72" t="s">
        <v>209</v>
      </c>
      <c r="C139" s="72" t="s">
        <v>58</v>
      </c>
      <c r="D139" s="72" t="s">
        <v>58</v>
      </c>
      <c r="E139" s="72" t="s">
        <v>58</v>
      </c>
      <c r="F139" s="72" t="s">
        <v>58</v>
      </c>
      <c r="G139" s="72" t="s">
        <v>58</v>
      </c>
      <c r="H139" s="80" t="s">
        <v>219</v>
      </c>
      <c r="I139" s="75" t="s">
        <v>244</v>
      </c>
    </row>
    <row r="140" spans="1:9" ht="14.4">
      <c r="A140" s="146"/>
      <c r="B140" s="72" t="s">
        <v>210</v>
      </c>
      <c r="C140" s="72" t="s">
        <v>58</v>
      </c>
      <c r="D140" s="72" t="s">
        <v>58</v>
      </c>
      <c r="E140" s="72" t="s">
        <v>58</v>
      </c>
      <c r="F140" s="72" t="s">
        <v>58</v>
      </c>
      <c r="G140" s="72" t="s">
        <v>58</v>
      </c>
      <c r="H140" s="80" t="s">
        <v>219</v>
      </c>
      <c r="I140" s="75" t="s">
        <v>244</v>
      </c>
    </row>
    <row r="141" spans="1:9">
      <c r="A141" s="146" t="s">
        <v>234</v>
      </c>
      <c r="B141" s="72" t="s">
        <v>207</v>
      </c>
      <c r="C141" s="56">
        <v>9.4160999999999995E-2</v>
      </c>
      <c r="D141" s="56">
        <v>3.6075349999999999</v>
      </c>
      <c r="E141" s="56">
        <f t="shared" ref="E141" si="87">C141+D141</f>
        <v>3.7016960000000001</v>
      </c>
      <c r="F141" s="56">
        <v>38</v>
      </c>
      <c r="G141" s="56">
        <v>1.2929980000000001</v>
      </c>
      <c r="H141" s="72" t="s">
        <v>208</v>
      </c>
      <c r="I141" s="19"/>
    </row>
    <row r="142" spans="1:9" ht="14.4">
      <c r="A142" s="146"/>
      <c r="B142" s="72" t="s">
        <v>209</v>
      </c>
      <c r="C142" s="72" t="s">
        <v>58</v>
      </c>
      <c r="D142" s="72" t="s">
        <v>58</v>
      </c>
      <c r="E142" s="72" t="s">
        <v>58</v>
      </c>
      <c r="F142" s="72" t="s">
        <v>58</v>
      </c>
      <c r="G142" s="72" t="s">
        <v>58</v>
      </c>
      <c r="H142" s="80" t="s">
        <v>219</v>
      </c>
      <c r="I142" s="19" t="s">
        <v>245</v>
      </c>
    </row>
    <row r="143" spans="1:9" ht="14.4">
      <c r="A143" s="146"/>
      <c r="B143" s="72" t="s">
        <v>210</v>
      </c>
      <c r="C143" s="72" t="s">
        <v>58</v>
      </c>
      <c r="D143" s="72" t="s">
        <v>58</v>
      </c>
      <c r="E143" s="72" t="s">
        <v>58</v>
      </c>
      <c r="F143" s="72" t="s">
        <v>58</v>
      </c>
      <c r="G143" s="72" t="s">
        <v>58</v>
      </c>
      <c r="H143" s="80" t="s">
        <v>219</v>
      </c>
      <c r="I143" s="19" t="s">
        <v>245</v>
      </c>
    </row>
    <row r="144" spans="1:9">
      <c r="A144" s="146" t="s">
        <v>235</v>
      </c>
      <c r="B144" s="72" t="s">
        <v>207</v>
      </c>
      <c r="C144" s="56">
        <v>0.102853</v>
      </c>
      <c r="D144" s="56">
        <v>3.6484489999999998</v>
      </c>
      <c r="E144" s="56">
        <f t="shared" ref="E144" si="88">C144+D144</f>
        <v>3.7513019999999999</v>
      </c>
      <c r="F144" s="56">
        <v>38</v>
      </c>
      <c r="G144" s="56">
        <v>2.7283140000000001</v>
      </c>
      <c r="H144" s="72" t="s">
        <v>208</v>
      </c>
      <c r="I144" s="19"/>
    </row>
    <row r="145" spans="1:9">
      <c r="A145" s="146"/>
      <c r="B145" s="72" t="s">
        <v>209</v>
      </c>
      <c r="C145" s="56">
        <v>0.103174</v>
      </c>
      <c r="D145" s="56">
        <v>2.953179</v>
      </c>
      <c r="E145" s="56">
        <f t="shared" ref="E145:E146" si="89">D145+C145</f>
        <v>3.0563530000000001</v>
      </c>
      <c r="F145" s="56">
        <v>55</v>
      </c>
      <c r="G145" s="56">
        <v>2.3035000000000001</v>
      </c>
      <c r="H145" s="72" t="s">
        <v>208</v>
      </c>
      <c r="I145" s="19"/>
    </row>
    <row r="146" spans="1:9">
      <c r="A146" s="146"/>
      <c r="B146" s="72" t="s">
        <v>210</v>
      </c>
      <c r="C146" s="56">
        <v>9.0878E-2</v>
      </c>
      <c r="D146" s="56">
        <v>4.6388829999999999</v>
      </c>
      <c r="E146" s="56">
        <f t="shared" si="89"/>
        <v>4.7297609999999999</v>
      </c>
      <c r="F146" s="56">
        <v>48</v>
      </c>
      <c r="G146" s="56">
        <v>5.149025</v>
      </c>
      <c r="H146" s="72" t="s">
        <v>208</v>
      </c>
      <c r="I146" s="19"/>
    </row>
    <row r="147" spans="1:9">
      <c r="A147" s="146" t="s">
        <v>236</v>
      </c>
      <c r="B147" s="72" t="s">
        <v>207</v>
      </c>
      <c r="C147" s="56">
        <v>7.1138999999999994E-2</v>
      </c>
      <c r="D147" s="56">
        <v>2.8833869999999999</v>
      </c>
      <c r="E147" s="56">
        <f t="shared" ref="E147" si="90">C147+D147</f>
        <v>2.954526</v>
      </c>
      <c r="F147" s="56">
        <v>30</v>
      </c>
      <c r="G147" s="56">
        <v>1.3281590000000001</v>
      </c>
      <c r="H147" s="72" t="s">
        <v>208</v>
      </c>
      <c r="I147" s="19"/>
    </row>
    <row r="148" spans="1:9">
      <c r="A148" s="146"/>
      <c r="B148" s="72" t="s">
        <v>209</v>
      </c>
      <c r="C148" s="56">
        <v>9.1817999999999997E-2</v>
      </c>
      <c r="D148" s="56">
        <v>3.99336</v>
      </c>
      <c r="E148" s="56">
        <f t="shared" ref="E148:E149" si="91">D148+C148</f>
        <v>4.085178</v>
      </c>
      <c r="F148" s="56">
        <v>42</v>
      </c>
      <c r="G148" s="56">
        <v>3.1491910000000001</v>
      </c>
      <c r="H148" s="72" t="s">
        <v>208</v>
      </c>
      <c r="I148" s="19"/>
    </row>
    <row r="149" spans="1:9">
      <c r="A149" s="146"/>
      <c r="B149" s="72" t="s">
        <v>210</v>
      </c>
      <c r="C149" s="56">
        <v>7.6479000000000005E-2</v>
      </c>
      <c r="D149" s="56">
        <v>2.9106260000000002</v>
      </c>
      <c r="E149" s="56">
        <f t="shared" si="91"/>
        <v>2.9871050000000001</v>
      </c>
      <c r="F149" s="56">
        <v>30</v>
      </c>
      <c r="G149" s="56">
        <v>1.1859059999999999</v>
      </c>
      <c r="H149" s="72" t="s">
        <v>208</v>
      </c>
      <c r="I149" s="19"/>
    </row>
    <row r="150" spans="1:9">
      <c r="A150" s="146" t="s">
        <v>237</v>
      </c>
      <c r="B150" s="72" t="s">
        <v>207</v>
      </c>
      <c r="C150" s="56">
        <v>8.4750000000000006E-2</v>
      </c>
      <c r="D150" s="56">
        <v>3.1337489999999999</v>
      </c>
      <c r="E150" s="56">
        <f t="shared" ref="E150" si="92">C150+D150</f>
        <v>3.218499</v>
      </c>
      <c r="F150" s="56">
        <v>33</v>
      </c>
      <c r="G150" s="56">
        <v>1.4851369999999999</v>
      </c>
      <c r="H150" s="72" t="s">
        <v>208</v>
      </c>
      <c r="I150" s="19"/>
    </row>
    <row r="151" spans="1:9">
      <c r="A151" s="146"/>
      <c r="B151" s="72" t="s">
        <v>209</v>
      </c>
      <c r="C151" s="56">
        <v>6.9193000000000005E-2</v>
      </c>
      <c r="D151" s="56">
        <v>2.974278</v>
      </c>
      <c r="E151" s="56">
        <f t="shared" ref="E151:E152" si="93">D151+C151</f>
        <v>3.0434709999999998</v>
      </c>
      <c r="F151" s="56">
        <v>32</v>
      </c>
      <c r="G151" s="56">
        <v>1.3289139999999999</v>
      </c>
      <c r="H151" s="72" t="s">
        <v>208</v>
      </c>
      <c r="I151" s="19"/>
    </row>
    <row r="152" spans="1:9">
      <c r="A152" s="146"/>
      <c r="B152" s="72" t="s">
        <v>210</v>
      </c>
      <c r="C152" s="56">
        <v>7.1969000000000005E-2</v>
      </c>
      <c r="D152" s="56">
        <v>3.1236449999999998</v>
      </c>
      <c r="E152" s="56">
        <f t="shared" si="93"/>
        <v>3.195614</v>
      </c>
      <c r="F152" s="56">
        <v>33</v>
      </c>
      <c r="G152" s="56">
        <v>1.4882409999999999</v>
      </c>
      <c r="H152" s="72" t="s">
        <v>208</v>
      </c>
      <c r="I152" s="19"/>
    </row>
    <row r="153" spans="1:9">
      <c r="A153" s="146" t="s">
        <v>151</v>
      </c>
      <c r="B153" s="72" t="s">
        <v>207</v>
      </c>
      <c r="C153" s="56">
        <v>7.3832999999999996E-2</v>
      </c>
      <c r="D153" s="56">
        <v>3.9921129999999998</v>
      </c>
      <c r="E153" s="56">
        <f t="shared" ref="E153" si="94">C153+D153</f>
        <v>4.0659459999999994</v>
      </c>
      <c r="F153" s="56">
        <v>42</v>
      </c>
      <c r="G153" s="56">
        <v>3.5206110000000002</v>
      </c>
      <c r="H153" s="72" t="s">
        <v>208</v>
      </c>
      <c r="I153" s="19"/>
    </row>
    <row r="154" spans="1:9">
      <c r="A154" s="146"/>
      <c r="B154" s="72" t="s">
        <v>209</v>
      </c>
      <c r="C154" s="56">
        <v>7.7922000000000005E-2</v>
      </c>
      <c r="D154" s="56">
        <v>3.9918459999999998</v>
      </c>
      <c r="E154" s="56">
        <f t="shared" ref="E154:E155" si="95">D154+C154</f>
        <v>4.0697679999999998</v>
      </c>
      <c r="F154" s="56">
        <v>42</v>
      </c>
      <c r="G154" s="56">
        <v>3.5221089999999999</v>
      </c>
      <c r="H154" s="72" t="s">
        <v>208</v>
      </c>
      <c r="I154" s="19"/>
    </row>
    <row r="155" spans="1:9">
      <c r="A155" s="146"/>
      <c r="B155" s="72" t="s">
        <v>210</v>
      </c>
      <c r="C155" s="56">
        <v>0.125499</v>
      </c>
      <c r="D155" s="56">
        <v>4.1993549999999997</v>
      </c>
      <c r="E155" s="56">
        <f t="shared" si="95"/>
        <v>4.3248539999999993</v>
      </c>
      <c r="F155" s="56">
        <v>44</v>
      </c>
      <c r="G155" s="56">
        <v>3.2055370000000001</v>
      </c>
      <c r="H155" s="72" t="s">
        <v>208</v>
      </c>
      <c r="I155" s="19"/>
    </row>
    <row r="156" spans="1:9">
      <c r="A156" s="146" t="s">
        <v>238</v>
      </c>
      <c r="B156" s="72" t="s">
        <v>207</v>
      </c>
      <c r="C156" s="56">
        <v>7.9170000000000004E-2</v>
      </c>
      <c r="D156" s="56">
        <v>3.7605209999999998</v>
      </c>
      <c r="E156" s="56">
        <f t="shared" ref="E156" si="96">C156+D156</f>
        <v>3.8396909999999997</v>
      </c>
      <c r="F156" s="56">
        <v>39</v>
      </c>
      <c r="G156" s="56">
        <v>1.755374</v>
      </c>
      <c r="H156" s="72" t="s">
        <v>208</v>
      </c>
      <c r="I156" s="19"/>
    </row>
    <row r="157" spans="1:9">
      <c r="A157" s="146"/>
      <c r="B157" s="72" t="s">
        <v>209</v>
      </c>
      <c r="C157" s="56">
        <v>7.3071999999999998E-2</v>
      </c>
      <c r="D157" s="56">
        <v>3.7007829999999999</v>
      </c>
      <c r="E157" s="56">
        <f t="shared" ref="E157:E158" si="97">D157+C157</f>
        <v>3.7738549999999997</v>
      </c>
      <c r="F157" s="56">
        <v>39</v>
      </c>
      <c r="G157" s="56">
        <v>2.255484</v>
      </c>
      <c r="H157" s="72" t="s">
        <v>208</v>
      </c>
      <c r="I157" s="19"/>
    </row>
    <row r="158" spans="1:9">
      <c r="A158" s="146"/>
      <c r="B158" s="72" t="s">
        <v>210</v>
      </c>
      <c r="C158" s="56">
        <v>7.4256000000000003E-2</v>
      </c>
      <c r="D158" s="56">
        <v>3.7385540000000002</v>
      </c>
      <c r="E158" s="56">
        <f t="shared" si="97"/>
        <v>3.8128100000000003</v>
      </c>
      <c r="F158" s="56">
        <v>39</v>
      </c>
      <c r="G158" s="56">
        <v>2.2558180000000001</v>
      </c>
      <c r="H158" s="72" t="s">
        <v>208</v>
      </c>
      <c r="I158" s="19"/>
    </row>
    <row r="159" spans="1:9">
      <c r="A159" s="146" t="s">
        <v>239</v>
      </c>
      <c r="B159" s="72" t="s">
        <v>207</v>
      </c>
      <c r="C159" s="56">
        <v>5.5747999999999999E-2</v>
      </c>
      <c r="D159" s="56">
        <v>3.4109560000000001</v>
      </c>
      <c r="E159" s="56">
        <f t="shared" ref="E159" si="98">C159+D159</f>
        <v>3.466704</v>
      </c>
      <c r="F159" s="56">
        <v>29</v>
      </c>
      <c r="G159" s="56">
        <v>1.1633100000000001</v>
      </c>
      <c r="H159" s="72" t="s">
        <v>208</v>
      </c>
      <c r="I159" s="19"/>
    </row>
    <row r="160" spans="1:9">
      <c r="A160" s="146"/>
      <c r="B160" s="72" t="s">
        <v>209</v>
      </c>
      <c r="C160" s="56">
        <v>7.2485999999999995E-2</v>
      </c>
      <c r="D160" s="56">
        <v>3.448204</v>
      </c>
      <c r="E160" s="56">
        <f t="shared" ref="E160" si="99">D160+C160</f>
        <v>3.5206900000000001</v>
      </c>
      <c r="F160" s="56">
        <v>36</v>
      </c>
      <c r="G160" s="56">
        <v>1.417354</v>
      </c>
      <c r="H160" s="72" t="s">
        <v>208</v>
      </c>
      <c r="I160" s="19"/>
    </row>
    <row r="161" spans="1:9">
      <c r="A161" s="146"/>
      <c r="B161" s="72" t="s">
        <v>210</v>
      </c>
      <c r="C161" s="56">
        <v>0.122015</v>
      </c>
      <c r="D161" s="56">
        <v>3.7471450000000002</v>
      </c>
      <c r="E161" s="56">
        <f>D161+C161</f>
        <v>3.8691600000000004</v>
      </c>
      <c r="F161" s="56">
        <v>36</v>
      </c>
      <c r="G161" s="56">
        <v>1.675162</v>
      </c>
      <c r="H161" s="72" t="s">
        <v>208</v>
      </c>
      <c r="I161" s="19"/>
    </row>
  </sheetData>
  <mergeCells count="94">
    <mergeCell ref="A12:A14"/>
    <mergeCell ref="A18:A20"/>
    <mergeCell ref="A24:A26"/>
    <mergeCell ref="A30:A32"/>
    <mergeCell ref="A33:A35"/>
    <mergeCell ref="A27:A29"/>
    <mergeCell ref="A36:A38"/>
    <mergeCell ref="A45:A47"/>
    <mergeCell ref="A21:A23"/>
    <mergeCell ref="A15:A17"/>
    <mergeCell ref="A39:A41"/>
    <mergeCell ref="A42:A44"/>
    <mergeCell ref="A1:H1"/>
    <mergeCell ref="R3:R5"/>
    <mergeCell ref="R6:R8"/>
    <mergeCell ref="R9:R11"/>
    <mergeCell ref="K7:M8"/>
    <mergeCell ref="R1:Z1"/>
    <mergeCell ref="A3:A5"/>
    <mergeCell ref="A9:A11"/>
    <mergeCell ref="A6:A8"/>
    <mergeCell ref="R12:R14"/>
    <mergeCell ref="R15:R17"/>
    <mergeCell ref="R18:R20"/>
    <mergeCell ref="R21:R23"/>
    <mergeCell ref="R24:R26"/>
    <mergeCell ref="R27:R29"/>
    <mergeCell ref="R30:R32"/>
    <mergeCell ref="R33:R35"/>
    <mergeCell ref="R36:R38"/>
    <mergeCell ref="R39:R41"/>
    <mergeCell ref="R42:R44"/>
    <mergeCell ref="R45:R47"/>
    <mergeCell ref="R48:R50"/>
    <mergeCell ref="R51:R53"/>
    <mergeCell ref="A55:H55"/>
    <mergeCell ref="A48:A50"/>
    <mergeCell ref="A51:A53"/>
    <mergeCell ref="R55:Y55"/>
    <mergeCell ref="A57:A59"/>
    <mergeCell ref="A60:A62"/>
    <mergeCell ref="A63:A65"/>
    <mergeCell ref="A66:A68"/>
    <mergeCell ref="A69:A71"/>
    <mergeCell ref="A93:A95"/>
    <mergeCell ref="A72:A74"/>
    <mergeCell ref="A75:A77"/>
    <mergeCell ref="A78:A80"/>
    <mergeCell ref="A81:A83"/>
    <mergeCell ref="A84:A86"/>
    <mergeCell ref="R57:R59"/>
    <mergeCell ref="R60:R62"/>
    <mergeCell ref="R63:R65"/>
    <mergeCell ref="R66:R68"/>
    <mergeCell ref="A114:A116"/>
    <mergeCell ref="R69:R71"/>
    <mergeCell ref="R72:R74"/>
    <mergeCell ref="R75:R77"/>
    <mergeCell ref="R78:R80"/>
    <mergeCell ref="R81:R83"/>
    <mergeCell ref="R84:R86"/>
    <mergeCell ref="R87:R89"/>
    <mergeCell ref="R90:R92"/>
    <mergeCell ref="R93:R95"/>
    <mergeCell ref="A87:A89"/>
    <mergeCell ref="A90:A92"/>
    <mergeCell ref="A117:A119"/>
    <mergeCell ref="A120:A122"/>
    <mergeCell ref="A123:A125"/>
    <mergeCell ref="R96:R98"/>
    <mergeCell ref="R99:R101"/>
    <mergeCell ref="R102:R104"/>
    <mergeCell ref="R105:R107"/>
    <mergeCell ref="A109:H109"/>
    <mergeCell ref="A102:A104"/>
    <mergeCell ref="A105:A107"/>
    <mergeCell ref="A96:A98"/>
    <mergeCell ref="A99:A101"/>
    <mergeCell ref="A156:A158"/>
    <mergeCell ref="A159:A161"/>
    <mergeCell ref="K9:M9"/>
    <mergeCell ref="K10:M10"/>
    <mergeCell ref="K11:M11"/>
    <mergeCell ref="A141:A143"/>
    <mergeCell ref="A144:A146"/>
    <mergeCell ref="A147:A149"/>
    <mergeCell ref="A150:A152"/>
    <mergeCell ref="A153:A155"/>
    <mergeCell ref="A126:A128"/>
    <mergeCell ref="A129:A131"/>
    <mergeCell ref="A132:A134"/>
    <mergeCell ref="A135:A137"/>
    <mergeCell ref="A138:A140"/>
    <mergeCell ref="A111:A1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8"/>
  <sheetViews>
    <sheetView topLeftCell="B1" workbookViewId="0">
      <selection sqref="A1:G1"/>
    </sheetView>
  </sheetViews>
  <sheetFormatPr defaultRowHeight="13.8"/>
  <cols>
    <col min="1" max="1" width="38.09765625" customWidth="1"/>
    <col min="2" max="2" width="24.3984375" customWidth="1"/>
    <col min="3" max="3" width="23.296875" customWidth="1"/>
    <col min="4" max="4" width="45.796875" customWidth="1"/>
    <col min="5" max="5" width="21.59765625" customWidth="1"/>
    <col min="6" max="6" width="46.796875" customWidth="1"/>
    <col min="7" max="7" width="37.09765625" customWidth="1"/>
    <col min="8" max="8" width="30.19921875" customWidth="1"/>
    <col min="9" max="9" width="20" customWidth="1"/>
  </cols>
  <sheetData>
    <row r="1" spans="1:11" ht="16.350000000000001" customHeight="1">
      <c r="A1" s="128" t="s">
        <v>246</v>
      </c>
      <c r="B1" s="128"/>
      <c r="C1" s="128"/>
      <c r="D1" s="128"/>
      <c r="E1" s="128"/>
      <c r="F1" s="128"/>
      <c r="G1" s="128"/>
      <c r="H1" s="30"/>
      <c r="I1" s="30"/>
      <c r="J1" s="30"/>
      <c r="K1" s="30"/>
    </row>
    <row r="2" spans="1:11">
      <c r="A2" s="152" t="s">
        <v>247</v>
      </c>
      <c r="B2" s="152"/>
      <c r="C2" s="152"/>
      <c r="D2" s="152"/>
      <c r="E2" s="152"/>
      <c r="F2" s="152"/>
      <c r="G2" s="152"/>
      <c r="H2" s="26"/>
      <c r="I2" s="26"/>
      <c r="J2" s="26"/>
      <c r="K2" s="26"/>
    </row>
    <row r="3" spans="1:11" ht="11.1" customHeight="1">
      <c r="A3" s="39" t="s">
        <v>248</v>
      </c>
      <c r="B3" s="39" t="s">
        <v>249</v>
      </c>
      <c r="C3" s="39" t="s">
        <v>250</v>
      </c>
      <c r="D3" s="39" t="s">
        <v>251</v>
      </c>
      <c r="E3" s="39" t="s">
        <v>252</v>
      </c>
      <c r="F3" s="39" t="s">
        <v>253</v>
      </c>
      <c r="G3" s="39" t="s">
        <v>254</v>
      </c>
      <c r="H3" s="1"/>
      <c r="I3" s="1"/>
      <c r="J3" s="1"/>
      <c r="K3" s="1"/>
    </row>
    <row r="4" spans="1:11">
      <c r="A4" s="38">
        <v>21</v>
      </c>
      <c r="B4" s="38">
        <v>12</v>
      </c>
      <c r="C4" s="38">
        <v>12</v>
      </c>
      <c r="D4" s="38">
        <v>5</v>
      </c>
      <c r="E4" s="38">
        <v>0</v>
      </c>
      <c r="F4" s="38">
        <v>0</v>
      </c>
      <c r="G4" s="38">
        <v>0</v>
      </c>
      <c r="H4" s="1"/>
      <c r="I4" s="1"/>
      <c r="J4" s="1"/>
      <c r="K4" s="1"/>
    </row>
    <row r="5" spans="1:11">
      <c r="A5" s="39" t="s">
        <v>255</v>
      </c>
      <c r="B5" s="39" t="s">
        <v>256</v>
      </c>
      <c r="C5" s="39" t="s">
        <v>257</v>
      </c>
      <c r="D5" s="39" t="s">
        <v>258</v>
      </c>
      <c r="E5" s="38"/>
      <c r="F5" s="38"/>
      <c r="G5" s="38"/>
      <c r="H5" s="1"/>
      <c r="I5" s="1"/>
      <c r="J5" s="1"/>
      <c r="K5" s="1"/>
    </row>
    <row r="6" spans="1:11" ht="8.1" customHeight="1">
      <c r="A6" s="38">
        <v>22</v>
      </c>
      <c r="B6" s="40">
        <v>0</v>
      </c>
      <c r="C6" s="38">
        <v>22</v>
      </c>
      <c r="D6" s="41">
        <f>C6/(B6+C6)</f>
        <v>1</v>
      </c>
      <c r="E6" s="38"/>
      <c r="F6" s="38"/>
      <c r="G6" s="38"/>
      <c r="H6" s="1"/>
      <c r="I6" s="1"/>
      <c r="J6" s="1"/>
      <c r="K6" s="1"/>
    </row>
    <row r="7" spans="1:11" ht="13.05" customHeight="1">
      <c r="A7" s="38"/>
      <c r="B7" s="38"/>
      <c r="C7" s="38"/>
      <c r="D7" s="38"/>
      <c r="E7" s="38"/>
      <c r="F7" s="38"/>
      <c r="G7" s="38"/>
      <c r="H7" s="14"/>
      <c r="I7" s="1"/>
      <c r="J7" s="1"/>
      <c r="K7" s="1"/>
    </row>
    <row r="8" spans="1:11" ht="16.95" customHeight="1">
      <c r="A8" s="2" t="s">
        <v>259</v>
      </c>
      <c r="B8" s="2" t="s">
        <v>260</v>
      </c>
      <c r="C8" s="2" t="s">
        <v>261</v>
      </c>
      <c r="D8" s="2" t="s">
        <v>262</v>
      </c>
      <c r="E8" s="2" t="s">
        <v>263</v>
      </c>
      <c r="F8" s="2" t="s">
        <v>264</v>
      </c>
      <c r="G8" s="2" t="s">
        <v>265</v>
      </c>
      <c r="H8" s="2" t="s">
        <v>266</v>
      </c>
      <c r="I8" s="2" t="s">
        <v>267</v>
      </c>
      <c r="J8" s="1"/>
      <c r="K8" s="1"/>
    </row>
    <row r="9" spans="1:11" ht="13.05" customHeight="1">
      <c r="A9" s="19" t="s">
        <v>207</v>
      </c>
      <c r="B9" s="15">
        <f>'Análise Estatística'!C4</f>
        <v>85</v>
      </c>
      <c r="C9" s="15">
        <f>'Análise Estatística'!D4</f>
        <v>0</v>
      </c>
      <c r="D9" s="27">
        <f>'Análise Estatística'!E4*100</f>
        <v>100</v>
      </c>
      <c r="E9" s="15">
        <f>'Análise Estatística'!D13</f>
        <v>3.8778369058823525</v>
      </c>
      <c r="F9" s="1">
        <f>'Análise Estatística'!D14</f>
        <v>2.2710602705882357</v>
      </c>
      <c r="G9" s="42">
        <f>'Análise Estatística'!D15</f>
        <v>39.188235294117646</v>
      </c>
      <c r="H9" s="14">
        <f>'Análise Estatística'!D11</f>
        <v>9.113234117647058E-2</v>
      </c>
      <c r="I9" s="1">
        <f>'Análise Estatística'!D12</f>
        <v>3.786704564705885</v>
      </c>
      <c r="J9" s="1"/>
      <c r="K9" s="1"/>
    </row>
    <row r="10" spans="1:11" ht="11.25" customHeight="1">
      <c r="A10" s="19" t="s">
        <v>210</v>
      </c>
      <c r="B10" s="15">
        <f>'Análise Estatística'!C6</f>
        <v>79</v>
      </c>
      <c r="C10" s="15">
        <f>'Análise Estatística'!D6</f>
        <v>6</v>
      </c>
      <c r="D10" s="27">
        <f>'Análise Estatística'!E6*100</f>
        <v>92.941176470588232</v>
      </c>
      <c r="E10" s="15">
        <f>'Análise Estatística'!D23</f>
        <v>3.9200068354430386</v>
      </c>
      <c r="F10" s="1">
        <f>'Análise Estatística'!D24</f>
        <v>2.4807807974683533</v>
      </c>
      <c r="G10" s="42">
        <f>'Análise Estatística'!D25</f>
        <v>40.164556962025316</v>
      </c>
      <c r="H10" s="1">
        <f>'Análise Estatística'!D21</f>
        <v>9.1157316455696219E-2</v>
      </c>
      <c r="I10" s="1">
        <f>'Análise Estatística'!D22</f>
        <v>3.8288495189873415</v>
      </c>
      <c r="J10" s="1"/>
      <c r="K10" s="1"/>
    </row>
    <row r="11" spans="1:11" ht="9.3000000000000007" customHeight="1">
      <c r="A11" s="19" t="s">
        <v>209</v>
      </c>
      <c r="B11" s="15">
        <f>'Análise Estatística'!C5</f>
        <v>82</v>
      </c>
      <c r="C11" s="15">
        <f>'Análise Estatística'!D5</f>
        <v>3</v>
      </c>
      <c r="D11" s="27">
        <f>'Análise Estatística'!E5*100</f>
        <v>96.470588235294116</v>
      </c>
      <c r="E11" s="15">
        <f>'Análise Estatística'!D18</f>
        <v>3.8276770365853663</v>
      </c>
      <c r="F11" s="1">
        <f>'Análise Estatística'!D19</f>
        <v>2.2051470243902433</v>
      </c>
      <c r="G11" s="42">
        <f>'Análise Estatística'!D20</f>
        <v>39</v>
      </c>
      <c r="H11" s="1">
        <f>'Análise Estatística'!D16</f>
        <v>8.8657865853658507E-2</v>
      </c>
      <c r="I11" s="1">
        <f>'Análise Estatística'!D17</f>
        <v>3.7390191707317069</v>
      </c>
      <c r="J11" s="1"/>
      <c r="K11" s="1"/>
    </row>
    <row r="12" spans="1:11" ht="7.65" customHeight="1">
      <c r="A12" s="28" t="s">
        <v>268</v>
      </c>
      <c r="B12" s="28">
        <f>SUM(B9:B11)</f>
        <v>246</v>
      </c>
      <c r="C12" s="28">
        <f>SUM(C9:C11)</f>
        <v>9</v>
      </c>
      <c r="D12" s="29">
        <f>B12/(B12+C12)*100</f>
        <v>96.470588235294116</v>
      </c>
      <c r="E12" s="15"/>
      <c r="F12" s="1"/>
      <c r="G12" s="1"/>
      <c r="H12" s="1"/>
      <c r="I12" s="1"/>
      <c r="J12" s="1"/>
      <c r="K12" s="1"/>
    </row>
    <row r="13" spans="1:11" ht="16.05" customHeight="1">
      <c r="A13" s="38"/>
      <c r="B13" s="38"/>
      <c r="C13" s="38"/>
      <c r="D13" s="38"/>
      <c r="E13" s="38"/>
      <c r="F13" s="38"/>
      <c r="G13" s="38"/>
      <c r="H13" s="38"/>
      <c r="I13" s="38"/>
      <c r="J13" s="1"/>
      <c r="K13" s="1"/>
    </row>
    <row r="14" spans="1:11" s="15" customFormat="1" ht="16.05" customHeight="1">
      <c r="A14" s="153" t="s">
        <v>269</v>
      </c>
      <c r="B14" s="154"/>
      <c r="C14" s="154"/>
      <c r="D14" s="154"/>
      <c r="E14" s="154"/>
      <c r="F14" s="154"/>
      <c r="G14" s="154"/>
      <c r="H14" s="154"/>
      <c r="I14" s="154"/>
      <c r="J14" s="14"/>
      <c r="K14" s="14"/>
    </row>
    <row r="15" spans="1:11" ht="17.55" customHeight="1">
      <c r="A15" s="53"/>
      <c r="B15" s="52" t="s">
        <v>270</v>
      </c>
      <c r="C15" s="51" t="s">
        <v>271</v>
      </c>
      <c r="D15" s="51" t="s">
        <v>272</v>
      </c>
      <c r="E15" s="51" t="s">
        <v>273</v>
      </c>
      <c r="F15" s="51" t="s">
        <v>274</v>
      </c>
      <c r="G15" s="51" t="s">
        <v>275</v>
      </c>
      <c r="H15" s="51" t="s">
        <v>276</v>
      </c>
      <c r="I15" s="51" t="s">
        <v>277</v>
      </c>
      <c r="J15" s="1"/>
      <c r="K15" s="1"/>
    </row>
    <row r="16" spans="1:11">
      <c r="A16" s="54" t="s">
        <v>278</v>
      </c>
      <c r="B16" s="3">
        <f>'Análise Estatística'!D38</f>
        <v>5.8470588235294194</v>
      </c>
      <c r="C16" s="3">
        <f>'Análise Estatística'!D39</f>
        <v>3.8764705882352879</v>
      </c>
      <c r="D16" s="3">
        <f>'Análise Estatística'!D40</f>
        <v>46.823529411764703</v>
      </c>
      <c r="E16" s="3">
        <f>'Análise Estatística'!D41</f>
        <v>50.284818567646667</v>
      </c>
      <c r="F16" s="87">
        <f>AVERAGE('Testes obstáculos'!M4,'Testes obstáculos'!M8,'Testes obstáculos'!M12,'Testes obstáculos'!M14,'Testes obstáculos'!M18)</f>
        <v>761.47713999999996</v>
      </c>
      <c r="G16" s="3">
        <f>AVERAGE('Métricas Quantitativas'!G6,'Métricas Quantitativas'!J6,'Métricas Quantitativas'!P6,'Métricas Quantitativas'!S6,'Métricas Quantitativas'!Y6,'Métricas Quantitativas'!AB6,'Métricas Quantitativas'!AH6,'Métricas Quantitativas'!AK6,'Métricas Quantitativas'!AN6,'Métricas Quantitativas'!AQ6,'Métricas Quantitativas'!AT6,'Métricas Quantitativas'!AW6,'Métricas Quantitativas'!AZ6,'Métricas Quantitativas'!BC6,'Métricas Quantitativas'!BF6,'Métricas Quantitativas'!BI6,'Métricas Quantitativas'!BL6)</f>
        <v>10.929823529411763</v>
      </c>
      <c r="H16" s="3">
        <f>AVERAGE('Métricas Quantitativas'!G5,'Métricas Quantitativas'!J5,'Métricas Quantitativas'!P5,'Métricas Quantitativas'!S5,'Métricas Quantitativas'!Y5,'Métricas Quantitativas'!AB5,'Métricas Quantitativas'!AH5,'Métricas Quantitativas'!AK5,'Métricas Quantitativas'!AN5,'Métricas Quantitativas'!AQ5,'Métricas Quantitativas'!AT5,'Métricas Quantitativas'!AW5,'Métricas Quantitativas'!AZ5,'Métricas Quantitativas'!BC5,'Métricas Quantitativas'!BF5,'Métricas Quantitativas'!BI5,'Métricas Quantitativas'!BL5)</f>
        <v>1.5323529411764709</v>
      </c>
      <c r="I16" s="3">
        <f>AVERAGE('Métricas Quantitativas'!G7,'Métricas Quantitativas'!J7,'Métricas Quantitativas'!P7,'Métricas Quantitativas'!S7,'Métricas Quantitativas'!Y7,'Métricas Quantitativas'!AB7,'Métricas Quantitativas'!AH7,'Métricas Quantitativas'!AK7,'Métricas Quantitativas'!AN7,'Métricas Quantitativas'!AQ7,'Métricas Quantitativas'!AT7,'Métricas Quantitativas'!AW7,'Métricas Quantitativas'!AZ7,'Métricas Quantitativas'!BC7,'Métricas Quantitativas'!BF7,'Métricas Quantitativas'!BI7,'Métricas Quantitativas'!BL7)</f>
        <v>12.462176470588233</v>
      </c>
      <c r="J16" s="1"/>
      <c r="K16" s="1"/>
    </row>
    <row r="17" spans="1:11">
      <c r="A17" s="55" t="s">
        <v>279</v>
      </c>
      <c r="B17" s="3">
        <f>'Análise Estatística'!D42</f>
        <v>0.40588235294119707</v>
      </c>
      <c r="C17" s="3">
        <f>'Análise Estatística'!D43</f>
        <v>0.42941176470587361</v>
      </c>
      <c r="D17" s="3">
        <f>'Análise Estatística'!D44</f>
        <v>0.57294117647058695</v>
      </c>
      <c r="E17" s="3">
        <f>'Análise Estatística'!D45</f>
        <v>0.932426987857227</v>
      </c>
      <c r="F17" s="87">
        <f>AVERAGE('Métricas Quantitativas'!B37,'Métricas Quantitativas'!E37,'Métricas Quantitativas'!H37,'Métricas Quantitativas'!K37)</f>
        <v>571.65</v>
      </c>
      <c r="G17" s="3">
        <f>AVERAGE('Métricas Quantitativas'!C27:D27,'Métricas Quantitativas'!F27:G27,'Métricas Quantitativas'!I27:J27,'Métricas Quantitativas'!L27:V27)</f>
        <v>11.333723529411763</v>
      </c>
      <c r="H17" s="3">
        <f>AVERAGE('Métricas Quantitativas'!C26:D26,'Métricas Quantitativas'!F26:G26,'Métricas Quantitativas'!I26:J26,'Métricas Quantitativas'!L26:V26)</f>
        <v>1.5422999999999998</v>
      </c>
      <c r="I17" s="3">
        <f>AVERAGE('Métricas Quantitativas'!C28:D28,'Métricas Quantitativas'!F28:G28,'Métricas Quantitativas'!I28:J28,'Métricas Quantitativas'!L28:V28)</f>
        <v>12.876023529411766</v>
      </c>
      <c r="J17" s="1"/>
      <c r="K17" s="1"/>
    </row>
    <row r="18" spans="1:11">
      <c r="A18" s="50"/>
      <c r="B18" s="1"/>
      <c r="C18" s="1"/>
      <c r="D18" s="1"/>
      <c r="E18" s="1"/>
      <c r="F18" s="1"/>
      <c r="G18" s="38"/>
      <c r="H18" s="1"/>
      <c r="I18" s="1"/>
      <c r="J18" s="1"/>
      <c r="K18" s="1"/>
    </row>
    <row r="19" spans="1:11" ht="14.4">
      <c r="A19" s="155" t="s">
        <v>280</v>
      </c>
      <c r="B19" s="155"/>
      <c r="C19" s="155"/>
      <c r="D19" s="155"/>
      <c r="E19" s="155"/>
      <c r="F19" s="155"/>
      <c r="G19" s="155"/>
      <c r="H19" s="155"/>
      <c r="I19" s="155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</sheetData>
  <mergeCells count="4">
    <mergeCell ref="A2:G2"/>
    <mergeCell ref="A1:G1"/>
    <mergeCell ref="A14:I14"/>
    <mergeCell ref="A19:I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56"/>
  <sheetViews>
    <sheetView showGridLines="0" workbookViewId="0"/>
  </sheetViews>
  <sheetFormatPr defaultRowHeight="13.8"/>
  <cols>
    <col min="1" max="1" width="10" customWidth="1"/>
    <col min="2" max="3" width="14" customWidth="1"/>
    <col min="4" max="8" width="15" customWidth="1"/>
    <col min="9" max="9" width="11" customWidth="1"/>
    <col min="10" max="10" width="36" customWidth="1"/>
    <col min="12" max="12" width="18" customWidth="1"/>
    <col min="13" max="13" width="27" customWidth="1"/>
    <col min="14" max="16" width="19" customWidth="1"/>
    <col min="18" max="18" width="13" customWidth="1"/>
    <col min="19" max="26" width="18" customWidth="1"/>
    <col min="27" max="27" width="15" customWidth="1"/>
  </cols>
  <sheetData>
    <row r="1" spans="1:27" ht="18" customHeight="1">
      <c r="A1" s="88" t="s">
        <v>281</v>
      </c>
      <c r="B1" s="88" t="s">
        <v>282</v>
      </c>
      <c r="C1" s="88" t="s">
        <v>198</v>
      </c>
      <c r="D1" s="88" t="s">
        <v>283</v>
      </c>
      <c r="E1" s="88" t="s">
        <v>284</v>
      </c>
      <c r="F1" s="88" t="s">
        <v>285</v>
      </c>
      <c r="G1" s="88" t="s">
        <v>286</v>
      </c>
      <c r="H1" s="88" t="s">
        <v>287</v>
      </c>
      <c r="I1" s="88" t="s">
        <v>45</v>
      </c>
      <c r="J1" s="88" t="s">
        <v>46</v>
      </c>
      <c r="L1" s="97" t="s">
        <v>282</v>
      </c>
      <c r="M1" s="97" t="s">
        <v>288</v>
      </c>
      <c r="N1" s="97" t="s">
        <v>289</v>
      </c>
      <c r="O1" s="97" t="s">
        <v>290</v>
      </c>
      <c r="P1" s="97" t="s">
        <v>291</v>
      </c>
      <c r="R1" s="100" t="s">
        <v>292</v>
      </c>
      <c r="S1" s="100" t="s">
        <v>293</v>
      </c>
      <c r="T1" s="100" t="s">
        <v>294</v>
      </c>
      <c r="U1" s="100" t="s">
        <v>295</v>
      </c>
      <c r="V1" s="100" t="s">
        <v>296</v>
      </c>
      <c r="W1" s="100" t="s">
        <v>297</v>
      </c>
      <c r="X1" s="100" t="s">
        <v>298</v>
      </c>
      <c r="Y1" s="100" t="s">
        <v>299</v>
      </c>
      <c r="Z1" s="100" t="s">
        <v>300</v>
      </c>
      <c r="AA1" s="100" t="s">
        <v>301</v>
      </c>
    </row>
    <row r="2" spans="1:27" ht="18" customHeight="1">
      <c r="A2" s="89">
        <v>1</v>
      </c>
      <c r="B2" s="89" t="str">
        <f>Planners!$A$3</f>
        <v>O03_1</v>
      </c>
      <c r="C2" s="89" t="str">
        <f>Planners!$B$3</f>
        <v>RRTConnect</v>
      </c>
      <c r="D2" s="91">
        <f>Planners!$C$3</f>
        <v>0.11663999999999999</v>
      </c>
      <c r="E2" s="91">
        <f>Planners!$D$3</f>
        <v>4.4945139999999997</v>
      </c>
      <c r="F2" s="91">
        <f>Planners!$E$3</f>
        <v>4.611154</v>
      </c>
      <c r="G2" s="91">
        <f>Planners!$G$3</f>
        <v>2.831715</v>
      </c>
      <c r="H2" s="93">
        <f>Planners!$F$3</f>
        <v>47</v>
      </c>
      <c r="I2" s="89" t="str">
        <f>Planners!$H$3</f>
        <v>✓</v>
      </c>
      <c r="J2" s="95">
        <f>Planners!$I$3</f>
        <v>0</v>
      </c>
      <c r="L2" s="89" t="str">
        <f>'Testes obstáculos'!$A$4</f>
        <v>O02</v>
      </c>
      <c r="M2" s="89" t="str">
        <f>'Testes obstáculos'!$B$4</f>
        <v>Bloqueio</v>
      </c>
      <c r="N2" s="89" t="s">
        <v>302</v>
      </c>
      <c r="O2" s="98">
        <f>'Testes obstáculos'!$M$4</f>
        <v>549.42470000000003</v>
      </c>
      <c r="P2" s="89" t="s">
        <v>60</v>
      </c>
      <c r="R2" s="89" t="s">
        <v>206</v>
      </c>
      <c r="S2" s="101">
        <f>'Métricas Quantitativas'!$G$14</f>
        <v>9.9999999999988987E-2</v>
      </c>
      <c r="T2" s="101">
        <f>'Métricas Quantitativas'!$G$15</f>
        <v>0.40000000000000452</v>
      </c>
      <c r="U2" s="101">
        <f>'Métricas Quantitativas'!$G$16</f>
        <v>50.500000000000014</v>
      </c>
      <c r="V2" s="101">
        <f>'Métricas Quantitativas'!$G$17</f>
        <v>50.501683140267723</v>
      </c>
      <c r="W2" s="101">
        <f>'Métricas Quantitativas'!$C$35</f>
        <v>0.29999999999996696</v>
      </c>
      <c r="X2" s="101">
        <f>'Métricas Quantitativas'!$C$36</f>
        <v>0.999999999999994</v>
      </c>
      <c r="Y2" s="101">
        <f>'Métricas Quantitativas'!$C$37</f>
        <v>1.0000000000000009</v>
      </c>
      <c r="Z2" s="101">
        <f>'Métricas Quantitativas'!$C$38</f>
        <v>1.4456832294800854</v>
      </c>
      <c r="AA2" s="103">
        <f t="shared" ref="AA2:AA18" si="0">IF(V2=0,0,1-Z2/V2)</f>
        <v>0.97137356342233738</v>
      </c>
    </row>
    <row r="3" spans="1:27" ht="18" customHeight="1">
      <c r="A3" s="90">
        <v>1</v>
      </c>
      <c r="B3" s="90" t="str">
        <f>Planners!$A$6</f>
        <v>O03_2</v>
      </c>
      <c r="C3" s="90" t="str">
        <f>Planners!$B$6</f>
        <v>RRTConnect</v>
      </c>
      <c r="D3" s="92">
        <f>Planners!$C$6</f>
        <v>0.12300700000000001</v>
      </c>
      <c r="E3" s="92">
        <f>Planners!$D$6</f>
        <v>5.2937289999999999</v>
      </c>
      <c r="F3" s="92">
        <f>Planners!$E$6</f>
        <v>5.4167360000000002</v>
      </c>
      <c r="G3" s="92">
        <f>Planners!$G$6</f>
        <v>4.3049879999999998</v>
      </c>
      <c r="H3" s="94">
        <f>Planners!$F$6</f>
        <v>55</v>
      </c>
      <c r="I3" s="90" t="str">
        <f>Planners!$H$6</f>
        <v>✓</v>
      </c>
      <c r="J3" s="96" t="str">
        <f>Planners!$I$6</f>
        <v>Replaneou a meio</v>
      </c>
      <c r="L3" s="90" t="str">
        <f>'Testes obstáculos'!$A$8</f>
        <v>O06</v>
      </c>
      <c r="M3" s="90" t="str">
        <f>'Testes obstáculos'!$B$8</f>
        <v>Bloqueio</v>
      </c>
      <c r="N3" s="90" t="s">
        <v>302</v>
      </c>
      <c r="O3" s="99">
        <f>'Testes obstáculos'!$M$8</f>
        <v>570.35720000000003</v>
      </c>
      <c r="P3" s="90" t="s">
        <v>60</v>
      </c>
      <c r="R3" s="90" t="s">
        <v>211</v>
      </c>
      <c r="S3" s="102">
        <f>'Métricas Quantitativas'!$J$14</f>
        <v>0.70000000000003393</v>
      </c>
      <c r="T3" s="102">
        <f>'Métricas Quantitativas'!$J$15</f>
        <v>9.9999999999988987E-2</v>
      </c>
      <c r="U3" s="102">
        <f>'Métricas Quantitativas'!$J$16</f>
        <v>52.000000000000021</v>
      </c>
      <c r="V3" s="102">
        <f>'Métricas Quantitativas'!$J$17</f>
        <v>52.004807470079172</v>
      </c>
      <c r="W3" s="102">
        <f>'Métricas Quantitativas'!$D$35</f>
        <v>0.70000000000003393</v>
      </c>
      <c r="X3" s="102">
        <f>'Métricas Quantitativas'!$D$36</f>
        <v>0.19999999999997797</v>
      </c>
      <c r="Y3" s="102">
        <f>'Métricas Quantitativas'!$D$37</f>
        <v>0.70000000000000617</v>
      </c>
      <c r="Z3" s="102">
        <f>'Métricas Quantitativas'!$D$38</f>
        <v>1.0099504938362311</v>
      </c>
      <c r="AA3" s="104">
        <f t="shared" si="0"/>
        <v>0.98057967055416362</v>
      </c>
    </row>
    <row r="4" spans="1:27" ht="18" customHeight="1">
      <c r="A4" s="90">
        <v>1</v>
      </c>
      <c r="B4" s="90" t="str">
        <f>Planners!$A$9</f>
        <v>O07_1</v>
      </c>
      <c r="C4" s="90" t="str">
        <f>Planners!$B$9</f>
        <v>RRTConnect</v>
      </c>
      <c r="D4" s="92">
        <f>Planners!$C$9</f>
        <v>0.10820100000000001</v>
      </c>
      <c r="E4" s="92">
        <f>Planners!$D$9</f>
        <v>4.4419110000000002</v>
      </c>
      <c r="F4" s="92">
        <f>Planners!$E$9</f>
        <v>4.5501120000000004</v>
      </c>
      <c r="G4" s="92">
        <f>Planners!$G$9</f>
        <v>3.6618219999999999</v>
      </c>
      <c r="H4" s="94">
        <f>Planners!$F$9</f>
        <v>46</v>
      </c>
      <c r="I4" s="90" t="str">
        <f>Planners!$H$9</f>
        <v>✓</v>
      </c>
      <c r="J4" s="96">
        <f>Planners!$I$9</f>
        <v>0</v>
      </c>
      <c r="L4" s="90" t="str">
        <f>'Testes obstáculos'!$A$12</f>
        <v>O10</v>
      </c>
      <c r="M4" s="90" t="str">
        <f>'Testes obstáculos'!$B$12</f>
        <v>Bloqueio</v>
      </c>
      <c r="N4" s="90" t="s">
        <v>302</v>
      </c>
      <c r="O4" s="99">
        <f>'Testes obstáculos'!$M$12</f>
        <v>2017.57</v>
      </c>
      <c r="P4" s="90" t="s">
        <v>60</v>
      </c>
      <c r="R4" s="90" t="s">
        <v>214</v>
      </c>
      <c r="S4" s="102">
        <f>'Métricas Quantitativas'!$P$14</f>
        <v>0.60000000000004494</v>
      </c>
      <c r="T4" s="102">
        <f>'Métricas Quantitativas'!$P$15</f>
        <v>0.7999999999999674</v>
      </c>
      <c r="U4" s="102">
        <f>'Métricas Quantitativas'!$P$16</f>
        <v>50.5</v>
      </c>
      <c r="V4" s="102">
        <f>'Métricas Quantitativas'!$P$17</f>
        <v>50.50990001969911</v>
      </c>
      <c r="W4" s="102">
        <f>'Métricas Quantitativas'!$F$35</f>
        <v>9.9999999999988987E-2</v>
      </c>
      <c r="X4" s="102">
        <f>'Métricas Quantitativas'!$F$36</f>
        <v>0.50000000000000044</v>
      </c>
      <c r="Y4" s="102">
        <f>'Métricas Quantitativas'!$F$37</f>
        <v>1.5000000000000013</v>
      </c>
      <c r="Z4" s="102">
        <f>'Métricas Quantitativas'!$F$38</f>
        <v>1.5842979517754867</v>
      </c>
      <c r="AA4" s="104">
        <f t="shared" si="0"/>
        <v>0.96863391233881668</v>
      </c>
    </row>
    <row r="5" spans="1:27" ht="18" customHeight="1">
      <c r="A5" s="90">
        <v>1</v>
      </c>
      <c r="B5" s="90" t="str">
        <f>Planners!$A$12</f>
        <v>O07_2</v>
      </c>
      <c r="C5" s="90" t="str">
        <f>Planners!$B$12</f>
        <v>RRTConnect</v>
      </c>
      <c r="D5" s="92">
        <f>Planners!$C$12</f>
        <v>7.2170999999999999E-2</v>
      </c>
      <c r="E5" s="92">
        <f>Planners!$D$12</f>
        <v>3.1115979999999999</v>
      </c>
      <c r="F5" s="92">
        <f>Planners!$E$12</f>
        <v>3.1837689999999998</v>
      </c>
      <c r="G5" s="92">
        <f>Planners!$G$12</f>
        <v>1.511817</v>
      </c>
      <c r="H5" s="94">
        <f>Planners!$F$12</f>
        <v>32</v>
      </c>
      <c r="I5" s="90" t="str">
        <f>Planners!$H$12</f>
        <v>✓</v>
      </c>
      <c r="J5" s="96">
        <f>Planners!$I$12</f>
        <v>0</v>
      </c>
      <c r="L5" s="90" t="str">
        <f>'Testes obstáculos'!$A$14</f>
        <v>O12</v>
      </c>
      <c r="M5" s="90" t="str">
        <f>'Testes obstáculos'!$B$14</f>
        <v>Bloqueio</v>
      </c>
      <c r="N5" s="90" t="s">
        <v>302</v>
      </c>
      <c r="O5" s="99">
        <f>'Testes obstáculos'!$M$14</f>
        <v>334.91160000000002</v>
      </c>
      <c r="P5" s="90" t="s">
        <v>60</v>
      </c>
      <c r="R5" s="90" t="s">
        <v>218</v>
      </c>
      <c r="S5" s="102">
        <f>'Métricas Quantitativas'!$S$14</f>
        <v>0.9000000000000119</v>
      </c>
      <c r="T5" s="102">
        <f>'Métricas Quantitativas'!$S$15</f>
        <v>0.69999999999992291</v>
      </c>
      <c r="U5" s="102">
        <f>'Métricas Quantitativas'!$S$16</f>
        <v>50.900000000000013</v>
      </c>
      <c r="V5" s="102">
        <f>'Métricas Quantitativas'!$S$17</f>
        <v>50.912768535996953</v>
      </c>
      <c r="W5" s="102">
        <f>'Métricas Quantitativas'!$G$35</f>
        <v>9.9999999999988987E-2</v>
      </c>
      <c r="X5" s="102">
        <f>'Métricas Quantitativas'!$G$36</f>
        <v>0.70000000000003393</v>
      </c>
      <c r="Y5" s="102">
        <f>'Métricas Quantitativas'!$G$37</f>
        <v>0.89999999999998415</v>
      </c>
      <c r="Z5" s="102">
        <f>'Métricas Quantitativas'!$G$38</f>
        <v>1.144552314225967</v>
      </c>
      <c r="AA5" s="104">
        <f t="shared" si="0"/>
        <v>0.97751934638131632</v>
      </c>
    </row>
    <row r="6" spans="1:27" ht="18" customHeight="1">
      <c r="A6" s="90">
        <v>1</v>
      </c>
      <c r="B6" s="90" t="str">
        <f>Planners!$A$15</f>
        <v>O13_1</v>
      </c>
      <c r="C6" s="90" t="str">
        <f>Planners!$B$15</f>
        <v>RRTConnect</v>
      </c>
      <c r="D6" s="92">
        <f>Planners!$C$15</f>
        <v>8.8376999999999997E-2</v>
      </c>
      <c r="E6" s="92">
        <f>Planners!$D$15</f>
        <v>3.6935850000000001</v>
      </c>
      <c r="F6" s="92">
        <f>Planners!$E$15</f>
        <v>3.781962</v>
      </c>
      <c r="G6" s="92">
        <f>Planners!$G$15</f>
        <v>2.2684000000000002</v>
      </c>
      <c r="H6" s="94">
        <f>Planners!$F$15</f>
        <v>39</v>
      </c>
      <c r="I6" s="90" t="str">
        <f>Planners!$H$15</f>
        <v>✓</v>
      </c>
      <c r="J6" s="96">
        <f>Planners!$I$15</f>
        <v>0</v>
      </c>
      <c r="L6" s="90" t="str">
        <f>'Testes obstáculos'!$A$18</f>
        <v>O16</v>
      </c>
      <c r="M6" s="90" t="str">
        <f>'Testes obstáculos'!$B$18</f>
        <v>Bloqueio</v>
      </c>
      <c r="N6" s="90" t="s">
        <v>302</v>
      </c>
      <c r="O6" s="99">
        <f>'Testes obstáculos'!$M$18</f>
        <v>335.12220000000002</v>
      </c>
      <c r="P6" s="90" t="s">
        <v>60</v>
      </c>
      <c r="R6" s="90" t="s">
        <v>221</v>
      </c>
      <c r="S6" s="102">
        <f>'Métricas Quantitativas'!$Y$14</f>
        <v>9.9999999999988987E-2</v>
      </c>
      <c r="T6" s="102">
        <f>'Métricas Quantitativas'!$Y$15</f>
        <v>1.0000000000000009</v>
      </c>
      <c r="U6" s="102">
        <f>'Métricas Quantitativas'!$Y$16</f>
        <v>50.7</v>
      </c>
      <c r="V6" s="102">
        <f>'Métricas Quantitativas'!$Y$17</f>
        <v>50.709959574032403</v>
      </c>
      <c r="W6" s="102">
        <f>'Métricas Quantitativas'!$I$35</f>
        <v>0.19999999999997797</v>
      </c>
      <c r="X6" s="102">
        <f>'Métricas Quantitativas'!$I$36</f>
        <v>0.60000000000000331</v>
      </c>
      <c r="Y6" s="102">
        <f>'Métricas Quantitativas'!$I$37</f>
        <v>1.2999999999999992</v>
      </c>
      <c r="Z6" s="102">
        <f>'Métricas Quantitativas'!$I$38</f>
        <v>1.4456832294800934</v>
      </c>
      <c r="AA6" s="104">
        <f t="shared" si="0"/>
        <v>0.9714911381980198</v>
      </c>
    </row>
    <row r="7" spans="1:27" ht="18" customHeight="1">
      <c r="A7" s="90">
        <v>1</v>
      </c>
      <c r="B7" s="90" t="str">
        <f>Planners!$A$18</f>
        <v>O13_2</v>
      </c>
      <c r="C7" s="90" t="str">
        <f>Planners!$B$18</f>
        <v>RRTConnect</v>
      </c>
      <c r="D7" s="92">
        <f>Planners!$C$18</f>
        <v>8.7822999999999998E-2</v>
      </c>
      <c r="E7" s="92">
        <f>Planners!$D$18</f>
        <v>2.8874379999999999</v>
      </c>
      <c r="F7" s="92">
        <f>Planners!$E$18</f>
        <v>2.9752610000000002</v>
      </c>
      <c r="G7" s="92">
        <f>Planners!$G$18</f>
        <v>1.184259</v>
      </c>
      <c r="H7" s="94">
        <f>Planners!$F$18</f>
        <v>30</v>
      </c>
      <c r="I7" s="90" t="str">
        <f>Planners!$H$18</f>
        <v>✓</v>
      </c>
      <c r="J7" s="96">
        <f>Planners!$I$18</f>
        <v>0</v>
      </c>
      <c r="L7" s="90" t="str">
        <f>'Testes obstáculos'!$A$5</f>
        <v>O03</v>
      </c>
      <c r="M7" s="90" t="str">
        <f>'Testes obstáculos'!$B$5</f>
        <v>Contorno</v>
      </c>
      <c r="N7" s="90" t="s">
        <v>302</v>
      </c>
      <c r="O7" s="99">
        <f>'Testes obstáculos'!$M$5</f>
        <v>110.07729999999999</v>
      </c>
      <c r="P7" s="90" t="s">
        <v>303</v>
      </c>
      <c r="R7" s="90" t="s">
        <v>222</v>
      </c>
      <c r="S7" s="102">
        <f>'Métricas Quantitativas'!$AB$14</f>
        <v>0.60000000000004494</v>
      </c>
      <c r="T7" s="102">
        <f>'Métricas Quantitativas'!$AB$15</f>
        <v>9.9999999999988987E-2</v>
      </c>
      <c r="U7" s="102">
        <f>'Métricas Quantitativas'!$AB$16</f>
        <v>50.699999999999996</v>
      </c>
      <c r="V7" s="102">
        <f>'Métricas Quantitativas'!$AB$17</f>
        <v>50.703648783889307</v>
      </c>
      <c r="W7" s="102">
        <f>'Métricas Quantitativas'!$J$35</f>
        <v>0.49999999999994493</v>
      </c>
      <c r="X7" s="102">
        <f>'Métricas Quantitativas'!$J$36</f>
        <v>0.50000000000000044</v>
      </c>
      <c r="Y7" s="102">
        <f>'Métricas Quantitativas'!$J$37</f>
        <v>0.39999999999999758</v>
      </c>
      <c r="Z7" s="102">
        <f>'Métricas Quantitativas'!$J$38</f>
        <v>0.81240384046356118</v>
      </c>
      <c r="AA7" s="104">
        <f t="shared" si="0"/>
        <v>0.98397740872799477</v>
      </c>
    </row>
    <row r="8" spans="1:27" ht="18" customHeight="1">
      <c r="A8" s="90">
        <v>1</v>
      </c>
      <c r="B8" s="90" t="str">
        <f>Planners!$A$21</f>
        <v>O17_1</v>
      </c>
      <c r="C8" s="90" t="str">
        <f>Planners!$B$21</f>
        <v>RRTConnect</v>
      </c>
      <c r="D8" s="92">
        <f>Planners!$C$21</f>
        <v>0.10485899999999999</v>
      </c>
      <c r="E8" s="92">
        <f>Planners!$D$21</f>
        <v>4.2438079999999996</v>
      </c>
      <c r="F8" s="92">
        <f>Planners!$E$21</f>
        <v>4.3486669999999998</v>
      </c>
      <c r="G8" s="92">
        <f>Planners!$G$21</f>
        <v>3.3886310000000002</v>
      </c>
      <c r="H8" s="94">
        <f>Planners!$F$21</f>
        <v>44</v>
      </c>
      <c r="I8" s="90" t="str">
        <f>Planners!$H$21</f>
        <v>✓</v>
      </c>
      <c r="J8" s="96">
        <f>Planners!$I$21</f>
        <v>0</v>
      </c>
      <c r="L8" s="90" t="str">
        <f>'Testes obstáculos'!$A$5</f>
        <v>O03</v>
      </c>
      <c r="M8" s="90" t="str">
        <f>'Testes obstáculos'!$B$5</f>
        <v>Contorno</v>
      </c>
      <c r="N8" s="90" t="s">
        <v>304</v>
      </c>
      <c r="O8" s="99">
        <f>'Testes obstáculos'!$N$5</f>
        <v>42.056199999999997</v>
      </c>
      <c r="P8" s="90" t="s">
        <v>303</v>
      </c>
      <c r="R8" s="90" t="s">
        <v>230</v>
      </c>
      <c r="S8" s="102">
        <f>'Métricas Quantitativas'!$AH$14</f>
        <v>0.19999999999997797</v>
      </c>
      <c r="T8" s="102">
        <f>'Métricas Quantitativas'!$AH$15</f>
        <v>0.29999999999996696</v>
      </c>
      <c r="U8" s="102">
        <f>'Métricas Quantitativas'!$AH$16</f>
        <v>49.699999999999996</v>
      </c>
      <c r="V8" s="102">
        <f>'Métricas Quantitativas'!$AH$17</f>
        <v>49.701307829875056</v>
      </c>
      <c r="W8" s="102">
        <f>'Métricas Quantitativas'!$L$35</f>
        <v>0.40000000000006697</v>
      </c>
      <c r="X8" s="102">
        <f>'Métricas Quantitativas'!$L$36</f>
        <v>0.29999999999996696</v>
      </c>
      <c r="Y8" s="102">
        <f>'Métricas Quantitativas'!$L$37</f>
        <v>0.90000000000000147</v>
      </c>
      <c r="Z8" s="102">
        <f>'Métricas Quantitativas'!$L$38</f>
        <v>1.0295630140987178</v>
      </c>
      <c r="AA8" s="104">
        <f t="shared" si="0"/>
        <v>0.97928499150117221</v>
      </c>
    </row>
    <row r="9" spans="1:27" ht="18" customHeight="1">
      <c r="A9" s="90">
        <v>1</v>
      </c>
      <c r="B9" s="90" t="str">
        <f>Planners!$A$24</f>
        <v>O17_2</v>
      </c>
      <c r="C9" s="90" t="str">
        <f>Planners!$B$24</f>
        <v>RRTConnect</v>
      </c>
      <c r="D9" s="92">
        <f>Planners!$C$24</f>
        <v>6.1878000000000002E-2</v>
      </c>
      <c r="E9" s="92">
        <f>Planners!$D$24</f>
        <v>2.956337</v>
      </c>
      <c r="F9" s="92">
        <f>Planners!$E$24</f>
        <v>3.0182150000000001</v>
      </c>
      <c r="G9" s="92">
        <f>Planners!$G$24</f>
        <v>1.2833220000000001</v>
      </c>
      <c r="H9" s="94">
        <f>Planners!$F$24</f>
        <v>31</v>
      </c>
      <c r="I9" s="90" t="str">
        <f>Planners!$H$24</f>
        <v>✓</v>
      </c>
      <c r="J9" s="96">
        <f>Planners!$I$24</f>
        <v>0</v>
      </c>
      <c r="L9" s="90" t="str">
        <f>'Testes obstáculos'!$A$9</f>
        <v>O07</v>
      </c>
      <c r="M9" s="90" t="str">
        <f>'Testes obstáculos'!$B$9</f>
        <v>Contorno</v>
      </c>
      <c r="N9" s="90" t="s">
        <v>302</v>
      </c>
      <c r="O9" s="99">
        <f>'Testes obstáculos'!$M$9</f>
        <v>253.92619999999999</v>
      </c>
      <c r="P9" s="90" t="s">
        <v>303</v>
      </c>
      <c r="R9" s="90" t="s">
        <v>231</v>
      </c>
      <c r="S9" s="102">
        <f>'Métricas Quantitativas'!$AK$14</f>
        <v>9.9999999999988987E-2</v>
      </c>
      <c r="T9" s="102">
        <f>'Métricas Quantitativas'!$AK$15</f>
        <v>9.9999999999988987E-2</v>
      </c>
      <c r="U9" s="102">
        <f>'Métricas Quantitativas'!$AK$16</f>
        <v>50.2</v>
      </c>
      <c r="V9" s="102">
        <f>'Métricas Quantitativas'!$AK$17</f>
        <v>50.200199202792021</v>
      </c>
      <c r="W9" s="102">
        <f>'Métricas Quantitativas'!$M$35</f>
        <v>9.9999999999988987E-2</v>
      </c>
      <c r="X9" s="102">
        <f>'Métricas Quantitativas'!$M$36</f>
        <v>0.39999999999995595</v>
      </c>
      <c r="Y9" s="102">
        <f>'Métricas Quantitativas'!$M$37</f>
        <v>0.69999999999999929</v>
      </c>
      <c r="Z9" s="102">
        <f>'Métricas Quantitativas'!$M$38</f>
        <v>0.81240384046357239</v>
      </c>
      <c r="AA9" s="104">
        <f t="shared" si="0"/>
        <v>0.98381672078268589</v>
      </c>
    </row>
    <row r="10" spans="1:27" ht="18" customHeight="1">
      <c r="A10" s="90">
        <v>1</v>
      </c>
      <c r="B10" s="90" t="str">
        <f>Planners!$A$27</f>
        <v>O19_1</v>
      </c>
      <c r="C10" s="90" t="str">
        <f>Planners!$B$27</f>
        <v>RRTConnect</v>
      </c>
      <c r="D10" s="92">
        <f>Planners!$C$27</f>
        <v>0.113818</v>
      </c>
      <c r="E10" s="92">
        <f>Planners!$D$27</f>
        <v>4.1506990000000004</v>
      </c>
      <c r="F10" s="92">
        <f>Planners!$E$27</f>
        <v>4.2645170000000006</v>
      </c>
      <c r="G10" s="92">
        <f>Planners!$G$27</f>
        <v>3.2021099999999998</v>
      </c>
      <c r="H10" s="94">
        <f>Planners!$F$27</f>
        <v>43</v>
      </c>
      <c r="I10" s="90" t="str">
        <f>Planners!$H$27</f>
        <v>✓</v>
      </c>
      <c r="J10" s="96">
        <f>Planners!$I$27</f>
        <v>0</v>
      </c>
      <c r="L10" s="90" t="str">
        <f>'Testes obstáculos'!$A$9</f>
        <v>O07</v>
      </c>
      <c r="M10" s="90" t="str">
        <f>'Testes obstáculos'!$B$9</f>
        <v>Contorno</v>
      </c>
      <c r="N10" s="90" t="s">
        <v>304</v>
      </c>
      <c r="O10" s="99">
        <f>'Testes obstáculos'!$N$9</f>
        <v>76.151399999999995</v>
      </c>
      <c r="P10" s="90" t="s">
        <v>303</v>
      </c>
      <c r="R10" s="90" t="s">
        <v>232</v>
      </c>
      <c r="S10" s="102">
        <f>'Métricas Quantitativas'!$AN$14</f>
        <v>49.500000000000014</v>
      </c>
      <c r="T10" s="102">
        <f>'Métricas Quantitativas'!$AN$15</f>
        <v>1.9000000000000128</v>
      </c>
      <c r="U10" s="102">
        <f>'Métricas Quantitativas'!$AN$16</f>
        <v>5.8</v>
      </c>
      <c r="V10" s="102">
        <f>'Métricas Quantitativas'!$AN$17</f>
        <v>49.874843358150024</v>
      </c>
      <c r="W10" s="102">
        <f>'Métricas Quantitativas'!$N$35</f>
        <v>0.40000000000001146</v>
      </c>
      <c r="X10" s="102">
        <f>'Métricas Quantitativas'!$N$36</f>
        <v>9.9999999999988987E-2</v>
      </c>
      <c r="Y10" s="102">
        <f>'Métricas Quantitativas'!$N$37</f>
        <v>0.89999999999999802</v>
      </c>
      <c r="Z10" s="102">
        <f>'Métricas Quantitativas'!$N$38</f>
        <v>0.98994949366116824</v>
      </c>
      <c r="AA10" s="104">
        <f t="shared" si="0"/>
        <v>0.98015132625976653</v>
      </c>
    </row>
    <row r="11" spans="1:27" ht="18" customHeight="1">
      <c r="A11" s="90">
        <v>1</v>
      </c>
      <c r="B11" s="90" t="str">
        <f>Planners!$A$30</f>
        <v>O19_2</v>
      </c>
      <c r="C11" s="90" t="str">
        <f>Planners!$B$30</f>
        <v>RRTConnect</v>
      </c>
      <c r="D11" s="92">
        <f>Planners!$C$30</f>
        <v>0.139846</v>
      </c>
      <c r="E11" s="92">
        <f>Planners!$D$30</f>
        <v>5.0091469999999996</v>
      </c>
      <c r="F11" s="92">
        <f>Planners!$E$30</f>
        <v>5.1489929999999999</v>
      </c>
      <c r="G11" s="92">
        <f>Planners!$G$30</f>
        <v>3.038456</v>
      </c>
      <c r="H11" s="94">
        <f>Planners!$F$30</f>
        <v>52</v>
      </c>
      <c r="I11" s="90" t="str">
        <f>Planners!$H$30</f>
        <v>✓</v>
      </c>
      <c r="J11" s="96">
        <f>Planners!$I$30</f>
        <v>0</v>
      </c>
      <c r="L11" s="90" t="str">
        <f>'Testes obstáculos'!$A$15</f>
        <v>O13</v>
      </c>
      <c r="M11" s="90" t="str">
        <f>'Testes obstáculos'!$B$15</f>
        <v>Contorno</v>
      </c>
      <c r="N11" s="90" t="s">
        <v>302</v>
      </c>
      <c r="O11" s="99">
        <f>'Testes obstáculos'!$M$15</f>
        <v>226.33920000000001</v>
      </c>
      <c r="P11" s="90" t="s">
        <v>303</v>
      </c>
      <c r="R11" s="90" t="s">
        <v>233</v>
      </c>
      <c r="S11" s="102">
        <f>'Métricas Quantitativas'!$AQ$14</f>
        <v>9.9000000000000199</v>
      </c>
      <c r="T11" s="102">
        <f>'Métricas Quantitativas'!$AQ$15</f>
        <v>19.199999999999996</v>
      </c>
      <c r="U11" s="102">
        <f>'Métricas Quantitativas'!$AQ$16</f>
        <v>44.100000000000009</v>
      </c>
      <c r="V11" s="102">
        <f>'Métricas Quantitativas'!$AQ$17</f>
        <v>49.106618698501336</v>
      </c>
      <c r="W11" s="102">
        <f>'Métricas Quantitativas'!$O$35</f>
        <v>0.50000000000005596</v>
      </c>
      <c r="X11" s="102">
        <f>'Métricas Quantitativas'!$O$36</f>
        <v>9.9999999999988987E-2</v>
      </c>
      <c r="Y11" s="102">
        <f>'Métricas Quantitativas'!$O$37</f>
        <v>4.0000000000005309E-2</v>
      </c>
      <c r="Z11" s="102">
        <f>'Métricas Quantitativas'!$O$38</f>
        <v>0.51146847410182983</v>
      </c>
      <c r="AA11" s="104">
        <f t="shared" si="0"/>
        <v>0.98958453080954156</v>
      </c>
    </row>
    <row r="12" spans="1:27" ht="18" customHeight="1">
      <c r="A12" s="90">
        <v>1</v>
      </c>
      <c r="B12" s="90" t="str">
        <f>Planners!$A$33</f>
        <v>O19_3</v>
      </c>
      <c r="C12" s="90" t="str">
        <f>Planners!$B$33</f>
        <v>RRTConnect</v>
      </c>
      <c r="D12" s="92">
        <f>Planners!$C$33</f>
        <v>0.16047600000000001</v>
      </c>
      <c r="E12" s="92">
        <f>Planners!$D$33</f>
        <v>4.6971040000000004</v>
      </c>
      <c r="F12" s="92">
        <f>Planners!$E$33</f>
        <v>4.8575800000000005</v>
      </c>
      <c r="G12" s="92">
        <f>Planners!$G$33</f>
        <v>5.2704599999999999</v>
      </c>
      <c r="H12" s="94">
        <f>Planners!$F$33</f>
        <v>49</v>
      </c>
      <c r="I12" s="90" t="str">
        <f>Planners!$H$33</f>
        <v>✓</v>
      </c>
      <c r="J12" s="96">
        <f>Planners!$I$33</f>
        <v>0</v>
      </c>
      <c r="L12" s="90" t="str">
        <f>'Testes obstáculos'!$A$15</f>
        <v>O13</v>
      </c>
      <c r="M12" s="90" t="str">
        <f>'Testes obstáculos'!$B$15</f>
        <v>Contorno</v>
      </c>
      <c r="N12" s="90" t="s">
        <v>304</v>
      </c>
      <c r="O12" s="99">
        <f>'Testes obstáculos'!$N$15</f>
        <v>145.37639999999999</v>
      </c>
      <c r="P12" s="90" t="s">
        <v>303</v>
      </c>
      <c r="R12" s="90" t="s">
        <v>234</v>
      </c>
      <c r="S12" s="102">
        <f>'Métricas Quantitativas'!$AT$14</f>
        <v>13.700000000000045</v>
      </c>
      <c r="T12" s="102">
        <f>'Métricas Quantitativas'!$AT$15</f>
        <v>0.30000000000000165</v>
      </c>
      <c r="U12" s="102">
        <f>'Métricas Quantitativas'!$AT$16</f>
        <v>48</v>
      </c>
      <c r="V12" s="102">
        <f>'Métricas Quantitativas'!$AT$17</f>
        <v>49.917732320288764</v>
      </c>
      <c r="W12" s="102">
        <f>'Métricas Quantitativas'!$P$35</f>
        <v>0.40000000000017799</v>
      </c>
      <c r="X12" s="102">
        <f>'Métricas Quantitativas'!$P$36</f>
        <v>0.50000000000000044</v>
      </c>
      <c r="Y12" s="102">
        <f>'Métricas Quantitativas'!$P$37</f>
        <v>0.29999999999999472</v>
      </c>
      <c r="Z12" s="102">
        <f>'Métricas Quantitativas'!$P$38</f>
        <v>0.70710678118664627</v>
      </c>
      <c r="AA12" s="104">
        <f t="shared" si="0"/>
        <v>0.98583455721406543</v>
      </c>
    </row>
    <row r="13" spans="1:27" ht="18" customHeight="1">
      <c r="A13" s="90">
        <v>1</v>
      </c>
      <c r="B13" s="90" t="str">
        <f>Planners!$A$36</f>
        <v>O20_1</v>
      </c>
      <c r="C13" s="90" t="str">
        <f>Planners!$B$36</f>
        <v>RRTConnect</v>
      </c>
      <c r="D13" s="92">
        <f>Planners!$C$36</f>
        <v>9.3743000000000007E-2</v>
      </c>
      <c r="E13" s="92">
        <f>Planners!$D$36</f>
        <v>3.6670509999999998</v>
      </c>
      <c r="F13" s="92">
        <f>Planners!$E$36</f>
        <v>3.7607939999999997</v>
      </c>
      <c r="G13" s="92">
        <f>Planners!$G$36</f>
        <v>2.7290939999999999</v>
      </c>
      <c r="H13" s="94">
        <f>Planners!$F$36</f>
        <v>38</v>
      </c>
      <c r="I13" s="90" t="str">
        <f>Planners!$H$36</f>
        <v>✓</v>
      </c>
      <c r="J13" s="96">
        <f>Planners!$I$36</f>
        <v>0</v>
      </c>
      <c r="L13" s="90" t="str">
        <f>'Testes obstáculos'!$A$19</f>
        <v>O17</v>
      </c>
      <c r="M13" s="90" t="str">
        <f>'Testes obstáculos'!$B$19</f>
        <v>Contorno</v>
      </c>
      <c r="N13" s="90" t="s">
        <v>302</v>
      </c>
      <c r="O13" s="99">
        <f>'Testes obstáculos'!$M$19</f>
        <v>250.27789999999999</v>
      </c>
      <c r="P13" s="90" t="s">
        <v>303</v>
      </c>
      <c r="R13" s="90" t="s">
        <v>235</v>
      </c>
      <c r="S13" s="102">
        <f>'Métricas Quantitativas'!$AW$14</f>
        <v>1.5000000000000013</v>
      </c>
      <c r="T13" s="102">
        <f>'Métricas Quantitativas'!$AW$15</f>
        <v>12.700000000000045</v>
      </c>
      <c r="U13" s="102">
        <f>'Métricas Quantitativas'!$AW$16</f>
        <v>48.9</v>
      </c>
      <c r="V13" s="102">
        <f>'Métricas Quantitativas'!$AW$17</f>
        <v>50.544534818316421</v>
      </c>
      <c r="W13" s="102">
        <f>'Métricas Quantitativas'!$Q$35</f>
        <v>0.89999999999995639</v>
      </c>
      <c r="X13" s="102">
        <f>'Métricas Quantitativas'!$Q$36</f>
        <v>0.60000000000004494</v>
      </c>
      <c r="Y13" s="102">
        <f>'Métricas Quantitativas'!$Q$37</f>
        <v>0.10000000000000286</v>
      </c>
      <c r="Z13" s="102">
        <f>'Métricas Quantitativas'!$Q$38</f>
        <v>1.0862780491200106</v>
      </c>
      <c r="AA13" s="104">
        <f t="shared" si="0"/>
        <v>0.97850849645714089</v>
      </c>
    </row>
    <row r="14" spans="1:27" ht="18" customHeight="1">
      <c r="A14" s="90">
        <v>1</v>
      </c>
      <c r="B14" s="90" t="str">
        <f>Planners!$A$39</f>
        <v>O20_2</v>
      </c>
      <c r="C14" s="90" t="str">
        <f>Planners!$B$39</f>
        <v>RRTConnect</v>
      </c>
      <c r="D14" s="92">
        <f>Planners!$C$39</f>
        <v>7.8313999999999995E-2</v>
      </c>
      <c r="E14" s="92">
        <f>Planners!$D$39</f>
        <v>2.8977949999999999</v>
      </c>
      <c r="F14" s="92">
        <f>Planners!$E$39</f>
        <v>2.9761090000000001</v>
      </c>
      <c r="G14" s="92">
        <f>Planners!$G$39</f>
        <v>1.3266210000000001</v>
      </c>
      <c r="H14" s="94">
        <f>Planners!$F$39</f>
        <v>30</v>
      </c>
      <c r="I14" s="90" t="str">
        <f>Planners!$H$39</f>
        <v>✓</v>
      </c>
      <c r="J14" s="96">
        <f>Planners!$I$39</f>
        <v>0</v>
      </c>
      <c r="L14" s="90" t="str">
        <f>'Testes obstáculos'!$A$19</f>
        <v>O17</v>
      </c>
      <c r="M14" s="90" t="str">
        <f>'Testes obstáculos'!$B$19</f>
        <v>Contorno</v>
      </c>
      <c r="N14" s="90" t="s">
        <v>304</v>
      </c>
      <c r="O14" s="99">
        <f>'Testes obstáculos'!$N$19</f>
        <v>202.28819999999999</v>
      </c>
      <c r="P14" s="90" t="s">
        <v>303</v>
      </c>
      <c r="R14" s="90" t="s">
        <v>236</v>
      </c>
      <c r="S14" s="102">
        <f>'Métricas Quantitativas'!$AZ$14</f>
        <v>8.2000000000000952</v>
      </c>
      <c r="T14" s="102">
        <f>'Métricas Quantitativas'!$AZ$15</f>
        <v>8.9000000000000199</v>
      </c>
      <c r="U14" s="102">
        <f>'Métricas Quantitativas'!$AZ$16</f>
        <v>48.1</v>
      </c>
      <c r="V14" s="102">
        <f>'Métricas Quantitativas'!$AZ$17</f>
        <v>49.598991925239794</v>
      </c>
      <c r="W14" s="102">
        <f>'Métricas Quantitativas'!$R$35</f>
        <v>0.49999999999994493</v>
      </c>
      <c r="X14" s="102">
        <f>'Métricas Quantitativas'!$R$36</f>
        <v>0.39999999999995595</v>
      </c>
      <c r="Y14" s="102">
        <f>'Métricas Quantitativas'!$R$37</f>
        <v>0.10000000000000286</v>
      </c>
      <c r="Z14" s="102">
        <f>'Métricas Quantitativas'!$R$38</f>
        <v>0.6480740698407168</v>
      </c>
      <c r="AA14" s="104">
        <f t="shared" si="0"/>
        <v>0.98693372496728249</v>
      </c>
    </row>
    <row r="15" spans="1:27" ht="18" customHeight="1">
      <c r="A15" s="90">
        <v>1</v>
      </c>
      <c r="B15" s="90" t="str">
        <f>Planners!$A$42</f>
        <v>O20_3</v>
      </c>
      <c r="C15" s="90" t="str">
        <f>Planners!$B$42</f>
        <v>RRTConnect</v>
      </c>
      <c r="D15" s="92">
        <f>Planners!$C$42</f>
        <v>8.3858000000000002E-2</v>
      </c>
      <c r="E15" s="92">
        <f>Planners!$D$42</f>
        <v>3.1983709999999999</v>
      </c>
      <c r="F15" s="92">
        <f>Planners!$E$42</f>
        <v>3.2822290000000001</v>
      </c>
      <c r="G15" s="92">
        <f>Planners!$G$42</f>
        <v>1.4893559999999999</v>
      </c>
      <c r="H15" s="94">
        <f>Planners!$F$42</f>
        <v>34</v>
      </c>
      <c r="I15" s="90" t="str">
        <f>Planners!$H$42</f>
        <v>✓</v>
      </c>
      <c r="J15" s="96">
        <f>Planners!$I$42</f>
        <v>0</v>
      </c>
      <c r="L15" s="90" t="str">
        <f>'Testes obstáculos'!$A$22</f>
        <v>O19</v>
      </c>
      <c r="M15" s="90" t="str">
        <f>'Testes obstáculos'!$B$22</f>
        <v>Desvio de trajetória sem colisão</v>
      </c>
      <c r="N15" s="90" t="s">
        <v>302</v>
      </c>
      <c r="O15" s="99">
        <f>'Testes obstáculos'!$M$22</f>
        <v>341.16910000000001</v>
      </c>
      <c r="P15" s="90" t="s">
        <v>303</v>
      </c>
      <c r="R15" s="90" t="s">
        <v>237</v>
      </c>
      <c r="S15" s="102">
        <f>'Métricas Quantitativas'!$BC$14</f>
        <v>0.89999999999990088</v>
      </c>
      <c r="T15" s="102">
        <f>'Métricas Quantitativas'!$BC$15</f>
        <v>1</v>
      </c>
      <c r="U15" s="102">
        <f>'Métricas Quantitativas'!$BC$16</f>
        <v>50.399999999999991</v>
      </c>
      <c r="V15" s="102">
        <f>'Métricas Quantitativas'!$BC$17</f>
        <v>50.417953151630414</v>
      </c>
      <c r="W15" s="102">
        <f>'Métricas Quantitativas'!$S$35</f>
        <v>0.29999999999996696</v>
      </c>
      <c r="X15" s="102">
        <f>'Métricas Quantitativas'!$S$36</f>
        <v>0.59999999999999987</v>
      </c>
      <c r="Y15" s="102">
        <f>'Métricas Quantitativas'!$S$37</f>
        <v>9.9999999999988987E-2</v>
      </c>
      <c r="Z15" s="102">
        <f>'Métricas Quantitativas'!$S$38</f>
        <v>0.67823299831251038</v>
      </c>
      <c r="AA15" s="104">
        <f t="shared" si="0"/>
        <v>0.98654778792243414</v>
      </c>
    </row>
    <row r="16" spans="1:27" ht="18" customHeight="1">
      <c r="A16" s="90">
        <v>1</v>
      </c>
      <c r="B16" s="90" t="str">
        <f>Planners!$A$45</f>
        <v>O21</v>
      </c>
      <c r="C16" s="90" t="str">
        <f>Planners!$B$45</f>
        <v>RRTConnect</v>
      </c>
      <c r="D16" s="92">
        <f>Planners!$C$45</f>
        <v>8.4749000000000005E-2</v>
      </c>
      <c r="E16" s="92">
        <f>Planners!$D$45</f>
        <v>3.4424030000000001</v>
      </c>
      <c r="F16" s="92">
        <f>Planners!$E$45</f>
        <v>3.5271520000000001</v>
      </c>
      <c r="G16" s="92">
        <f>Planners!$G$45</f>
        <v>2.6006100000000001</v>
      </c>
      <c r="H16" s="94">
        <f>Planners!$F$45</f>
        <v>36</v>
      </c>
      <c r="I16" s="90" t="str">
        <f>Planners!$H$45</f>
        <v>✓</v>
      </c>
      <c r="J16" s="96">
        <f>Planners!$I$45</f>
        <v>0</v>
      </c>
      <c r="L16" s="90" t="str">
        <f>'Testes obstáculos'!$A$22</f>
        <v>O19</v>
      </c>
      <c r="M16" s="90" t="str">
        <f>'Testes obstáculos'!$B$22</f>
        <v>Desvio de trajetória sem colisão</v>
      </c>
      <c r="N16" s="90" t="s">
        <v>304</v>
      </c>
      <c r="O16" s="99">
        <f>'Testes obstáculos'!$N$22</f>
        <v>216.982</v>
      </c>
      <c r="P16" s="90" t="s">
        <v>303</v>
      </c>
      <c r="R16" s="90" t="s">
        <v>151</v>
      </c>
      <c r="S16" s="102">
        <f>'Métricas Quantitativas'!$BF$14</f>
        <v>12.199999999999989</v>
      </c>
      <c r="T16" s="102">
        <f>'Métricas Quantitativas'!$BF$15</f>
        <v>17.000000000000014</v>
      </c>
      <c r="U16" s="102">
        <f>'Métricas Quantitativas'!$BF$16</f>
        <v>44.999999999999993</v>
      </c>
      <c r="V16" s="102">
        <f>'Métricas Quantitativas'!$BF$17</f>
        <v>49.627008775464184</v>
      </c>
      <c r="W16" s="102">
        <f>'Métricas Quantitativas'!$T$35</f>
        <v>0.60000000000004494</v>
      </c>
      <c r="X16" s="102">
        <f>'Métricas Quantitativas'!$T$36</f>
        <v>0.39999999999995595</v>
      </c>
      <c r="Y16" s="102">
        <f>'Métricas Quantitativas'!$T$37</f>
        <v>0.50000000000000044</v>
      </c>
      <c r="Z16" s="102">
        <f>'Métricas Quantitativas'!$T$38</f>
        <v>0.87749643873922312</v>
      </c>
      <c r="AA16" s="104">
        <f t="shared" si="0"/>
        <v>0.98231816786078263</v>
      </c>
    </row>
    <row r="17" spans="1:27" ht="18" customHeight="1">
      <c r="A17" s="90">
        <v>1</v>
      </c>
      <c r="B17" s="90" t="str">
        <f>Planners!$A$48</f>
        <v>O22_1</v>
      </c>
      <c r="C17" s="90" t="str">
        <f>Planners!$B$48</f>
        <v>RRTConnect</v>
      </c>
      <c r="D17" s="92">
        <f>Planners!$C$48</f>
        <v>0.12565499999999999</v>
      </c>
      <c r="E17" s="92">
        <f>Planners!$D$48</f>
        <v>3.6844450000000002</v>
      </c>
      <c r="F17" s="92">
        <f>Planners!$E$48</f>
        <v>3.8101000000000003</v>
      </c>
      <c r="G17" s="92">
        <f>Planners!$G$48</f>
        <v>2.2543899999999999</v>
      </c>
      <c r="H17" s="94">
        <f>Planners!$F$48</f>
        <v>39</v>
      </c>
      <c r="I17" s="90" t="str">
        <f>Planners!$H$48</f>
        <v>✓</v>
      </c>
      <c r="J17" s="96">
        <f>Planners!$I$48</f>
        <v>0</v>
      </c>
      <c r="L17" s="90" t="str">
        <f>'Testes obstáculos'!$A$22</f>
        <v>O19</v>
      </c>
      <c r="M17" s="90" t="str">
        <f>'Testes obstáculos'!$B$22</f>
        <v>Desvio de trajetória sem colisão</v>
      </c>
      <c r="N17" s="90" t="s">
        <v>305</v>
      </c>
      <c r="O17" s="99">
        <f>'Testes obstáculos'!$O$22</f>
        <v>300.11219999999997</v>
      </c>
      <c r="P17" s="90" t="s">
        <v>303</v>
      </c>
      <c r="R17" s="90" t="s">
        <v>238</v>
      </c>
      <c r="S17" s="102">
        <f>'Métricas Quantitativas'!$BI$14</f>
        <v>9.9999999999988987E-2</v>
      </c>
      <c r="T17" s="102">
        <f>'Métricas Quantitativas'!$BI$15</f>
        <v>0.69999999999999929</v>
      </c>
      <c r="U17" s="102">
        <f>'Métricas Quantitativas'!$BI$16</f>
        <v>48.800000000000011</v>
      </c>
      <c r="V17" s="102">
        <f>'Métricas Quantitativas'!$BI$17</f>
        <v>48.805122681948056</v>
      </c>
      <c r="W17" s="102">
        <f>'Métricas Quantitativas'!$U$35</f>
        <v>0.70000000000014495</v>
      </c>
      <c r="X17" s="102">
        <f>'Métricas Quantitativas'!$U$36</f>
        <v>0.29999999999999472</v>
      </c>
      <c r="Y17" s="102">
        <f>'Métricas Quantitativas'!$U$37</f>
        <v>0.10000000000001674</v>
      </c>
      <c r="Z17" s="102">
        <f>'Métricas Quantitativas'!$U$38</f>
        <v>0.76811457478699308</v>
      </c>
      <c r="AA17" s="104">
        <f t="shared" si="0"/>
        <v>0.98426159934495772</v>
      </c>
    </row>
    <row r="18" spans="1:27" ht="18" customHeight="1">
      <c r="A18" s="90">
        <v>1</v>
      </c>
      <c r="B18" s="90" t="str">
        <f>Planners!$A$51</f>
        <v>O22_2</v>
      </c>
      <c r="C18" s="90" t="str">
        <f>Planners!$B$51</f>
        <v>RRTConnect</v>
      </c>
      <c r="D18" s="92">
        <f>Planners!$C$51</f>
        <v>0.123364</v>
      </c>
      <c r="E18" s="92">
        <f>Planners!$D$51</f>
        <v>3.4558040000000001</v>
      </c>
      <c r="F18" s="92">
        <f>Planners!$E$51</f>
        <v>3.5791680000000001</v>
      </c>
      <c r="G18" s="92">
        <f>Planners!$G$51</f>
        <v>1.418002</v>
      </c>
      <c r="H18" s="94">
        <f>Planners!$F$51</f>
        <v>36</v>
      </c>
      <c r="I18" s="90" t="str">
        <f>Planners!$H$51</f>
        <v>✓</v>
      </c>
      <c r="J18" s="96">
        <f>Planners!$I$51</f>
        <v>0</v>
      </c>
      <c r="L18" s="90" t="str">
        <f>'Testes obstáculos'!$A$23</f>
        <v>O20 (CORREDOR ESTREITO)</v>
      </c>
      <c r="M18" s="90" t="str">
        <f>'Testes obstáculos'!$B$23</f>
        <v>Desvio de trajetória sem colisão</v>
      </c>
      <c r="N18" s="90" t="s">
        <v>302</v>
      </c>
      <c r="O18" s="99">
        <f>'Testes obstáculos'!$M$23</f>
        <v>147.44970000000001</v>
      </c>
      <c r="P18" s="90" t="s">
        <v>303</v>
      </c>
      <c r="R18" s="90" t="s">
        <v>239</v>
      </c>
      <c r="S18" s="102">
        <f>'Métricas Quantitativas'!$BL$14</f>
        <v>9.9999999999988987E-2</v>
      </c>
      <c r="T18" s="102">
        <f>'Métricas Quantitativas'!$BL$15</f>
        <v>0.69999999999997842</v>
      </c>
      <c r="U18" s="102">
        <f>'Métricas Quantitativas'!$BL$16</f>
        <v>51.699999999999996</v>
      </c>
      <c r="V18" s="102">
        <f>'Métricas Quantitativas'!$BL$17</f>
        <v>51.704835363822596</v>
      </c>
      <c r="W18" s="102">
        <f>'Métricas Quantitativas'!$V$35</f>
        <v>0.200000000000089</v>
      </c>
      <c r="X18" s="102">
        <f>'Métricas Quantitativas'!$V$36</f>
        <v>9.9999999999988987E-2</v>
      </c>
      <c r="Y18" s="102">
        <f>'Métricas Quantitativas'!$V$37</f>
        <v>0.19999999999997797</v>
      </c>
      <c r="Z18" s="102">
        <f>'Métricas Quantitativas'!$V$38</f>
        <v>0.30000000000004096</v>
      </c>
      <c r="AA18" s="104">
        <f t="shared" si="0"/>
        <v>0.99419783473075429</v>
      </c>
    </row>
    <row r="19" spans="1:27" ht="18" customHeight="1">
      <c r="A19" s="90">
        <v>2</v>
      </c>
      <c r="B19" s="90" t="str">
        <f>Planners!$R$3</f>
        <v>O03_1</v>
      </c>
      <c r="C19" s="90" t="str">
        <f>Planners!$S$3</f>
        <v>RRTConnect</v>
      </c>
      <c r="D19" s="92">
        <f>Planners!$T$3</f>
        <v>8.2686999999999997E-2</v>
      </c>
      <c r="E19" s="92">
        <f>Planners!$U$3</f>
        <v>3.7399170000000002</v>
      </c>
      <c r="F19" s="92">
        <f>Planners!$V$3</f>
        <v>3.8226040000000001</v>
      </c>
      <c r="G19" s="92">
        <f>Planners!$X$3</f>
        <v>2.25386</v>
      </c>
      <c r="H19" s="94">
        <f>Planners!$W$3</f>
        <v>39</v>
      </c>
      <c r="I19" s="90" t="str">
        <f>Planners!$Y$3</f>
        <v>✓</v>
      </c>
      <c r="J19" s="96">
        <f>Planners!$Z$3</f>
        <v>0</v>
      </c>
      <c r="L19" s="90" t="str">
        <f>'Testes obstáculos'!$A$23</f>
        <v>O20 (CORREDOR ESTREITO)</v>
      </c>
      <c r="M19" s="90" t="str">
        <f>'Testes obstáculos'!$B$23</f>
        <v>Desvio de trajetória sem colisão</v>
      </c>
      <c r="N19" s="90" t="s">
        <v>304</v>
      </c>
      <c r="O19" s="99">
        <f>'Testes obstáculos'!$N$23</f>
        <v>98.072500000000005</v>
      </c>
      <c r="P19" s="90" t="s">
        <v>303</v>
      </c>
    </row>
    <row r="20" spans="1:27" ht="18" customHeight="1">
      <c r="A20" s="90">
        <v>2</v>
      </c>
      <c r="B20" s="90" t="str">
        <f>Planners!$R$6</f>
        <v>O03_2</v>
      </c>
      <c r="C20" s="90" t="str">
        <f>Planners!$S$6</f>
        <v>RRTConnect</v>
      </c>
      <c r="D20" s="92">
        <f>Planners!$T$6</f>
        <v>7.7683000000000002E-2</v>
      </c>
      <c r="E20" s="92">
        <f>Planners!$U$6</f>
        <v>3.4498549999999999</v>
      </c>
      <c r="F20" s="92">
        <f>Planners!$V$6</f>
        <v>3.5275379999999998</v>
      </c>
      <c r="G20" s="92">
        <f>Planners!$X$6</f>
        <v>1.413859</v>
      </c>
      <c r="H20" s="94">
        <f>Planners!$W$6</f>
        <v>36</v>
      </c>
      <c r="I20" s="90" t="str">
        <f>Planners!$Y$6</f>
        <v>✓</v>
      </c>
      <c r="J20" s="96">
        <f>Planners!$Z$6</f>
        <v>0</v>
      </c>
      <c r="L20" s="90" t="str">
        <f>'Testes obstáculos'!$A$23</f>
        <v>O20 (CORREDOR ESTREITO)</v>
      </c>
      <c r="M20" s="90" t="str">
        <f>'Testes obstáculos'!$B$23</f>
        <v>Desvio de trajetória sem colisão</v>
      </c>
      <c r="N20" s="90" t="s">
        <v>305</v>
      </c>
      <c r="O20" s="99">
        <f>'Testes obstáculos'!$O$23</f>
        <v>177.09270000000001</v>
      </c>
      <c r="P20" s="90" t="s">
        <v>303</v>
      </c>
    </row>
    <row r="21" spans="1:27" ht="18" customHeight="1">
      <c r="A21" s="90">
        <v>2</v>
      </c>
      <c r="B21" s="90" t="str">
        <f>Planners!$R$9</f>
        <v>O07_1</v>
      </c>
      <c r="C21" s="90" t="str">
        <f>Planners!$S$9</f>
        <v>RRTConnect</v>
      </c>
      <c r="D21" s="92">
        <f>Planners!$T$9</f>
        <v>0.18784699999999999</v>
      </c>
      <c r="E21" s="92">
        <f>Planners!$U$9</f>
        <v>6.8512110000000002</v>
      </c>
      <c r="F21" s="92">
        <f>Planners!$V$9</f>
        <v>7.0390579999999998</v>
      </c>
      <c r="G21" s="92">
        <f>Planners!$X$9</f>
        <v>2.4985040000000001</v>
      </c>
      <c r="H21" s="94">
        <f>Planners!$W$9</f>
        <v>70</v>
      </c>
      <c r="I21" s="90" t="str">
        <f>Planners!$Y$9</f>
        <v>✓</v>
      </c>
      <c r="J21" s="96">
        <f>Planners!$Z$9</f>
        <v>0</v>
      </c>
      <c r="L21" s="90" t="str">
        <f>'Testes obstáculos'!$A$24</f>
        <v>O21</v>
      </c>
      <c r="M21" s="90" t="str">
        <f>'Testes obstáculos'!$B$24</f>
        <v xml:space="preserve">Contorno </v>
      </c>
      <c r="N21" s="90" t="s">
        <v>302</v>
      </c>
      <c r="O21" s="99">
        <f>'Testes obstáculos'!$M$24</f>
        <v>180.71279999999999</v>
      </c>
      <c r="P21" s="90" t="s">
        <v>303</v>
      </c>
    </row>
    <row r="22" spans="1:27" ht="18" customHeight="1">
      <c r="A22" s="90">
        <v>2</v>
      </c>
      <c r="B22" s="90" t="str">
        <f>Planners!$R$12</f>
        <v>O07_2</v>
      </c>
      <c r="C22" s="90" t="str">
        <f>Planners!$S$12</f>
        <v>RRTConnect</v>
      </c>
      <c r="D22" s="92">
        <f>Planners!$T$12</f>
        <v>8.0012E-2</v>
      </c>
      <c r="E22" s="92">
        <f>Planners!$U$12</f>
        <v>3.1014379999999999</v>
      </c>
      <c r="F22" s="92">
        <f>Planners!$V$12</f>
        <v>3.1814499999999999</v>
      </c>
      <c r="G22" s="92">
        <f>Planners!$X$12</f>
        <v>1.5126409999999999</v>
      </c>
      <c r="H22" s="94">
        <f>Planners!$W$12</f>
        <v>32</v>
      </c>
      <c r="I22" s="90" t="str">
        <f>Planners!$Y$12</f>
        <v>✓</v>
      </c>
      <c r="J22" s="96">
        <f>Planners!$Z$12</f>
        <v>0</v>
      </c>
    </row>
    <row r="23" spans="1:27" ht="18" customHeight="1">
      <c r="A23" s="90">
        <v>2</v>
      </c>
      <c r="B23" s="90" t="str">
        <f>Planners!$R$15</f>
        <v>O13_1</v>
      </c>
      <c r="C23" s="90" t="str">
        <f>Planners!$S$15</f>
        <v>RRTConnect</v>
      </c>
      <c r="D23" s="92">
        <f>Planners!$T$15</f>
        <v>8.3686999999999998E-2</v>
      </c>
      <c r="E23" s="92">
        <f>Planners!$U$15</f>
        <v>4.588965</v>
      </c>
      <c r="F23" s="92">
        <f>Planners!$V$15</f>
        <v>4.6726520000000002</v>
      </c>
      <c r="G23" s="92">
        <f>Planners!$X$15</f>
        <v>2.9858910000000001</v>
      </c>
      <c r="H23" s="94">
        <f>Planners!$W$15</f>
        <v>48</v>
      </c>
      <c r="I23" s="90" t="str">
        <f>Planners!$Y$15</f>
        <v>✓</v>
      </c>
      <c r="J23" s="96">
        <f>Planners!$Z$15</f>
        <v>0</v>
      </c>
    </row>
    <row r="24" spans="1:27" ht="18" customHeight="1">
      <c r="A24" s="90">
        <v>2</v>
      </c>
      <c r="B24" s="90" t="str">
        <f>Planners!$R$18</f>
        <v>O13_2</v>
      </c>
      <c r="C24" s="90" t="str">
        <f>Planners!$S$18</f>
        <v>RRTConnect</v>
      </c>
      <c r="D24" s="92">
        <f>Planners!$T$18</f>
        <v>8.9548000000000003E-2</v>
      </c>
      <c r="E24" s="92">
        <f>Planners!$U$18</f>
        <v>3.1044999999999998</v>
      </c>
      <c r="F24" s="92">
        <f>Planners!$V$18</f>
        <v>3.194048</v>
      </c>
      <c r="G24" s="92">
        <f>Planners!$X$18</f>
        <v>1.6754</v>
      </c>
      <c r="H24" s="94">
        <f>Planners!$W$18</f>
        <v>33</v>
      </c>
      <c r="I24" s="90" t="str">
        <f>Planners!$Y$18</f>
        <v>✓</v>
      </c>
      <c r="J24" s="96">
        <f>Planners!$Z$18</f>
        <v>0</v>
      </c>
    </row>
    <row r="25" spans="1:27" ht="18" customHeight="1">
      <c r="A25" s="90">
        <v>2</v>
      </c>
      <c r="B25" s="90" t="str">
        <f>Planners!$R$21</f>
        <v>O17_1</v>
      </c>
      <c r="C25" s="90" t="str">
        <f>Planners!$S$21</f>
        <v>RRTConnect</v>
      </c>
      <c r="D25" s="92">
        <f>Planners!$T$21</f>
        <v>0.10329199999999999</v>
      </c>
      <c r="E25" s="92">
        <f>Planners!$U$21</f>
        <v>4.2451470000000002</v>
      </c>
      <c r="F25" s="92">
        <f>Planners!$V$21</f>
        <v>4.3484389999999999</v>
      </c>
      <c r="G25" s="92">
        <f>Planners!$X$21</f>
        <v>3.3822800000000002</v>
      </c>
      <c r="H25" s="94">
        <f>Planners!$W$21</f>
        <v>44</v>
      </c>
      <c r="I25" s="90" t="str">
        <f>Planners!$Y$21</f>
        <v>✓</v>
      </c>
      <c r="J25" s="96">
        <f>Planners!$Z$21</f>
        <v>0</v>
      </c>
    </row>
    <row r="26" spans="1:27" ht="18" customHeight="1">
      <c r="A26" s="90">
        <v>2</v>
      </c>
      <c r="B26" s="90" t="str">
        <f>Planners!$R$24</f>
        <v>O17_2</v>
      </c>
      <c r="C26" s="90" t="str">
        <f>Planners!$S$24</f>
        <v>RRTConnect</v>
      </c>
      <c r="D26" s="92">
        <f>Planners!$T$24</f>
        <v>8.2258999999999999E-2</v>
      </c>
      <c r="E26" s="92">
        <f>Planners!$U$24</f>
        <v>2.9494500000000001</v>
      </c>
      <c r="F26" s="92">
        <f>Planners!$V$24</f>
        <v>3.0317090000000002</v>
      </c>
      <c r="G26" s="92">
        <f>Planners!$X$24</f>
        <v>1.281542</v>
      </c>
      <c r="H26" s="94">
        <f>Planners!$W$24</f>
        <v>31</v>
      </c>
      <c r="I26" s="90" t="str">
        <f>Planners!$Y$24</f>
        <v>✓</v>
      </c>
      <c r="J26" s="96">
        <f>Planners!$Z$24</f>
        <v>0</v>
      </c>
    </row>
    <row r="27" spans="1:27" ht="18" customHeight="1">
      <c r="A27" s="90">
        <v>2</v>
      </c>
      <c r="B27" s="90" t="str">
        <f>Planners!$R$27</f>
        <v>O19_1</v>
      </c>
      <c r="C27" s="90" t="str">
        <f>Planners!$S$27</f>
        <v>RRTConnect</v>
      </c>
      <c r="D27" s="92">
        <f>Planners!$T$27</f>
        <v>0.111239</v>
      </c>
      <c r="E27" s="92">
        <f>Planners!$U$27</f>
        <v>4.1318400000000004</v>
      </c>
      <c r="F27" s="92">
        <f>Planners!$V$27</f>
        <v>4.2430790000000007</v>
      </c>
      <c r="G27" s="92">
        <f>Planners!$X$27</f>
        <v>3.208593</v>
      </c>
      <c r="H27" s="94">
        <f>Planners!$W$27</f>
        <v>43</v>
      </c>
      <c r="I27" s="90" t="str">
        <f>Planners!$Y$27</f>
        <v>✓</v>
      </c>
      <c r="J27" s="96">
        <f>Planners!$Z$27</f>
        <v>0</v>
      </c>
    </row>
    <row r="28" spans="1:27" ht="18" customHeight="1">
      <c r="A28" s="90">
        <v>2</v>
      </c>
      <c r="B28" s="90" t="str">
        <f>Planners!$R$30</f>
        <v>O19_2</v>
      </c>
      <c r="C28" s="90" t="str">
        <f>Planners!$S$30</f>
        <v>RRTConnect</v>
      </c>
      <c r="D28" s="92">
        <f>Planners!$T$30</f>
        <v>8.4166000000000005E-2</v>
      </c>
      <c r="E28" s="92">
        <f>Planners!$U$30</f>
        <v>5.1457699999999997</v>
      </c>
      <c r="F28" s="92">
        <f>Planners!$V$30</f>
        <v>5.2299359999999995</v>
      </c>
      <c r="G28" s="92">
        <f>Planners!$X$30</f>
        <v>1.736696</v>
      </c>
      <c r="H28" s="94">
        <f>Planners!$W$30</f>
        <v>53</v>
      </c>
      <c r="I28" s="90" t="str">
        <f>Planners!$Y$30</f>
        <v>✓</v>
      </c>
      <c r="J28" s="96">
        <f>Planners!$Z$30</f>
        <v>0</v>
      </c>
    </row>
    <row r="29" spans="1:27" ht="18" customHeight="1">
      <c r="A29" s="90">
        <v>2</v>
      </c>
      <c r="B29" s="90" t="str">
        <f>Planners!$R$33</f>
        <v>O19_3</v>
      </c>
      <c r="C29" s="90" t="str">
        <f>Planners!$S$33</f>
        <v>RRTConnect</v>
      </c>
      <c r="D29" s="92">
        <f>Planners!$T$33</f>
        <v>0.100665</v>
      </c>
      <c r="E29" s="92">
        <f>Planners!$U$33</f>
        <v>5.4592830000000001</v>
      </c>
      <c r="F29" s="92">
        <f>Planners!$V$33</f>
        <v>5.5599480000000003</v>
      </c>
      <c r="G29" s="92">
        <f>Planners!$X$33</f>
        <v>1.7896000000000001</v>
      </c>
      <c r="H29" s="94">
        <f>Planners!$W$33</f>
        <v>50</v>
      </c>
      <c r="I29" s="90" t="str">
        <f>Planners!$Y$33</f>
        <v>✓</v>
      </c>
      <c r="J29" s="96">
        <f>Planners!$Z$33</f>
        <v>0</v>
      </c>
    </row>
    <row r="30" spans="1:27" ht="18" customHeight="1">
      <c r="A30" s="90">
        <v>2</v>
      </c>
      <c r="B30" s="90" t="str">
        <f>Planners!$R$36</f>
        <v>O20_1</v>
      </c>
      <c r="C30" s="90" t="str">
        <f>Planners!$S$36</f>
        <v>RRTConnect</v>
      </c>
      <c r="D30" s="92">
        <f>Planners!$T$36</f>
        <v>7.9824999999999993E-2</v>
      </c>
      <c r="E30" s="92">
        <f>Planners!$U$36</f>
        <v>3.6514950000000002</v>
      </c>
      <c r="F30" s="92">
        <f>Planners!$V$36</f>
        <v>3.7313200000000002</v>
      </c>
      <c r="G30" s="92">
        <f>Planners!$X$36</f>
        <v>2.7294870000000002</v>
      </c>
      <c r="H30" s="94">
        <f>Planners!$W$36</f>
        <v>38</v>
      </c>
      <c r="I30" s="90" t="str">
        <f>Planners!$Y$36</f>
        <v>✓</v>
      </c>
      <c r="J30" s="96">
        <f>Planners!$Z$36</f>
        <v>0</v>
      </c>
    </row>
    <row r="31" spans="1:27" ht="18" customHeight="1">
      <c r="A31" s="90">
        <v>2</v>
      </c>
      <c r="B31" s="90" t="str">
        <f>Planners!$R$39</f>
        <v>O20_2</v>
      </c>
      <c r="C31" s="90" t="str">
        <f>Planners!$S$39</f>
        <v>RRTConnect</v>
      </c>
      <c r="D31" s="92">
        <f>Planners!$T$39</f>
        <v>5.6326000000000001E-2</v>
      </c>
      <c r="E31" s="92">
        <f>Planners!$U$39</f>
        <v>2.9095680000000002</v>
      </c>
      <c r="F31" s="92">
        <f>Planners!$V$39</f>
        <v>2.965894</v>
      </c>
      <c r="G31" s="92">
        <f>Planners!$X$39</f>
        <v>1.329051</v>
      </c>
      <c r="H31" s="94">
        <f>Planners!$W$39</f>
        <v>30</v>
      </c>
      <c r="I31" s="90" t="str">
        <f>Planners!$Y$39</f>
        <v>✓</v>
      </c>
      <c r="J31" s="96">
        <f>Planners!$Z$39</f>
        <v>0</v>
      </c>
    </row>
    <row r="32" spans="1:27" ht="18" customHeight="1">
      <c r="A32" s="90">
        <v>2</v>
      </c>
      <c r="B32" s="90" t="str">
        <f>Planners!$R$42</f>
        <v>O20_3</v>
      </c>
      <c r="C32" s="90" t="str">
        <f>Planners!$S$42</f>
        <v>RRTConnect</v>
      </c>
      <c r="D32" s="92">
        <f>Planners!$T$42</f>
        <v>6.7879999999999996E-2</v>
      </c>
      <c r="E32" s="92">
        <f>Planners!$U$42</f>
        <v>3.1282679999999998</v>
      </c>
      <c r="F32" s="92">
        <f>Planners!$V$42</f>
        <v>3.196148</v>
      </c>
      <c r="G32" s="92">
        <f>Planners!$X$42</f>
        <v>1.488516</v>
      </c>
      <c r="H32" s="94">
        <f>Planners!$W$42</f>
        <v>33</v>
      </c>
      <c r="I32" s="90" t="str">
        <f>Planners!$Y$42</f>
        <v>✓</v>
      </c>
      <c r="J32" s="96">
        <f>Planners!$Z$42</f>
        <v>0</v>
      </c>
    </row>
    <row r="33" spans="1:10" ht="18" customHeight="1">
      <c r="A33" s="90">
        <v>2</v>
      </c>
      <c r="B33" s="90" t="str">
        <f>Planners!$R$45</f>
        <v>O21</v>
      </c>
      <c r="C33" s="90" t="str">
        <f>Planners!$S$45</f>
        <v>RRTConnect</v>
      </c>
      <c r="D33" s="92">
        <f>Planners!$T$45</f>
        <v>9.8915000000000003E-2</v>
      </c>
      <c r="E33" s="92">
        <f>Planners!$U$45</f>
        <v>3.9976509999999998</v>
      </c>
      <c r="F33" s="92">
        <f>Planners!$V$45</f>
        <v>4.0965660000000002</v>
      </c>
      <c r="G33" s="92">
        <f>Planners!$X$45</f>
        <v>2.4637410000000002</v>
      </c>
      <c r="H33" s="94">
        <f>Planners!$W$45</f>
        <v>42</v>
      </c>
      <c r="I33" s="90" t="str">
        <f>Planners!$Y$45</f>
        <v>✓</v>
      </c>
      <c r="J33" s="96">
        <f>Planners!$Z$45</f>
        <v>0</v>
      </c>
    </row>
    <row r="34" spans="1:10" ht="18" customHeight="1">
      <c r="A34" s="90">
        <v>2</v>
      </c>
      <c r="B34" s="90" t="str">
        <f>Planners!$R$48</f>
        <v>O22_1</v>
      </c>
      <c r="C34" s="90" t="str">
        <f>Planners!$S$48</f>
        <v>RRTConnect</v>
      </c>
      <c r="D34" s="92">
        <f>Planners!$T$48</f>
        <v>8.2686999999999997E-2</v>
      </c>
      <c r="E34" s="92">
        <f>Planners!$U$48</f>
        <v>3.7399170000000002</v>
      </c>
      <c r="F34" s="92">
        <f>Planners!$V$48</f>
        <v>3.8226040000000001</v>
      </c>
      <c r="G34" s="92">
        <f>Planners!$X$48</f>
        <v>2.25386</v>
      </c>
      <c r="H34" s="94">
        <f>Planners!$W$48</f>
        <v>39</v>
      </c>
      <c r="I34" s="90" t="str">
        <f>Planners!$Y$48</f>
        <v>✓</v>
      </c>
      <c r="J34" s="96">
        <f>Planners!$Z$48</f>
        <v>0</v>
      </c>
    </row>
    <row r="35" spans="1:10" ht="18" customHeight="1">
      <c r="A35" s="90">
        <v>2</v>
      </c>
      <c r="B35" s="90" t="str">
        <f>Planners!$R$51</f>
        <v>O22_2</v>
      </c>
      <c r="C35" s="90" t="str">
        <f>Planners!$S$51</f>
        <v>RRTConnect</v>
      </c>
      <c r="D35" s="92">
        <f>Planners!$T$51</f>
        <v>6.7599999999999993E-2</v>
      </c>
      <c r="E35" s="92">
        <f>Planners!$U$51</f>
        <v>3.2564000000000002</v>
      </c>
      <c r="F35" s="92">
        <f>Planners!$V$51</f>
        <v>3.3240000000000003</v>
      </c>
      <c r="G35" s="92">
        <f>Planners!$X$51</f>
        <v>0.76910000000000001</v>
      </c>
      <c r="H35" s="94">
        <f>Planners!$W$51</f>
        <v>29</v>
      </c>
      <c r="I35" s="90" t="str">
        <f>Planners!$Y$51</f>
        <v>✓</v>
      </c>
      <c r="J35" s="96">
        <f>Planners!$Z$51</f>
        <v>0</v>
      </c>
    </row>
    <row r="36" spans="1:10" ht="18" customHeight="1">
      <c r="A36" s="90">
        <v>3</v>
      </c>
      <c r="B36" s="90" t="str">
        <f>Planners!$A$57</f>
        <v>O03_1</v>
      </c>
      <c r="C36" s="90" t="str">
        <f>Planners!$B$57</f>
        <v>RRTConnect</v>
      </c>
      <c r="D36" s="92">
        <f>Planners!$C$57</f>
        <v>9.0151999999999996E-2</v>
      </c>
      <c r="E36" s="92">
        <f>Planners!$D$57</f>
        <v>3.7480180000000001</v>
      </c>
      <c r="F36" s="92">
        <f>Planners!$E$57</f>
        <v>3.8381699999999999</v>
      </c>
      <c r="G36" s="92">
        <f>Planners!$G$57</f>
        <v>2.2557040000000002</v>
      </c>
      <c r="H36" s="94">
        <f>Planners!$F$57</f>
        <v>39</v>
      </c>
      <c r="I36" s="90" t="str">
        <f>Planners!$H$57</f>
        <v>✓</v>
      </c>
      <c r="J36" s="96">
        <f>Planners!$I$57</f>
        <v>0</v>
      </c>
    </row>
    <row r="37" spans="1:10" ht="18" customHeight="1">
      <c r="A37" s="90">
        <v>3</v>
      </c>
      <c r="B37" s="90" t="str">
        <f>Planners!$A$60</f>
        <v>O03_2</v>
      </c>
      <c r="C37" s="90" t="str">
        <f>Planners!$B$60</f>
        <v>RRTConnect</v>
      </c>
      <c r="D37" s="92">
        <f>Planners!$C$60</f>
        <v>0.110427</v>
      </c>
      <c r="E37" s="92">
        <f>Planners!$D$60</f>
        <v>3.4507300000000001</v>
      </c>
      <c r="F37" s="92">
        <f>Planners!$E$60</f>
        <v>3.5611570000000001</v>
      </c>
      <c r="G37" s="92">
        <f>Planners!$G$60</f>
        <v>1.418887</v>
      </c>
      <c r="H37" s="94">
        <f>Planners!$F$60</f>
        <v>36</v>
      </c>
      <c r="I37" s="90" t="str">
        <f>Planners!$H$60</f>
        <v>✓</v>
      </c>
      <c r="J37" s="96">
        <f>Planners!$I$60</f>
        <v>0</v>
      </c>
    </row>
    <row r="38" spans="1:10" ht="18" customHeight="1">
      <c r="A38" s="90">
        <v>3</v>
      </c>
      <c r="B38" s="90" t="str">
        <f>Planners!$A$63</f>
        <v>O07_1</v>
      </c>
      <c r="C38" s="90" t="str">
        <f>Planners!$B$63</f>
        <v>RRTConnect</v>
      </c>
      <c r="D38" s="92">
        <f>Planners!$C$63</f>
        <v>8.3335999999999993E-2</v>
      </c>
      <c r="E38" s="92">
        <f>Planners!$D$63</f>
        <v>3.6963010000000001</v>
      </c>
      <c r="F38" s="92">
        <f>Planners!$E$63</f>
        <v>3.7796370000000001</v>
      </c>
      <c r="G38" s="92">
        <f>Planners!$G$63</f>
        <v>2.3774280000000001</v>
      </c>
      <c r="H38" s="94">
        <f>Planners!$F$63</f>
        <v>39</v>
      </c>
      <c r="I38" s="90" t="str">
        <f>Planners!$H$63</f>
        <v>✓</v>
      </c>
      <c r="J38" s="96">
        <f>Planners!$I$63</f>
        <v>0</v>
      </c>
    </row>
    <row r="39" spans="1:10" ht="18" customHeight="1">
      <c r="A39" s="90">
        <v>3</v>
      </c>
      <c r="B39" s="90" t="str">
        <f>Planners!$A$66</f>
        <v>O07_2</v>
      </c>
      <c r="C39" s="90" t="str">
        <f>Planners!$B$66</f>
        <v>RRTConnect</v>
      </c>
      <c r="D39" s="92">
        <f>Planners!$C$66</f>
        <v>6.9006999999999999E-2</v>
      </c>
      <c r="E39" s="92">
        <f>Planners!$D$66</f>
        <v>3.1032000000000002</v>
      </c>
      <c r="F39" s="92">
        <f>Planners!$E$66</f>
        <v>3.1722070000000002</v>
      </c>
      <c r="G39" s="92">
        <f>Planners!$G$66</f>
        <v>1.5134749999999999</v>
      </c>
      <c r="H39" s="94">
        <f>Planners!$F$66</f>
        <v>32</v>
      </c>
      <c r="I39" s="90" t="str">
        <f>Planners!$H$66</f>
        <v>✓</v>
      </c>
      <c r="J39" s="96">
        <f>Planners!$I$66</f>
        <v>0</v>
      </c>
    </row>
    <row r="40" spans="1:10" ht="18" customHeight="1">
      <c r="A40" s="90">
        <v>3</v>
      </c>
      <c r="B40" s="90" t="str">
        <f>Planners!$A$69</f>
        <v>O13_1</v>
      </c>
      <c r="C40" s="90" t="str">
        <f>Planners!$B$69</f>
        <v>RRTConnect</v>
      </c>
      <c r="D40" s="92">
        <f>Planners!$C$69</f>
        <v>0.109759</v>
      </c>
      <c r="E40" s="92">
        <f>Planners!$D$69</f>
        <v>4.6149199999999997</v>
      </c>
      <c r="F40" s="92">
        <f>Planners!$E$69</f>
        <v>4.7246790000000001</v>
      </c>
      <c r="G40" s="92">
        <f>Planners!$G$69</f>
        <v>2.9843820000000001</v>
      </c>
      <c r="H40" s="94">
        <f>Planners!$F$69</f>
        <v>48</v>
      </c>
      <c r="I40" s="90" t="str">
        <f>Planners!$H$69</f>
        <v>✓</v>
      </c>
      <c r="J40" s="96">
        <f>Planners!$I$69</f>
        <v>0</v>
      </c>
    </row>
    <row r="41" spans="1:10" ht="18" customHeight="1">
      <c r="A41" s="90">
        <v>3</v>
      </c>
      <c r="B41" s="90" t="str">
        <f>Planners!$A$72</f>
        <v>O13_2</v>
      </c>
      <c r="C41" s="90" t="str">
        <f>Planners!$B$72</f>
        <v>RRTConnect</v>
      </c>
      <c r="D41" s="92">
        <f>Planners!$C$72</f>
        <v>8.3110000000000003E-2</v>
      </c>
      <c r="E41" s="92">
        <f>Planners!$D$72</f>
        <v>4.5595600000000003</v>
      </c>
      <c r="F41" s="92">
        <f>Planners!$E$72</f>
        <v>4.6426699999999999</v>
      </c>
      <c r="G41" s="92">
        <f>Planners!$G$72</f>
        <v>4.2629450000000002</v>
      </c>
      <c r="H41" s="94">
        <f>Planners!$F$72</f>
        <v>47</v>
      </c>
      <c r="I41" s="90" t="str">
        <f>Planners!$H$72</f>
        <v>✓</v>
      </c>
      <c r="J41" s="96">
        <f>Planners!$I$72</f>
        <v>0</v>
      </c>
    </row>
    <row r="42" spans="1:10" ht="18" customHeight="1">
      <c r="A42" s="90">
        <v>3</v>
      </c>
      <c r="B42" s="90" t="str">
        <f>Planners!$A$75</f>
        <v>O17_1</v>
      </c>
      <c r="C42" s="90" t="str">
        <f>Planners!$B$75</f>
        <v>RRTConnect</v>
      </c>
      <c r="D42" s="92">
        <f>Planners!$C$75</f>
        <v>9.9597000000000005E-2</v>
      </c>
      <c r="E42" s="92">
        <f>Planners!$D$75</f>
        <v>4.2368350000000001</v>
      </c>
      <c r="F42" s="92">
        <f>Planners!$E$75</f>
        <v>4.3364320000000003</v>
      </c>
      <c r="G42" s="92">
        <f>Planners!$G$75</f>
        <v>3.3812869999999999</v>
      </c>
      <c r="H42" s="94">
        <f>Planners!$F$75</f>
        <v>44</v>
      </c>
      <c r="I42" s="90" t="str">
        <f>Planners!$H$75</f>
        <v>✓</v>
      </c>
      <c r="J42" s="96">
        <f>Planners!$I$75</f>
        <v>0</v>
      </c>
    </row>
    <row r="43" spans="1:10" ht="18" customHeight="1">
      <c r="A43" s="90">
        <v>3</v>
      </c>
      <c r="B43" s="90" t="str">
        <f>Planners!$A$78</f>
        <v>O17_2</v>
      </c>
      <c r="C43" s="90" t="str">
        <f>Planners!$B$78</f>
        <v>RRTConnect</v>
      </c>
      <c r="D43" s="92">
        <f>Planners!$C$78</f>
        <v>8.8782E-2</v>
      </c>
      <c r="E43" s="92">
        <f>Planners!$D$78</f>
        <v>2.9376669999999998</v>
      </c>
      <c r="F43" s="92">
        <f>Planners!$E$78</f>
        <v>3.0264489999999999</v>
      </c>
      <c r="G43" s="92">
        <f>Planners!$G$78</f>
        <v>1.281898</v>
      </c>
      <c r="H43" s="94">
        <f>Planners!$F$78</f>
        <v>31</v>
      </c>
      <c r="I43" s="90" t="str">
        <f>Planners!$H$78</f>
        <v>✓</v>
      </c>
      <c r="J43" s="96">
        <f>Planners!$I$78</f>
        <v>0</v>
      </c>
    </row>
    <row r="44" spans="1:10" ht="18" customHeight="1">
      <c r="A44" s="90">
        <v>3</v>
      </c>
      <c r="B44" s="90" t="str">
        <f>Planners!$A$81</f>
        <v>O19_1</v>
      </c>
      <c r="C44" s="90" t="str">
        <f>Planners!$B$81</f>
        <v>RRTConnect</v>
      </c>
      <c r="D44" s="92">
        <f>Planners!$C$81</f>
        <v>0.111985</v>
      </c>
      <c r="E44" s="92">
        <f>Planners!$D$81</f>
        <v>3.4900899999999999</v>
      </c>
      <c r="F44" s="92">
        <f>Planners!$E$81</f>
        <v>3.6020750000000001</v>
      </c>
      <c r="G44" s="92">
        <f>Planners!$G$81</f>
        <v>2.8413520000000001</v>
      </c>
      <c r="H44" s="94">
        <f>Planners!$F$81</f>
        <v>36</v>
      </c>
      <c r="I44" s="90" t="str">
        <f>Planners!$H$81</f>
        <v>✓</v>
      </c>
      <c r="J44" s="96">
        <f>Planners!$I$81</f>
        <v>0</v>
      </c>
    </row>
    <row r="45" spans="1:10" ht="18" customHeight="1">
      <c r="A45" s="90">
        <v>3</v>
      </c>
      <c r="B45" s="90" t="str">
        <f>Planners!$A$84</f>
        <v>O19_2</v>
      </c>
      <c r="C45" s="90" t="str">
        <f>Planners!$B$84</f>
        <v>RRTConnect</v>
      </c>
      <c r="D45" s="92">
        <f>Planners!$C$84</f>
        <v>7.6813000000000006E-2</v>
      </c>
      <c r="E45" s="92">
        <f>Planners!$D$84</f>
        <v>3.495822</v>
      </c>
      <c r="F45" s="92">
        <f>Planners!$E$84</f>
        <v>3.572635</v>
      </c>
      <c r="G45" s="92">
        <f>Planners!$G$84</f>
        <v>1.3877649999999999</v>
      </c>
      <c r="H45" s="94">
        <f>Planners!$F$84</f>
        <v>37</v>
      </c>
      <c r="I45" s="90" t="str">
        <f>Planners!$H$84</f>
        <v>✓</v>
      </c>
      <c r="J45" s="96">
        <f>Planners!$I$84</f>
        <v>0</v>
      </c>
    </row>
    <row r="46" spans="1:10" ht="18" customHeight="1">
      <c r="A46" s="90">
        <v>3</v>
      </c>
      <c r="B46" s="90" t="str">
        <f>Planners!$A$87</f>
        <v>O19_3</v>
      </c>
      <c r="C46" s="90" t="str">
        <f>Planners!$B$87</f>
        <v>RRTConnect</v>
      </c>
      <c r="D46" s="92">
        <f>Planners!$C$87</f>
        <v>9.2055999999999999E-2</v>
      </c>
      <c r="E46" s="92">
        <f>Planners!$D$87</f>
        <v>4.0010510000000004</v>
      </c>
      <c r="F46" s="92">
        <f>Planners!$E$87</f>
        <v>4.0931070000000007</v>
      </c>
      <c r="G46" s="92">
        <f>Planners!$G$87</f>
        <v>1.4142239999999999</v>
      </c>
      <c r="H46" s="94">
        <f>Planners!$F$87</f>
        <v>42</v>
      </c>
      <c r="I46" s="90" t="str">
        <f>Planners!$H$87</f>
        <v>✓</v>
      </c>
      <c r="J46" s="96">
        <f>Planners!$I$87</f>
        <v>0</v>
      </c>
    </row>
    <row r="47" spans="1:10" ht="18" customHeight="1">
      <c r="A47" s="90">
        <v>3</v>
      </c>
      <c r="B47" s="90" t="str">
        <f>Planners!$A$90</f>
        <v>O20_1</v>
      </c>
      <c r="C47" s="90" t="str">
        <f>Planners!$B$90</f>
        <v>RRTConnect</v>
      </c>
      <c r="D47" s="92">
        <f>Planners!$C$90</f>
        <v>7.8836000000000003E-2</v>
      </c>
      <c r="E47" s="92">
        <f>Planners!$D$90</f>
        <v>3.653051</v>
      </c>
      <c r="F47" s="92">
        <f>Planners!$E$90</f>
        <v>3.731887</v>
      </c>
      <c r="G47" s="92">
        <f>Planners!$G$90</f>
        <v>2.7288000000000001</v>
      </c>
      <c r="H47" s="94">
        <f>Planners!$F$90</f>
        <v>38</v>
      </c>
      <c r="I47" s="90" t="str">
        <f>Planners!$H$90</f>
        <v>✓</v>
      </c>
      <c r="J47" s="96">
        <f>Planners!$I$90</f>
        <v>0</v>
      </c>
    </row>
    <row r="48" spans="1:10" ht="18" customHeight="1">
      <c r="A48" s="90">
        <v>3</v>
      </c>
      <c r="B48" s="90" t="str">
        <f>Planners!$A$93</f>
        <v>O20_2</v>
      </c>
      <c r="C48" s="90" t="str">
        <f>Planners!$B$93</f>
        <v>RRTConnect</v>
      </c>
      <c r="D48" s="92">
        <f>Planners!$C$93</f>
        <v>0.104033</v>
      </c>
      <c r="E48" s="92">
        <f>Planners!$D$93</f>
        <v>2.9999769999999999</v>
      </c>
      <c r="F48" s="92">
        <f>Planners!$E$93</f>
        <v>3.1040099999999997</v>
      </c>
      <c r="G48" s="92">
        <f>Planners!$G$93</f>
        <v>1.3300019999999999</v>
      </c>
      <c r="H48" s="94">
        <f>Planners!$F$93</f>
        <v>32</v>
      </c>
      <c r="I48" s="90" t="str">
        <f>Planners!$H$93</f>
        <v>✓</v>
      </c>
      <c r="J48" s="96">
        <f>Planners!$I$93</f>
        <v>0</v>
      </c>
    </row>
    <row r="49" spans="1:10" ht="18" customHeight="1">
      <c r="A49" s="90">
        <v>3</v>
      </c>
      <c r="B49" s="90" t="str">
        <f>Planners!$A$96</f>
        <v>O20_3</v>
      </c>
      <c r="C49" s="90" t="str">
        <f>Planners!$B$96</f>
        <v>RRTConnect</v>
      </c>
      <c r="D49" s="92">
        <f>Planners!$C$96</f>
        <v>6.2141000000000002E-2</v>
      </c>
      <c r="E49" s="92">
        <f>Planners!$D$96</f>
        <v>3.198461</v>
      </c>
      <c r="F49" s="92">
        <f>Planners!$E$96</f>
        <v>3.260602</v>
      </c>
      <c r="G49" s="92">
        <f>Planners!$G$96</f>
        <v>1.4883090000000001</v>
      </c>
      <c r="H49" s="94">
        <f>Planners!$F$96</f>
        <v>34</v>
      </c>
      <c r="I49" s="90" t="str">
        <f>Planners!$H$96</f>
        <v>✓</v>
      </c>
      <c r="J49" s="96">
        <f>Planners!$I$96</f>
        <v>0</v>
      </c>
    </row>
    <row r="50" spans="1:10" ht="18" customHeight="1">
      <c r="A50" s="90">
        <v>3</v>
      </c>
      <c r="B50" s="90" t="str">
        <f>Planners!$A$99</f>
        <v>O21</v>
      </c>
      <c r="C50" s="90" t="str">
        <f>Planners!$B$99</f>
        <v>RRTConnect</v>
      </c>
      <c r="D50" s="92">
        <f>Planners!$C$99</f>
        <v>9.2563999999999994E-2</v>
      </c>
      <c r="E50" s="92">
        <f>Planners!$D$99</f>
        <v>4.849729</v>
      </c>
      <c r="F50" s="92">
        <f>Planners!$E$99</f>
        <v>4.9422930000000003</v>
      </c>
      <c r="G50" s="92">
        <f>Planners!$G$99</f>
        <v>3.5575230000000002</v>
      </c>
      <c r="H50" s="94">
        <f>Planners!$F$99</f>
        <v>50</v>
      </c>
      <c r="I50" s="90" t="str">
        <f>Planners!$H$99</f>
        <v>✓</v>
      </c>
      <c r="J50" s="96">
        <f>Planners!$I$99</f>
        <v>0</v>
      </c>
    </row>
    <row r="51" spans="1:10" ht="18" customHeight="1">
      <c r="A51" s="90">
        <v>3</v>
      </c>
      <c r="B51" s="90" t="str">
        <f>Planners!$A$102</f>
        <v>O22_1</v>
      </c>
      <c r="C51" s="90" t="str">
        <f>Planners!$B$102</f>
        <v>RRTConnect</v>
      </c>
      <c r="D51" s="92">
        <f>Planners!$C$102</f>
        <v>7.5858999999999996E-2</v>
      </c>
      <c r="E51" s="92">
        <f>Planners!$D$102</f>
        <v>3.6984849999999998</v>
      </c>
      <c r="F51" s="92">
        <f>Planners!$E$102</f>
        <v>3.7743439999999997</v>
      </c>
      <c r="G51" s="92">
        <f>Planners!$G$102</f>
        <v>1.753949</v>
      </c>
      <c r="H51" s="94">
        <f>Planners!$F$102</f>
        <v>35</v>
      </c>
      <c r="I51" s="90" t="str">
        <f>Planners!$H$102</f>
        <v>✓</v>
      </c>
      <c r="J51" s="96">
        <f>Planners!$I$102</f>
        <v>0</v>
      </c>
    </row>
    <row r="52" spans="1:10" ht="18" customHeight="1">
      <c r="A52" s="90">
        <v>3</v>
      </c>
      <c r="B52" s="90" t="str">
        <f>Planners!$A$105</f>
        <v>O22_2</v>
      </c>
      <c r="C52" s="90" t="str">
        <f>Planners!$B$105</f>
        <v>RRTConnect</v>
      </c>
      <c r="D52" s="92">
        <f>Planners!$C$105</f>
        <v>0.110427</v>
      </c>
      <c r="E52" s="92">
        <f>Planners!$D$105</f>
        <v>3.4507300000000001</v>
      </c>
      <c r="F52" s="92">
        <f>Planners!$E$105</f>
        <v>3.5611570000000001</v>
      </c>
      <c r="G52" s="92">
        <f>Planners!$G$105</f>
        <v>1.418887</v>
      </c>
      <c r="H52" s="94">
        <f>Planners!$F$105</f>
        <v>36</v>
      </c>
      <c r="I52" s="90" t="str">
        <f>Planners!$H$105</f>
        <v>✓</v>
      </c>
      <c r="J52" s="96">
        <f>Planners!$I$105</f>
        <v>0</v>
      </c>
    </row>
    <row r="53" spans="1:10" ht="18" customHeight="1">
      <c r="A53" s="90">
        <v>4</v>
      </c>
      <c r="B53" s="90" t="str">
        <f>Planners!$R$57</f>
        <v>O03_1</v>
      </c>
      <c r="C53" s="90" t="str">
        <f>Planners!$S$57</f>
        <v>RRTConnect</v>
      </c>
      <c r="D53" s="92">
        <f>Planners!$T$57</f>
        <v>8.5305000000000006E-2</v>
      </c>
      <c r="E53" s="92">
        <f>Planners!$U$57</f>
        <v>4.4859989999999996</v>
      </c>
      <c r="F53" s="92">
        <f>Planners!$V$57</f>
        <v>4.5713039999999996</v>
      </c>
      <c r="G53" s="92">
        <f>Planners!$X$57</f>
        <v>2.8319549999999998</v>
      </c>
      <c r="H53" s="94">
        <f>Planners!$W$57</f>
        <v>47</v>
      </c>
      <c r="I53" s="90" t="str">
        <f>Planners!$Y$57</f>
        <v>✓</v>
      </c>
      <c r="J53" s="96">
        <f>Planners!$Z$57</f>
        <v>0</v>
      </c>
    </row>
    <row r="54" spans="1:10" ht="18" customHeight="1">
      <c r="A54" s="90">
        <v>4</v>
      </c>
      <c r="B54" s="90" t="str">
        <f>Planners!$R$60</f>
        <v>O03_2</v>
      </c>
      <c r="C54" s="90" t="str">
        <f>Planners!$S$60</f>
        <v>RRTConnect</v>
      </c>
      <c r="D54" s="92">
        <f>Planners!$T$60</f>
        <v>0.10453</v>
      </c>
      <c r="E54" s="92">
        <f>Planners!$U$60</f>
        <v>4.8467770000000003</v>
      </c>
      <c r="F54" s="92">
        <f>Planners!$V$60</f>
        <v>4.9513069999999999</v>
      </c>
      <c r="G54" s="92">
        <f>Planners!$X$60</f>
        <v>3.4717669999999998</v>
      </c>
      <c r="H54" s="94">
        <f>Planners!$W$60</f>
        <v>50</v>
      </c>
      <c r="I54" s="90" t="str">
        <f>Planners!$Y$60</f>
        <v>✓</v>
      </c>
      <c r="J54" s="96">
        <f>Planners!$Z$60</f>
        <v>0</v>
      </c>
    </row>
    <row r="55" spans="1:10" ht="18" customHeight="1">
      <c r="A55" s="90">
        <v>4</v>
      </c>
      <c r="B55" s="90" t="str">
        <f>Planners!$R$63</f>
        <v>O07_1</v>
      </c>
      <c r="C55" s="90" t="str">
        <f>Planners!$S$63</f>
        <v>RRTConnect</v>
      </c>
      <c r="D55" s="92">
        <f>Planners!$T$63</f>
        <v>7.2813000000000003E-2</v>
      </c>
      <c r="E55" s="92">
        <f>Planners!$U$63</f>
        <v>3.7413129999999999</v>
      </c>
      <c r="F55" s="92">
        <f>Planners!$V$63</f>
        <v>3.8141259999999999</v>
      </c>
      <c r="G55" s="92">
        <f>Planners!$X$63</f>
        <v>2.3779759999999999</v>
      </c>
      <c r="H55" s="94">
        <f>Planners!$W$63</f>
        <v>39</v>
      </c>
      <c r="I55" s="90" t="str">
        <f>Planners!$Y$63</f>
        <v>✓</v>
      </c>
      <c r="J55" s="96">
        <f>Planners!$Z$63</f>
        <v>0</v>
      </c>
    </row>
    <row r="56" spans="1:10" ht="18" customHeight="1">
      <c r="A56" s="90">
        <v>4</v>
      </c>
      <c r="B56" s="90" t="str">
        <f>Planners!$R$66</f>
        <v>O07_2</v>
      </c>
      <c r="C56" s="90" t="str">
        <f>Planners!$S$66</f>
        <v>RRTConnect</v>
      </c>
      <c r="D56" s="92">
        <f>Planners!$T$66</f>
        <v>8.5145999999999999E-2</v>
      </c>
      <c r="E56" s="92">
        <f>Planners!$U$66</f>
        <v>3.1013799999999998</v>
      </c>
      <c r="F56" s="92">
        <f>Planners!$V$66</f>
        <v>3.1865259999999997</v>
      </c>
      <c r="G56" s="92">
        <f>Planners!$X$66</f>
        <v>1.51135</v>
      </c>
      <c r="H56" s="94">
        <f>Planners!$W$66</f>
        <v>32</v>
      </c>
      <c r="I56" s="90" t="str">
        <f>Planners!$Y$66</f>
        <v>✓</v>
      </c>
      <c r="J56" s="96">
        <f>Planners!$Z$66</f>
        <v>0</v>
      </c>
    </row>
    <row r="57" spans="1:10" ht="18" customHeight="1">
      <c r="A57" s="90">
        <v>4</v>
      </c>
      <c r="B57" s="90" t="str">
        <f>Planners!$R$69</f>
        <v>O13_1</v>
      </c>
      <c r="C57" s="90" t="str">
        <f>Planners!$S$69</f>
        <v>RRTConnect</v>
      </c>
      <c r="D57" s="92">
        <f>Planners!$T$69</f>
        <v>7.4122999999999994E-2</v>
      </c>
      <c r="E57" s="92">
        <f>Planners!$U$69</f>
        <v>3.6812900000000002</v>
      </c>
      <c r="F57" s="92">
        <f>Planners!$V$69</f>
        <v>3.7554130000000003</v>
      </c>
      <c r="G57" s="92">
        <f>Planners!$X$69</f>
        <v>2.2692999999999999</v>
      </c>
      <c r="H57" s="94">
        <f>Planners!$W$69</f>
        <v>39</v>
      </c>
      <c r="I57" s="90" t="str">
        <f>Planners!$Y$69</f>
        <v>✓</v>
      </c>
      <c r="J57" s="96">
        <f>Planners!$Z$69</f>
        <v>0</v>
      </c>
    </row>
    <row r="58" spans="1:10" ht="18" customHeight="1">
      <c r="A58" s="90">
        <v>4</v>
      </c>
      <c r="B58" s="90" t="str">
        <f>Planners!$R$72</f>
        <v>O13_2</v>
      </c>
      <c r="C58" s="90" t="str">
        <f>Planners!$S$72</f>
        <v>RRTConnect</v>
      </c>
      <c r="D58" s="92">
        <f>Planners!$T$72</f>
        <v>6.5113000000000004E-2</v>
      </c>
      <c r="E58" s="92">
        <f>Planners!$U$72</f>
        <v>2.9031829999999998</v>
      </c>
      <c r="F58" s="92">
        <f>Planners!$V$72</f>
        <v>2.968296</v>
      </c>
      <c r="G58" s="92">
        <f>Planners!$X$72</f>
        <v>1.1849989999999999</v>
      </c>
      <c r="H58" s="94">
        <f>Planners!$W$72</f>
        <v>30</v>
      </c>
      <c r="I58" s="90" t="str">
        <f>Planners!$Y$72</f>
        <v>✓</v>
      </c>
      <c r="J58" s="96">
        <f>Planners!$Z$72</f>
        <v>0</v>
      </c>
    </row>
    <row r="59" spans="1:10" ht="18" customHeight="1">
      <c r="A59" s="90">
        <v>4</v>
      </c>
      <c r="B59" s="90" t="str">
        <f>Planners!$R$75</f>
        <v>O17_1</v>
      </c>
      <c r="C59" s="90" t="str">
        <f>Planners!$S$75</f>
        <v>RRTConnect</v>
      </c>
      <c r="D59" s="92">
        <f>Planners!$T$75</f>
        <v>6.8581000000000003E-2</v>
      </c>
      <c r="E59" s="92">
        <f>Planners!$U$75</f>
        <v>3.692062</v>
      </c>
      <c r="F59" s="92">
        <f>Planners!$V$75</f>
        <v>3.760643</v>
      </c>
      <c r="G59" s="92">
        <f>Planners!$X$75</f>
        <v>2.3996339999999998</v>
      </c>
      <c r="H59" s="94">
        <f>Planners!$W$75</f>
        <v>39</v>
      </c>
      <c r="I59" s="90" t="str">
        <f>Planners!$Y$75</f>
        <v>✓</v>
      </c>
      <c r="J59" s="96">
        <f>Planners!$Z$75</f>
        <v>0</v>
      </c>
    </row>
    <row r="60" spans="1:10" ht="18" customHeight="1">
      <c r="A60" s="90">
        <v>4</v>
      </c>
      <c r="B60" s="90" t="str">
        <f>Planners!$R$78</f>
        <v>O17_2</v>
      </c>
      <c r="C60" s="90" t="str">
        <f>Planners!$S$78</f>
        <v>RRTConnect</v>
      </c>
      <c r="D60" s="92">
        <f>Planners!$T$78</f>
        <v>0.115953</v>
      </c>
      <c r="E60" s="92">
        <f>Planners!$U$78</f>
        <v>3.4029660000000002</v>
      </c>
      <c r="F60" s="92">
        <f>Planners!$V$78</f>
        <v>3.5189190000000004</v>
      </c>
      <c r="G60" s="92">
        <f>Planners!$X$78</f>
        <v>1.382317</v>
      </c>
      <c r="H60" s="94">
        <f>Planners!$W$78</f>
        <v>35</v>
      </c>
      <c r="I60" s="90" t="str">
        <f>Planners!$Y$78</f>
        <v>✓</v>
      </c>
      <c r="J60" s="96">
        <f>Planners!$Z$78</f>
        <v>0</v>
      </c>
    </row>
    <row r="61" spans="1:10" ht="18" customHeight="1">
      <c r="A61" s="90">
        <v>4</v>
      </c>
      <c r="B61" s="90" t="str">
        <f>Planners!$R$81</f>
        <v>O19_1</v>
      </c>
      <c r="C61" s="90" t="str">
        <f>Planners!$S$81</f>
        <v>RRTConnect</v>
      </c>
      <c r="D61" s="92">
        <f>Planners!$T$81</f>
        <v>0.10459499999999999</v>
      </c>
      <c r="E61" s="92">
        <f>Planners!$U$81</f>
        <v>4.1382580000000004</v>
      </c>
      <c r="F61" s="92">
        <f>Planners!$V$81</f>
        <v>4.2428530000000002</v>
      </c>
      <c r="G61" s="92">
        <f>Planners!$X$81</f>
        <v>3.2025999999999999</v>
      </c>
      <c r="H61" s="94">
        <f>Planners!$W$81</f>
        <v>43</v>
      </c>
      <c r="I61" s="90" t="str">
        <f>Planners!$Y$81</f>
        <v>✓</v>
      </c>
      <c r="J61" s="96">
        <f>Planners!$Z$81</f>
        <v>0</v>
      </c>
    </row>
    <row r="62" spans="1:10" ht="18" customHeight="1">
      <c r="A62" s="90">
        <v>4</v>
      </c>
      <c r="B62" s="90" t="str">
        <f>Planners!$R$84</f>
        <v>O19_2</v>
      </c>
      <c r="C62" s="90" t="str">
        <f>Planners!$S$84</f>
        <v>RRTConnect</v>
      </c>
      <c r="D62" s="92">
        <f>Planners!$T$84</f>
        <v>8.0633999999999997E-2</v>
      </c>
      <c r="E62" s="92">
        <f>Planners!$U$84</f>
        <v>4.0440500000000004</v>
      </c>
      <c r="F62" s="92">
        <f>Planners!$V$84</f>
        <v>4.1246840000000002</v>
      </c>
      <c r="G62" s="92">
        <f>Planners!$X$84</f>
        <v>1.5723149999999999</v>
      </c>
      <c r="H62" s="94">
        <f>Planners!$W$84</f>
        <v>42</v>
      </c>
      <c r="I62" s="90" t="str">
        <f>Planners!$Y$84</f>
        <v>✓</v>
      </c>
      <c r="J62" s="96">
        <f>Planners!$Z$84</f>
        <v>0</v>
      </c>
    </row>
    <row r="63" spans="1:10" ht="18" customHeight="1">
      <c r="A63" s="90">
        <v>4</v>
      </c>
      <c r="B63" s="90" t="str">
        <f>Planners!$R$87</f>
        <v>O19_3</v>
      </c>
      <c r="C63" s="90" t="str">
        <f>Planners!$S$87</f>
        <v>RRTConnect</v>
      </c>
      <c r="D63" s="92">
        <f>Planners!$T$87</f>
        <v>9.0396000000000004E-2</v>
      </c>
      <c r="E63" s="92">
        <f>Planners!$U$87</f>
        <v>4.5982070000000004</v>
      </c>
      <c r="F63" s="92">
        <f>Planners!$V$87</f>
        <v>4.6886030000000005</v>
      </c>
      <c r="G63" s="92">
        <f>Planners!$X$87</f>
        <v>5.1453249999999997</v>
      </c>
      <c r="H63" s="94">
        <f>Planners!$W$87</f>
        <v>48</v>
      </c>
      <c r="I63" s="90" t="str">
        <f>Planners!$Y$87</f>
        <v>✓</v>
      </c>
      <c r="J63" s="96" t="str">
        <f>Planners!$Z$87</f>
        <v>Replaneou</v>
      </c>
    </row>
    <row r="64" spans="1:10" ht="18" customHeight="1">
      <c r="A64" s="90">
        <v>4</v>
      </c>
      <c r="B64" s="90" t="str">
        <f>Planners!$R$90</f>
        <v>O20_1</v>
      </c>
      <c r="C64" s="90" t="str">
        <f>Planners!$S$90</f>
        <v>RRTConnect</v>
      </c>
      <c r="D64" s="92">
        <f>Planners!$T$90</f>
        <v>9.3727000000000005E-2</v>
      </c>
      <c r="E64" s="92">
        <f>Planners!$U$90</f>
        <v>3.9447230000000002</v>
      </c>
      <c r="F64" s="92">
        <f>Planners!$V$90</f>
        <v>4.0384500000000001</v>
      </c>
      <c r="G64" s="92">
        <f>Planners!$X$90</f>
        <v>3.1484920000000001</v>
      </c>
      <c r="H64" s="94">
        <f>Planners!$W$90</f>
        <v>41</v>
      </c>
      <c r="I64" s="90" t="str">
        <f>Planners!$Y$90</f>
        <v>✓</v>
      </c>
      <c r="J64" s="96">
        <f>Planners!$Z$90</f>
        <v>0</v>
      </c>
    </row>
    <row r="65" spans="1:10" ht="18" customHeight="1">
      <c r="A65" s="90">
        <v>4</v>
      </c>
      <c r="B65" s="90" t="str">
        <f>Planners!$R$93</f>
        <v>O20_2</v>
      </c>
      <c r="C65" s="90" t="str">
        <f>Planners!$S$93</f>
        <v>RRTConnect</v>
      </c>
      <c r="D65" s="92">
        <f>Planners!$T$93</f>
        <v>6.0090999999999999E-2</v>
      </c>
      <c r="E65" s="92">
        <f>Planners!$U$93</f>
        <v>2.9018660000000001</v>
      </c>
      <c r="F65" s="92">
        <f>Planners!$V$93</f>
        <v>2.961957</v>
      </c>
      <c r="G65" s="92">
        <f>Planners!$X$93</f>
        <v>1.3278540000000001</v>
      </c>
      <c r="H65" s="94">
        <f>Planners!$W$93</f>
        <v>30</v>
      </c>
      <c r="I65" s="90" t="str">
        <f>Planners!$Y$93</f>
        <v>✓</v>
      </c>
      <c r="J65" s="96">
        <f>Planners!$Z$93</f>
        <v>0</v>
      </c>
    </row>
    <row r="66" spans="1:10" ht="18" customHeight="1">
      <c r="A66" s="90">
        <v>4</v>
      </c>
      <c r="B66" s="90" t="str">
        <f>Planners!$R$96</f>
        <v>O20_3</v>
      </c>
      <c r="C66" s="90" t="str">
        <f>Planners!$S$96</f>
        <v>RRTConnect</v>
      </c>
      <c r="D66" s="92">
        <f>Planners!$T$96</f>
        <v>9.7425999999999999E-2</v>
      </c>
      <c r="E66" s="92">
        <f>Planners!$U$96</f>
        <v>4.63741</v>
      </c>
      <c r="F66" s="92">
        <f>Planners!$V$96</f>
        <v>4.7348359999999996</v>
      </c>
      <c r="G66" s="92">
        <f>Planners!$X$96</f>
        <v>5.5643779999999996</v>
      </c>
      <c r="H66" s="94">
        <f>Planners!$W$96</f>
        <v>48</v>
      </c>
      <c r="I66" s="90" t="str">
        <f>Planners!$Y$96</f>
        <v>✓</v>
      </c>
      <c r="J66" s="96" t="str">
        <f>Planners!$Z$96</f>
        <v>Replaneou</v>
      </c>
    </row>
    <row r="67" spans="1:10" ht="18" customHeight="1">
      <c r="A67" s="90">
        <v>4</v>
      </c>
      <c r="B67" s="90" t="str">
        <f>Planners!$R$99</f>
        <v>O21</v>
      </c>
      <c r="C67" s="90" t="str">
        <f>Planners!$S$99</f>
        <v>RRTConnect</v>
      </c>
      <c r="D67" s="92">
        <f>Planners!$T$99</f>
        <v>0.108043</v>
      </c>
      <c r="E67" s="92">
        <f>Planners!$U$99</f>
        <v>4.364185</v>
      </c>
      <c r="F67" s="92">
        <f>Planners!$V$99</f>
        <v>4.4722280000000003</v>
      </c>
      <c r="G67" s="92">
        <f>Planners!$X$99</f>
        <v>2.6367370000000001</v>
      </c>
      <c r="H67" s="94">
        <f>Planners!$W$99</f>
        <v>45</v>
      </c>
      <c r="I67" s="90" t="str">
        <f>Planners!$Y$99</f>
        <v>✓</v>
      </c>
      <c r="J67" s="96">
        <f>Planners!$Z$99</f>
        <v>0</v>
      </c>
    </row>
    <row r="68" spans="1:10" ht="18" customHeight="1">
      <c r="A68" s="90">
        <v>4</v>
      </c>
      <c r="B68" s="90" t="str">
        <f>Planners!$R$102</f>
        <v>O22_1</v>
      </c>
      <c r="C68" s="90" t="str">
        <f>Planners!$S$102</f>
        <v>RRTConnect</v>
      </c>
      <c r="D68" s="92">
        <f>Planners!$T$102</f>
        <v>8.5417999999999994E-2</v>
      </c>
      <c r="E68" s="92">
        <f>Planners!$U$102</f>
        <v>3.6988599999999998</v>
      </c>
      <c r="F68" s="92">
        <f>Planners!$V$102</f>
        <v>3.7842779999999996</v>
      </c>
      <c r="G68" s="92">
        <f>Planners!$X$102</f>
        <v>2.254788</v>
      </c>
      <c r="H68" s="94">
        <f>Planners!$W$102</f>
        <v>39</v>
      </c>
      <c r="I68" s="90" t="str">
        <f>Planners!$Y$102</f>
        <v>✓</v>
      </c>
      <c r="J68" s="96">
        <f>Planners!$Z$102</f>
        <v>0</v>
      </c>
    </row>
    <row r="69" spans="1:10" ht="18" customHeight="1">
      <c r="A69" s="90">
        <v>4</v>
      </c>
      <c r="B69" s="90" t="str">
        <f>Planners!$R$105</f>
        <v>O22_2</v>
      </c>
      <c r="C69" s="90" t="str">
        <f>Planners!$S$105</f>
        <v>RRTConnect</v>
      </c>
      <c r="D69" s="92">
        <f>Planners!$T$105</f>
        <v>8.3032999999999996E-2</v>
      </c>
      <c r="E69" s="92">
        <f>Planners!$U$105</f>
        <v>3.4453520000000002</v>
      </c>
      <c r="F69" s="92">
        <f>Planners!$V$105</f>
        <v>3.5283850000000001</v>
      </c>
      <c r="G69" s="92">
        <f>Planners!$X$105</f>
        <v>1.418558</v>
      </c>
      <c r="H69" s="94">
        <f>Planners!$W$105</f>
        <v>36</v>
      </c>
      <c r="I69" s="90" t="str">
        <f>Planners!$Y$105</f>
        <v>✓</v>
      </c>
      <c r="J69" s="96">
        <f>Planners!$Z$105</f>
        <v>0</v>
      </c>
    </row>
    <row r="70" spans="1:10" ht="18" customHeight="1">
      <c r="A70" s="90">
        <v>5</v>
      </c>
      <c r="B70" s="90" t="str">
        <f>Planners!$A$111</f>
        <v>O03_1</v>
      </c>
      <c r="C70" s="90" t="str">
        <f>Planners!$B$111</f>
        <v>RRTConnect</v>
      </c>
      <c r="D70" s="92">
        <f>Planners!$C$111</f>
        <v>8.9686000000000002E-2</v>
      </c>
      <c r="E70" s="92">
        <f>Planners!$D$111</f>
        <v>4.2369870000000001</v>
      </c>
      <c r="F70" s="92">
        <f>Planners!$E$111</f>
        <v>4.3266730000000004</v>
      </c>
      <c r="G70" s="92">
        <f>Planners!$G$111</f>
        <v>2.4609369999999999</v>
      </c>
      <c r="H70" s="94">
        <f>Planners!$F$111</f>
        <v>44</v>
      </c>
      <c r="I70" s="90" t="str">
        <f>Planners!$H$111</f>
        <v>✓</v>
      </c>
      <c r="J70" s="96">
        <f>Planners!$I$111</f>
        <v>0</v>
      </c>
    </row>
    <row r="71" spans="1:10" ht="18" customHeight="1">
      <c r="A71" s="90">
        <v>5</v>
      </c>
      <c r="B71" s="90" t="str">
        <f>Planners!$A$114</f>
        <v>O03_2</v>
      </c>
      <c r="C71" s="90" t="str">
        <f>Planners!$B$114</f>
        <v>RRTConnect</v>
      </c>
      <c r="D71" s="92">
        <f>Planners!$C$114</f>
        <v>7.5212000000000001E-2</v>
      </c>
      <c r="E71" s="92">
        <f>Planners!$D$114</f>
        <v>3.508175</v>
      </c>
      <c r="F71" s="92">
        <f>Planners!$E$114</f>
        <v>3.5833870000000001</v>
      </c>
      <c r="G71" s="92">
        <f>Planners!$G$114</f>
        <v>1.2155739999999999</v>
      </c>
      <c r="H71" s="94">
        <f>Planners!$F$114</f>
        <v>36</v>
      </c>
      <c r="I71" s="90" t="str">
        <f>Planners!$H$114</f>
        <v>✓</v>
      </c>
      <c r="J71" s="96">
        <f>Planners!$I$114</f>
        <v>0</v>
      </c>
    </row>
    <row r="72" spans="1:10" ht="18" customHeight="1">
      <c r="A72" s="90">
        <v>5</v>
      </c>
      <c r="B72" s="90" t="str">
        <f>Planners!$A$117</f>
        <v>O07_1</v>
      </c>
      <c r="C72" s="90" t="str">
        <f>Planners!$B$117</f>
        <v>RRTConnect</v>
      </c>
      <c r="D72" s="92">
        <f>Planners!$C$117</f>
        <v>8.4127999999999994E-2</v>
      </c>
      <c r="E72" s="92">
        <f>Planners!$D$117</f>
        <v>3.703592</v>
      </c>
      <c r="F72" s="92">
        <f>Planners!$E$117</f>
        <v>3.7877200000000002</v>
      </c>
      <c r="G72" s="92">
        <f>Planners!$G$117</f>
        <v>2.2556020000000001</v>
      </c>
      <c r="H72" s="94">
        <f>Planners!$F$117</f>
        <v>39</v>
      </c>
      <c r="I72" s="90" t="str">
        <f>Planners!$H$117</f>
        <v>✓</v>
      </c>
      <c r="J72" s="96">
        <f>Planners!$I$117</f>
        <v>0</v>
      </c>
    </row>
    <row r="73" spans="1:10" ht="18" customHeight="1">
      <c r="A73" s="90">
        <v>5</v>
      </c>
      <c r="B73" s="90" t="str">
        <f>Planners!$A$120</f>
        <v>O07_2</v>
      </c>
      <c r="C73" s="90" t="str">
        <f>Planners!$B$120</f>
        <v>RRTConnect</v>
      </c>
      <c r="D73" s="92">
        <f>Planners!$C$120</f>
        <v>7.5544E-2</v>
      </c>
      <c r="E73" s="92">
        <f>Planners!$D$120</f>
        <v>3.4442469999999998</v>
      </c>
      <c r="F73" s="92">
        <f>Planners!$E$120</f>
        <v>3.5197909999999997</v>
      </c>
      <c r="G73" s="92">
        <f>Planners!$G$120</f>
        <v>1.4188810000000001</v>
      </c>
      <c r="H73" s="94">
        <f>Planners!$F$120</f>
        <v>36</v>
      </c>
      <c r="I73" s="90" t="str">
        <f>Planners!$H$120</f>
        <v>✓</v>
      </c>
      <c r="J73" s="96">
        <f>Planners!$I$120</f>
        <v>0</v>
      </c>
    </row>
    <row r="74" spans="1:10" ht="18" customHeight="1">
      <c r="A74" s="90">
        <v>5</v>
      </c>
      <c r="B74" s="90" t="str">
        <f>Planners!$A$123</f>
        <v>O13_1</v>
      </c>
      <c r="C74" s="90" t="str">
        <f>Planners!$B$123</f>
        <v>RRTConnect</v>
      </c>
      <c r="D74" s="92">
        <f>Planners!$C$123</f>
        <v>7.9338000000000006E-2</v>
      </c>
      <c r="E74" s="92">
        <f>Planners!$D$123</f>
        <v>3.7579009999999999</v>
      </c>
      <c r="F74" s="92">
        <f>Planners!$E$123</f>
        <v>3.8372389999999998</v>
      </c>
      <c r="G74" s="92">
        <f>Planners!$G$123</f>
        <v>2.3773460000000002</v>
      </c>
      <c r="H74" s="94">
        <f>Planners!$F$123</f>
        <v>39</v>
      </c>
      <c r="I74" s="90" t="str">
        <f>Planners!$H$123</f>
        <v>✓</v>
      </c>
      <c r="J74" s="96">
        <f>Planners!$I$123</f>
        <v>0</v>
      </c>
    </row>
    <row r="75" spans="1:10" ht="18" customHeight="1">
      <c r="A75" s="90">
        <v>5</v>
      </c>
      <c r="B75" s="90" t="str">
        <f>Planners!$A$126</f>
        <v>O13_2</v>
      </c>
      <c r="C75" s="90" t="str">
        <f>Planners!$B$126</f>
        <v>RRTConnect</v>
      </c>
      <c r="D75" s="92">
        <f>Planners!$C$126</f>
        <v>7.5532000000000002E-2</v>
      </c>
      <c r="E75" s="92">
        <f>Planners!$D$126</f>
        <v>3.1047739999999999</v>
      </c>
      <c r="F75" s="92">
        <f>Planners!$E$126</f>
        <v>3.1803059999999999</v>
      </c>
      <c r="G75" s="92">
        <f>Planners!$G$126</f>
        <v>1.513317</v>
      </c>
      <c r="H75" s="94">
        <f>Planners!$F$126</f>
        <v>32</v>
      </c>
      <c r="I75" s="90" t="str">
        <f>Planners!$H$126</f>
        <v>✓</v>
      </c>
      <c r="J75" s="96">
        <f>Planners!$I$126</f>
        <v>0</v>
      </c>
    </row>
    <row r="76" spans="1:10" ht="18" customHeight="1">
      <c r="A76" s="90">
        <v>5</v>
      </c>
      <c r="B76" s="90" t="str">
        <f>Planners!$A$129</f>
        <v>O17_1</v>
      </c>
      <c r="C76" s="90" t="str">
        <f>Planners!$B$129</f>
        <v>RRTConnect</v>
      </c>
      <c r="D76" s="92">
        <f>Planners!$C$129</f>
        <v>0.104755</v>
      </c>
      <c r="E76" s="92">
        <f>Planners!$D$129</f>
        <v>4.2402189999999997</v>
      </c>
      <c r="F76" s="92">
        <f>Planners!$E$129</f>
        <v>4.3449739999999997</v>
      </c>
      <c r="G76" s="92">
        <f>Planners!$G$129</f>
        <v>3.3808660000000001</v>
      </c>
      <c r="H76" s="94">
        <f>Planners!$F$129</f>
        <v>44</v>
      </c>
      <c r="I76" s="90" t="str">
        <f>Planners!$H$129</f>
        <v>✓</v>
      </c>
      <c r="J76" s="96">
        <f>Planners!$I$129</f>
        <v>0</v>
      </c>
    </row>
    <row r="77" spans="1:10" ht="18" customHeight="1">
      <c r="A77" s="90">
        <v>5</v>
      </c>
      <c r="B77" s="90" t="str">
        <f>Planners!$A$132</f>
        <v>O17_2</v>
      </c>
      <c r="C77" s="90" t="str">
        <f>Planners!$B$132</f>
        <v>RRTConnect</v>
      </c>
      <c r="D77" s="92">
        <f>Planners!$C$132</f>
        <v>9.3826999999999994E-2</v>
      </c>
      <c r="E77" s="92">
        <f>Planners!$D$132</f>
        <v>2.8867240000000001</v>
      </c>
      <c r="F77" s="92">
        <f>Planners!$E$132</f>
        <v>2.9805510000000002</v>
      </c>
      <c r="G77" s="92">
        <f>Planners!$G$132</f>
        <v>1.2794479999999999</v>
      </c>
      <c r="H77" s="94">
        <f>Planners!$F$132</f>
        <v>30</v>
      </c>
      <c r="I77" s="90" t="str">
        <f>Planners!$H$132</f>
        <v>✓</v>
      </c>
      <c r="J77" s="96">
        <f>Planners!$I$132</f>
        <v>0</v>
      </c>
    </row>
    <row r="78" spans="1:10" ht="18" customHeight="1">
      <c r="A78" s="90">
        <v>5</v>
      </c>
      <c r="B78" s="90" t="str">
        <f>Planners!$A$135</f>
        <v>O19_1</v>
      </c>
      <c r="C78" s="90" t="str">
        <f>Planners!$B$135</f>
        <v>RRTConnect</v>
      </c>
      <c r="D78" s="92">
        <f>Planners!$C$135</f>
        <v>0.104641</v>
      </c>
      <c r="E78" s="92">
        <f>Planners!$D$135</f>
        <v>3.507444</v>
      </c>
      <c r="F78" s="92">
        <f>Planners!$E$135</f>
        <v>3.612085</v>
      </c>
      <c r="G78" s="92">
        <f>Planners!$G$135</f>
        <v>2.8418909999999999</v>
      </c>
      <c r="H78" s="94">
        <f>Planners!$F$135</f>
        <v>36</v>
      </c>
      <c r="I78" s="90" t="str">
        <f>Planners!$H$135</f>
        <v>✓</v>
      </c>
      <c r="J78" s="96">
        <f>Planners!$I$135</f>
        <v>0</v>
      </c>
    </row>
    <row r="79" spans="1:10" ht="18" customHeight="1">
      <c r="A79" s="90">
        <v>5</v>
      </c>
      <c r="B79" s="90" t="str">
        <f>Planners!$A$138</f>
        <v>O19_2</v>
      </c>
      <c r="C79" s="90" t="str">
        <f>Planners!$B$138</f>
        <v>RRTConnect</v>
      </c>
      <c r="D79" s="92">
        <f>Planners!$C$138</f>
        <v>8.5024000000000002E-2</v>
      </c>
      <c r="E79" s="92">
        <f>Planners!$D$138</f>
        <v>3.4541930000000001</v>
      </c>
      <c r="F79" s="92">
        <f>Planners!$E$138</f>
        <v>3.5392170000000003</v>
      </c>
      <c r="G79" s="92">
        <f>Planners!$G$138</f>
        <v>1.388522</v>
      </c>
      <c r="H79" s="94">
        <f>Planners!$F$138</f>
        <v>36</v>
      </c>
      <c r="I79" s="90" t="str">
        <f>Planners!$H$138</f>
        <v>✓</v>
      </c>
      <c r="J79" s="96">
        <f>Planners!$I$138</f>
        <v>0</v>
      </c>
    </row>
    <row r="80" spans="1:10" ht="18" customHeight="1">
      <c r="A80" s="90">
        <v>5</v>
      </c>
      <c r="B80" s="90" t="str">
        <f>Planners!$A$141</f>
        <v>O19_3</v>
      </c>
      <c r="C80" s="90" t="str">
        <f>Planners!$B$141</f>
        <v>RRTConnect</v>
      </c>
      <c r="D80" s="92">
        <f>Planners!$C$141</f>
        <v>9.4160999999999995E-2</v>
      </c>
      <c r="E80" s="92">
        <f>Planners!$D$141</f>
        <v>3.6075349999999999</v>
      </c>
      <c r="F80" s="92">
        <f>Planners!$E$141</f>
        <v>3.7016960000000001</v>
      </c>
      <c r="G80" s="92">
        <f>Planners!$G$141</f>
        <v>1.2929980000000001</v>
      </c>
      <c r="H80" s="94">
        <f>Planners!$F$141</f>
        <v>38</v>
      </c>
      <c r="I80" s="90" t="str">
        <f>Planners!$H$141</f>
        <v>✓</v>
      </c>
      <c r="J80" s="96">
        <f>Planners!$I$141</f>
        <v>0</v>
      </c>
    </row>
    <row r="81" spans="1:10" ht="18" customHeight="1">
      <c r="A81" s="90">
        <v>5</v>
      </c>
      <c r="B81" s="90" t="str">
        <f>Planners!$A$144</f>
        <v>O20_1</v>
      </c>
      <c r="C81" s="90" t="str">
        <f>Planners!$B$144</f>
        <v>RRTConnect</v>
      </c>
      <c r="D81" s="92">
        <f>Planners!$C$144</f>
        <v>0.102853</v>
      </c>
      <c r="E81" s="92">
        <f>Planners!$D$144</f>
        <v>3.6484489999999998</v>
      </c>
      <c r="F81" s="92">
        <f>Planners!$E$144</f>
        <v>3.7513019999999999</v>
      </c>
      <c r="G81" s="92">
        <f>Planners!$G$144</f>
        <v>2.7283140000000001</v>
      </c>
      <c r="H81" s="94">
        <f>Planners!$F$144</f>
        <v>38</v>
      </c>
      <c r="I81" s="90" t="str">
        <f>Planners!$H$144</f>
        <v>✓</v>
      </c>
      <c r="J81" s="96">
        <f>Planners!$I$144</f>
        <v>0</v>
      </c>
    </row>
    <row r="82" spans="1:10" ht="18" customHeight="1">
      <c r="A82" s="90">
        <v>5</v>
      </c>
      <c r="B82" s="90" t="str">
        <f>Planners!$A$147</f>
        <v>O20_2</v>
      </c>
      <c r="C82" s="90" t="str">
        <f>Planners!$B$147</f>
        <v>RRTConnect</v>
      </c>
      <c r="D82" s="92">
        <f>Planners!$C$147</f>
        <v>7.1138999999999994E-2</v>
      </c>
      <c r="E82" s="92">
        <f>Planners!$D$147</f>
        <v>2.8833869999999999</v>
      </c>
      <c r="F82" s="92">
        <f>Planners!$E$147</f>
        <v>2.954526</v>
      </c>
      <c r="G82" s="92">
        <f>Planners!$G$147</f>
        <v>1.3281590000000001</v>
      </c>
      <c r="H82" s="94">
        <f>Planners!$F$147</f>
        <v>30</v>
      </c>
      <c r="I82" s="90" t="str">
        <f>Planners!$H$147</f>
        <v>✓</v>
      </c>
      <c r="J82" s="96">
        <f>Planners!$I$147</f>
        <v>0</v>
      </c>
    </row>
    <row r="83" spans="1:10" ht="18" customHeight="1">
      <c r="A83" s="90">
        <v>5</v>
      </c>
      <c r="B83" s="90" t="str">
        <f>Planners!$A$150</f>
        <v>O20_3</v>
      </c>
      <c r="C83" s="90" t="str">
        <f>Planners!$B$150</f>
        <v>RRTConnect</v>
      </c>
      <c r="D83" s="92">
        <f>Planners!$C$150</f>
        <v>8.4750000000000006E-2</v>
      </c>
      <c r="E83" s="92">
        <f>Planners!$D$150</f>
        <v>3.1337489999999999</v>
      </c>
      <c r="F83" s="92">
        <f>Planners!$E$150</f>
        <v>3.218499</v>
      </c>
      <c r="G83" s="92">
        <f>Planners!$G$150</f>
        <v>1.4851369999999999</v>
      </c>
      <c r="H83" s="94">
        <f>Planners!$F$150</f>
        <v>33</v>
      </c>
      <c r="I83" s="90" t="str">
        <f>Planners!$H$150</f>
        <v>✓</v>
      </c>
      <c r="J83" s="96">
        <f>Planners!$I$150</f>
        <v>0</v>
      </c>
    </row>
    <row r="84" spans="1:10" ht="18" customHeight="1">
      <c r="A84" s="90">
        <v>5</v>
      </c>
      <c r="B84" s="90" t="str">
        <f>Planners!$A$153</f>
        <v>O21</v>
      </c>
      <c r="C84" s="90" t="str">
        <f>Planners!$B$153</f>
        <v>RRTConnect</v>
      </c>
      <c r="D84" s="92">
        <f>Planners!$C$153</f>
        <v>7.3832999999999996E-2</v>
      </c>
      <c r="E84" s="92">
        <f>Planners!$D$153</f>
        <v>3.9921129999999998</v>
      </c>
      <c r="F84" s="92">
        <f>Planners!$E$153</f>
        <v>4.0659459999999994</v>
      </c>
      <c r="G84" s="92">
        <f>Planners!$G$153</f>
        <v>3.5206110000000002</v>
      </c>
      <c r="H84" s="94">
        <f>Planners!$F$153</f>
        <v>42</v>
      </c>
      <c r="I84" s="90" t="str">
        <f>Planners!$H$153</f>
        <v>✓</v>
      </c>
      <c r="J84" s="96">
        <f>Planners!$I$153</f>
        <v>0</v>
      </c>
    </row>
    <row r="85" spans="1:10" ht="18" customHeight="1">
      <c r="A85" s="90">
        <v>5</v>
      </c>
      <c r="B85" s="90" t="str">
        <f>Planners!$A$156</f>
        <v>O22_1</v>
      </c>
      <c r="C85" s="90" t="str">
        <f>Planners!$B$156</f>
        <v>RRTConnect</v>
      </c>
      <c r="D85" s="92">
        <f>Planners!$C$156</f>
        <v>7.9170000000000004E-2</v>
      </c>
      <c r="E85" s="92">
        <f>Planners!$D$156</f>
        <v>3.7605209999999998</v>
      </c>
      <c r="F85" s="92">
        <f>Planners!$E$156</f>
        <v>3.8396909999999997</v>
      </c>
      <c r="G85" s="92">
        <f>Planners!$G$156</f>
        <v>1.755374</v>
      </c>
      <c r="H85" s="94">
        <f>Planners!$F$156</f>
        <v>39</v>
      </c>
      <c r="I85" s="90" t="str">
        <f>Planners!$H$156</f>
        <v>✓</v>
      </c>
      <c r="J85" s="96">
        <f>Planners!$I$156</f>
        <v>0</v>
      </c>
    </row>
    <row r="86" spans="1:10" ht="18" customHeight="1">
      <c r="A86" s="90">
        <v>5</v>
      </c>
      <c r="B86" s="90" t="str">
        <f>Planners!$A$159</f>
        <v>O22_2</v>
      </c>
      <c r="C86" s="90" t="str">
        <f>Planners!$B$159</f>
        <v>RRTConnect</v>
      </c>
      <c r="D86" s="92">
        <f>Planners!$C$159</f>
        <v>5.5747999999999999E-2</v>
      </c>
      <c r="E86" s="92">
        <f>Planners!$D$159</f>
        <v>3.4109560000000001</v>
      </c>
      <c r="F86" s="92">
        <f>Planners!$E$159</f>
        <v>3.466704</v>
      </c>
      <c r="G86" s="92">
        <f>Planners!$G$159</f>
        <v>1.1633100000000001</v>
      </c>
      <c r="H86" s="94">
        <f>Planners!$F$159</f>
        <v>29</v>
      </c>
      <c r="I86" s="90" t="str">
        <f>Planners!$H$159</f>
        <v>✓</v>
      </c>
      <c r="J86" s="96">
        <f>Planners!$I$159</f>
        <v>0</v>
      </c>
    </row>
    <row r="87" spans="1:10" ht="18" customHeight="1">
      <c r="A87" s="90">
        <v>1</v>
      </c>
      <c r="B87" s="90" t="str">
        <f>Planners!$A$3</f>
        <v>O03_1</v>
      </c>
      <c r="C87" s="90" t="str">
        <f>Planners!$B$4</f>
        <v>RRTstar</v>
      </c>
      <c r="D87" s="92">
        <f>Planners!$C$4</f>
        <v>9.3885999999999997E-2</v>
      </c>
      <c r="E87" s="92">
        <f>Planners!$D$4</f>
        <v>3.6859820000000001</v>
      </c>
      <c r="F87" s="92">
        <f>Planners!$E$4</f>
        <v>3.779868</v>
      </c>
      <c r="G87" s="92">
        <f>Planners!$G$4</f>
        <v>2.2553179999999999</v>
      </c>
      <c r="H87" s="94">
        <f>Planners!$F$4</f>
        <v>39</v>
      </c>
      <c r="I87" s="90" t="str">
        <f>Planners!$H$4</f>
        <v>✓</v>
      </c>
      <c r="J87" s="96">
        <f>Planners!$I$4</f>
        <v>0</v>
      </c>
    </row>
    <row r="88" spans="1:10" ht="18" customHeight="1">
      <c r="A88" s="90">
        <v>1</v>
      </c>
      <c r="B88" s="90" t="str">
        <f>Planners!$A$6</f>
        <v>O03_2</v>
      </c>
      <c r="C88" s="90" t="str">
        <f>Planners!$B$7</f>
        <v>RRTstar</v>
      </c>
      <c r="D88" s="92">
        <f>Planners!$C$7</f>
        <v>0.10512000000000001</v>
      </c>
      <c r="E88" s="92">
        <f>Planners!$D$7</f>
        <v>3.4432860000000001</v>
      </c>
      <c r="F88" s="92">
        <f>Planners!$E$7</f>
        <v>3.5484059999999999</v>
      </c>
      <c r="G88" s="92">
        <f>Planners!$G$7</f>
        <v>1.41831</v>
      </c>
      <c r="H88" s="94">
        <f>Planners!$F$7</f>
        <v>36</v>
      </c>
      <c r="I88" s="90" t="str">
        <f>Planners!$H$7</f>
        <v>✓</v>
      </c>
      <c r="J88" s="96">
        <f>Planners!$I$7</f>
        <v>0</v>
      </c>
    </row>
    <row r="89" spans="1:10" ht="18" customHeight="1">
      <c r="A89" s="90">
        <v>1</v>
      </c>
      <c r="B89" s="90" t="str">
        <f>Planners!$A$9</f>
        <v>O07_1</v>
      </c>
      <c r="C89" s="90" t="str">
        <f>Planners!$B$10</f>
        <v>RRTstar</v>
      </c>
      <c r="D89" s="92">
        <f>Planners!$C$10</f>
        <v>8.6583999999999994E-2</v>
      </c>
      <c r="E89" s="92">
        <f>Planners!$D$10</f>
        <v>3.7294230000000002</v>
      </c>
      <c r="F89" s="92">
        <f>Planners!$E$10</f>
        <v>3.8160069999999999</v>
      </c>
      <c r="G89" s="92">
        <f>Planners!$G$10</f>
        <v>2.3762569999999998</v>
      </c>
      <c r="H89" s="94">
        <f>Planners!$F$10</f>
        <v>39</v>
      </c>
      <c r="I89" s="90" t="str">
        <f>Planners!$H$10</f>
        <v>✓</v>
      </c>
      <c r="J89" s="96">
        <f>Planners!$I$10</f>
        <v>0</v>
      </c>
    </row>
    <row r="90" spans="1:10" ht="18" customHeight="1">
      <c r="A90" s="90">
        <v>1</v>
      </c>
      <c r="B90" s="90" t="str">
        <f>Planners!$A$12</f>
        <v>O07_2</v>
      </c>
      <c r="C90" s="90" t="str">
        <f>Planners!$B$13</f>
        <v>RRTstar</v>
      </c>
      <c r="D90" s="92">
        <f>Planners!$C$13</f>
        <v>7.4055999999999997E-2</v>
      </c>
      <c r="E90" s="92">
        <f>Planners!$D$13</f>
        <v>3.044419</v>
      </c>
      <c r="F90" s="92">
        <f>Planners!$E$13</f>
        <v>3.1184750000000001</v>
      </c>
      <c r="G90" s="92">
        <f>Planners!$G$13</f>
        <v>1.511741</v>
      </c>
      <c r="H90" s="94">
        <f>Planners!$F$13</f>
        <v>32</v>
      </c>
      <c r="I90" s="90" t="str">
        <f>Planners!$H$13</f>
        <v>✓</v>
      </c>
      <c r="J90" s="96">
        <f>Planners!$I$13</f>
        <v>0</v>
      </c>
    </row>
    <row r="91" spans="1:10" ht="18" customHeight="1">
      <c r="A91" s="90">
        <v>1</v>
      </c>
      <c r="B91" s="90" t="str">
        <f>Planners!$A$15</f>
        <v>O13_1</v>
      </c>
      <c r="C91" s="90" t="str">
        <f>Planners!$B$16</f>
        <v>RRTstar</v>
      </c>
      <c r="D91" s="92">
        <f>Planners!$C$16</f>
        <v>7.3994000000000004E-2</v>
      </c>
      <c r="E91" s="92">
        <f>Planners!$D$16</f>
        <v>4.5858299999999996</v>
      </c>
      <c r="F91" s="92">
        <f>Planners!$E$16</f>
        <v>4.6598239999999995</v>
      </c>
      <c r="G91" s="92">
        <f>Planners!$G$16</f>
        <v>2.9843320000000002</v>
      </c>
      <c r="H91" s="94">
        <f>Planners!$F$16</f>
        <v>48</v>
      </c>
      <c r="I91" s="90" t="str">
        <f>Planners!$H$16</f>
        <v>✓</v>
      </c>
      <c r="J91" s="96">
        <f>Planners!$I$16</f>
        <v>0</v>
      </c>
    </row>
    <row r="92" spans="1:10" ht="18" customHeight="1">
      <c r="A92" s="90">
        <v>1</v>
      </c>
      <c r="B92" s="90" t="str">
        <f>Planners!$A$18</f>
        <v>O13_2</v>
      </c>
      <c r="C92" s="90" t="str">
        <f>Planners!$B$19</f>
        <v>RRTstar</v>
      </c>
      <c r="D92" s="92">
        <f>Planners!$C$19</f>
        <v>9.6216999999999997E-2</v>
      </c>
      <c r="E92" s="92">
        <f>Planners!$D$19</f>
        <v>4.4963730000000002</v>
      </c>
      <c r="F92" s="92">
        <f>Planners!$E$19</f>
        <v>4.5925900000000004</v>
      </c>
      <c r="G92" s="92">
        <f>Planners!$G$19</f>
        <v>3.9169420000000001</v>
      </c>
      <c r="H92" s="94">
        <f>Planners!$F$19</f>
        <v>47</v>
      </c>
      <c r="I92" s="90" t="str">
        <f>Planners!$H$19</f>
        <v>✓</v>
      </c>
      <c r="J92" s="96">
        <f>Planners!$I$19</f>
        <v>0</v>
      </c>
    </row>
    <row r="93" spans="1:10" ht="18" customHeight="1">
      <c r="A93" s="90">
        <v>1</v>
      </c>
      <c r="B93" s="90" t="str">
        <f>Planners!$A$21</f>
        <v>O17_1</v>
      </c>
      <c r="C93" s="90" t="str">
        <f>Planners!$B$22</f>
        <v>RRTstar</v>
      </c>
      <c r="D93" s="92">
        <f>Planners!$C$22</f>
        <v>8.1577999999999998E-2</v>
      </c>
      <c r="E93" s="92">
        <f>Planners!$D$22</f>
        <v>4.2479889999999996</v>
      </c>
      <c r="F93" s="92">
        <f>Planners!$E$22</f>
        <v>4.3295669999999999</v>
      </c>
      <c r="G93" s="92">
        <f>Planners!$G$22</f>
        <v>3.3821569999999999</v>
      </c>
      <c r="H93" s="94">
        <f>Planners!$F$22</f>
        <v>44</v>
      </c>
      <c r="I93" s="90" t="str">
        <f>Planners!$H$22</f>
        <v>✓</v>
      </c>
      <c r="J93" s="96">
        <f>Planners!$I$22</f>
        <v>0</v>
      </c>
    </row>
    <row r="94" spans="1:10" ht="18" customHeight="1">
      <c r="A94" s="90">
        <v>1</v>
      </c>
      <c r="B94" s="90" t="str">
        <f>Planners!$A$24</f>
        <v>O17_2</v>
      </c>
      <c r="C94" s="90" t="str">
        <f>Planners!$B$25</f>
        <v>RRTstar</v>
      </c>
      <c r="D94" s="92">
        <f>Planners!$C$25</f>
        <v>7.6359999999999997E-2</v>
      </c>
      <c r="E94" s="92">
        <f>Planners!$D$25</f>
        <v>2.9510640000000001</v>
      </c>
      <c r="F94" s="92">
        <f>Planners!$E$25</f>
        <v>3.0274240000000003</v>
      </c>
      <c r="G94" s="92">
        <f>Planners!$G$25</f>
        <v>1.2825660000000001</v>
      </c>
      <c r="H94" s="94">
        <f>Planners!$F$25</f>
        <v>31</v>
      </c>
      <c r="I94" s="90" t="str">
        <f>Planners!$H$25</f>
        <v>✓</v>
      </c>
      <c r="J94" s="96">
        <f>Planners!$I$25</f>
        <v>0</v>
      </c>
    </row>
    <row r="95" spans="1:10" ht="18" customHeight="1">
      <c r="A95" s="90">
        <v>1</v>
      </c>
      <c r="B95" s="90" t="str">
        <f>Planners!$A$27</f>
        <v>O19_1</v>
      </c>
      <c r="C95" s="90" t="str">
        <f>Planners!$B$28</f>
        <v>RRTstar</v>
      </c>
      <c r="D95" s="92">
        <f>Planners!$C$28</f>
        <v>9.9737999999999993E-2</v>
      </c>
      <c r="E95" s="92">
        <f>Planners!$D$28</f>
        <v>3.49491</v>
      </c>
      <c r="F95" s="92">
        <f>Planners!$E$28</f>
        <v>3.5946479999999998</v>
      </c>
      <c r="G95" s="92">
        <f>Planners!$G$28</f>
        <v>2.8432930000000001</v>
      </c>
      <c r="H95" s="94">
        <f>Planners!$F$28</f>
        <v>36</v>
      </c>
      <c r="I95" s="90" t="str">
        <f>Planners!$H$28</f>
        <v>✓</v>
      </c>
      <c r="J95" s="96">
        <f>Planners!$I$28</f>
        <v>0</v>
      </c>
    </row>
    <row r="96" spans="1:10" ht="18" customHeight="1">
      <c r="A96" s="90">
        <v>1</v>
      </c>
      <c r="B96" s="90" t="str">
        <f>Planners!$A$30</f>
        <v>O19_2</v>
      </c>
      <c r="C96" s="90" t="str">
        <f>Planners!$B$31</f>
        <v>RRTstar</v>
      </c>
      <c r="D96" s="92">
        <f>Planners!$C$31</f>
        <v>6.3220999999999999E-2</v>
      </c>
      <c r="E96" s="92">
        <f>Planners!$D$31</f>
        <v>3.4389889999999999</v>
      </c>
      <c r="F96" s="92">
        <f>Planners!$E$31</f>
        <v>3.5022099999999998</v>
      </c>
      <c r="G96" s="92">
        <f>Planners!$G$31</f>
        <v>1.3874740000000001</v>
      </c>
      <c r="H96" s="94">
        <f>Planners!$F$31</f>
        <v>36</v>
      </c>
      <c r="I96" s="90" t="str">
        <f>Planners!$H$31</f>
        <v>✓</v>
      </c>
      <c r="J96" s="96">
        <f>Planners!$I$31</f>
        <v>0</v>
      </c>
    </row>
    <row r="97" spans="1:10" ht="18" customHeight="1">
      <c r="A97" s="90">
        <v>1</v>
      </c>
      <c r="B97" s="90" t="str">
        <f>Planners!$A$33</f>
        <v>O19_3</v>
      </c>
      <c r="C97" s="90" t="str">
        <f>Planners!$B$34</f>
        <v>RRTstar</v>
      </c>
      <c r="D97" s="92">
        <f>Planners!$C$34</f>
        <v>7.4505000000000002E-2</v>
      </c>
      <c r="E97" s="92">
        <f>Planners!$D$34</f>
        <v>3.7498339999999999</v>
      </c>
      <c r="F97" s="92">
        <f>Planners!$E$34</f>
        <v>3.8243389999999997</v>
      </c>
      <c r="G97" s="92">
        <f>Planners!$G$34</f>
        <v>1.290953</v>
      </c>
      <c r="H97" s="94">
        <f>Planners!$F$34</f>
        <v>39</v>
      </c>
      <c r="I97" s="90" t="str">
        <f>Planners!$H$34</f>
        <v>✓</v>
      </c>
      <c r="J97" s="96">
        <f>Planners!$I$34</f>
        <v>0</v>
      </c>
    </row>
    <row r="98" spans="1:10" ht="18" customHeight="1">
      <c r="A98" s="90">
        <v>1</v>
      </c>
      <c r="B98" s="90" t="str">
        <f>Planners!$A$36</f>
        <v>O20_1</v>
      </c>
      <c r="C98" s="90" t="str">
        <f>Planners!$B$37</f>
        <v>RRTstar</v>
      </c>
      <c r="D98" s="92">
        <f>Planners!$C$37</f>
        <v>0.102947</v>
      </c>
      <c r="E98" s="92">
        <f>Planners!$D$37</f>
        <v>3.6505749999999999</v>
      </c>
      <c r="F98" s="92">
        <f>Planners!$E$37</f>
        <v>3.7535219999999998</v>
      </c>
      <c r="G98" s="92">
        <f>Planners!$G$37</f>
        <v>2.7271200000000002</v>
      </c>
      <c r="H98" s="94">
        <f>Planners!$F$37</f>
        <v>38</v>
      </c>
      <c r="I98" s="90" t="str">
        <f>Planners!$H$37</f>
        <v>✓</v>
      </c>
      <c r="J98" s="96">
        <f>Planners!$I$37</f>
        <v>0</v>
      </c>
    </row>
    <row r="99" spans="1:10" ht="18" customHeight="1">
      <c r="A99" s="90">
        <v>1</v>
      </c>
      <c r="B99" s="90" t="str">
        <f>Planners!$A$39</f>
        <v>O20_2</v>
      </c>
      <c r="C99" s="90" t="str">
        <f>Planners!$B$40</f>
        <v>RRTstar</v>
      </c>
      <c r="D99" s="92">
        <f>Planners!$C$40</f>
        <v>8.3117999999999997E-2</v>
      </c>
      <c r="E99" s="92">
        <f>Planners!$D$40</f>
        <v>2.8854760000000002</v>
      </c>
      <c r="F99" s="92">
        <f>Planners!$E$40</f>
        <v>2.968594</v>
      </c>
      <c r="G99" s="92">
        <f>Planners!$G$40</f>
        <v>1.3285769999999999</v>
      </c>
      <c r="H99" s="94">
        <f>Planners!$F$40</f>
        <v>30</v>
      </c>
      <c r="I99" s="90" t="str">
        <f>Planners!$H$40</f>
        <v>✓</v>
      </c>
      <c r="J99" s="96">
        <f>Planners!$I$40</f>
        <v>0</v>
      </c>
    </row>
    <row r="100" spans="1:10" ht="18" customHeight="1">
      <c r="A100" s="90">
        <v>1</v>
      </c>
      <c r="B100" s="90" t="str">
        <f>Planners!$A$42</f>
        <v>O20_3</v>
      </c>
      <c r="C100" s="90" t="str">
        <f>Planners!$B$43</f>
        <v>RRTstar</v>
      </c>
      <c r="D100" s="92">
        <f>Planners!$C$43</f>
        <v>9.2036000000000007E-2</v>
      </c>
      <c r="E100" s="92">
        <f>Planners!$D$43</f>
        <v>3.1453690000000001</v>
      </c>
      <c r="F100" s="92">
        <f>Planners!$E$43</f>
        <v>3.2374049999999999</v>
      </c>
      <c r="G100" s="92">
        <f>Planners!$G$43</f>
        <v>1.484246</v>
      </c>
      <c r="H100" s="94">
        <f>Planners!$F$43</f>
        <v>33</v>
      </c>
      <c r="I100" s="90" t="str">
        <f>Planners!$H$43</f>
        <v>✓</v>
      </c>
      <c r="J100" s="96">
        <f>Planners!$I$43</f>
        <v>0</v>
      </c>
    </row>
    <row r="101" spans="1:10" ht="18" customHeight="1">
      <c r="A101" s="90">
        <v>1</v>
      </c>
      <c r="B101" s="90" t="str">
        <f>Planners!$A$45</f>
        <v>O21</v>
      </c>
      <c r="C101" s="90" t="str">
        <f>Planners!$B$46</f>
        <v>RRTstar</v>
      </c>
      <c r="D101" s="92">
        <f>Planners!$C$46</f>
        <v>8.6239999999999997E-2</v>
      </c>
      <c r="E101" s="92">
        <f>Planners!$D$46</f>
        <v>4.3154110000000001</v>
      </c>
      <c r="F101" s="92">
        <f>Planners!$E$46</f>
        <v>4.4016510000000002</v>
      </c>
      <c r="G101" s="92">
        <f>Planners!$G$46</f>
        <v>2.6376689999999998</v>
      </c>
      <c r="H101" s="94">
        <f>Planners!$F$46</f>
        <v>44</v>
      </c>
      <c r="I101" s="90" t="str">
        <f>Planners!$H$46</f>
        <v>✓</v>
      </c>
      <c r="J101" s="96">
        <f>Planners!$I$46</f>
        <v>0</v>
      </c>
    </row>
    <row r="102" spans="1:10" ht="18" customHeight="1">
      <c r="A102" s="90">
        <v>1</v>
      </c>
      <c r="B102" s="90" t="str">
        <f>Planners!$A$48</f>
        <v>O22_1</v>
      </c>
      <c r="C102" s="90" t="str">
        <f>Planners!$B$49</f>
        <v>RRTstar</v>
      </c>
      <c r="D102" s="92">
        <f>Planners!$C$49</f>
        <v>7.4256000000000003E-2</v>
      </c>
      <c r="E102" s="92">
        <f>Planners!$D$49</f>
        <v>3.7385540000000002</v>
      </c>
      <c r="F102" s="92">
        <f>Planners!$E$49</f>
        <v>3.8128100000000003</v>
      </c>
      <c r="G102" s="92">
        <f>Planners!$G$49</f>
        <v>2.2558180000000001</v>
      </c>
      <c r="H102" s="94">
        <f>Planners!$F$49</f>
        <v>39</v>
      </c>
      <c r="I102" s="90" t="str">
        <f>Planners!$H$49</f>
        <v>✓</v>
      </c>
      <c r="J102" s="96">
        <f>Planners!$I$49</f>
        <v>0</v>
      </c>
    </row>
    <row r="103" spans="1:10" ht="18" customHeight="1">
      <c r="A103" s="90">
        <v>1</v>
      </c>
      <c r="B103" s="90" t="str">
        <f>Planners!$A$51</f>
        <v>O22_2</v>
      </c>
      <c r="C103" s="90" t="str">
        <f>Planners!$B$52</f>
        <v>RRTstar</v>
      </c>
      <c r="D103" s="92">
        <f>Planners!$C$52</f>
        <v>9.9387000000000003E-2</v>
      </c>
      <c r="E103" s="92">
        <f>Planners!$D$52</f>
        <v>2.845529</v>
      </c>
      <c r="F103" s="92">
        <f>Planners!$E$52</f>
        <v>2.9449160000000001</v>
      </c>
      <c r="G103" s="92">
        <f>Planners!$G$52</f>
        <v>1.3223510000000001</v>
      </c>
      <c r="H103" s="94">
        <f>Planners!$F$52</f>
        <v>35</v>
      </c>
      <c r="I103" s="90" t="str">
        <f>Planners!$H$52</f>
        <v>✓</v>
      </c>
      <c r="J103" s="96">
        <f>Planners!$I$52</f>
        <v>0</v>
      </c>
    </row>
    <row r="104" spans="1:10" ht="18" customHeight="1">
      <c r="A104" s="90">
        <v>2</v>
      </c>
      <c r="B104" s="90" t="str">
        <f>Planners!$R$3</f>
        <v>O03_1</v>
      </c>
      <c r="C104" s="90" t="str">
        <f>Planners!$S$4</f>
        <v>RRTstar</v>
      </c>
      <c r="D104" s="92">
        <f>Planners!$T$4</f>
        <v>8.838E-2</v>
      </c>
      <c r="E104" s="92">
        <f>Planners!$U$4</f>
        <v>3.6990859999999999</v>
      </c>
      <c r="F104" s="92">
        <f>Planners!$V$4</f>
        <v>3.7874659999999998</v>
      </c>
      <c r="G104" s="92">
        <f>Planners!$X$4</f>
        <v>2.254267</v>
      </c>
      <c r="H104" s="94">
        <f>Planners!$W$4</f>
        <v>39</v>
      </c>
      <c r="I104" s="90" t="str">
        <f>Planners!$Y$4</f>
        <v>✓</v>
      </c>
      <c r="J104" s="96">
        <f>Planners!$Z$4</f>
        <v>0</v>
      </c>
    </row>
    <row r="105" spans="1:10" ht="18" customHeight="1">
      <c r="A105" s="90">
        <v>2</v>
      </c>
      <c r="B105" s="90" t="str">
        <f>Planners!$R$6</f>
        <v>O03_2</v>
      </c>
      <c r="C105" s="90" t="str">
        <f>Planners!$S$7</f>
        <v>RRTstar</v>
      </c>
      <c r="D105" s="92">
        <f>Planners!$T$7</f>
        <v>0.106917</v>
      </c>
      <c r="E105" s="92">
        <f>Planners!$U$7</f>
        <v>3.4514870000000002</v>
      </c>
      <c r="F105" s="92">
        <f>Planners!$V$7</f>
        <v>3.5584040000000003</v>
      </c>
      <c r="G105" s="92">
        <f>Planners!$X$7</f>
        <v>1.414253</v>
      </c>
      <c r="H105" s="94">
        <f>Planners!$W$7</f>
        <v>36</v>
      </c>
      <c r="I105" s="90" t="str">
        <f>Planners!$Y$7</f>
        <v>✓</v>
      </c>
      <c r="J105" s="96">
        <f>Planners!$Z$7</f>
        <v>0</v>
      </c>
    </row>
    <row r="106" spans="1:10" ht="18" customHeight="1">
      <c r="A106" s="90">
        <v>2</v>
      </c>
      <c r="B106" s="90" t="str">
        <f>Planners!$R$9</f>
        <v>O07_1</v>
      </c>
      <c r="C106" s="90" t="str">
        <f>Planners!$S$10</f>
        <v>RRTstar</v>
      </c>
      <c r="D106" s="92">
        <f>Planners!$T$10</f>
        <v>0.105006</v>
      </c>
      <c r="E106" s="92">
        <f>Planners!$U$10</f>
        <v>4.4252359999999999</v>
      </c>
      <c r="F106" s="92">
        <f>Planners!$V$10</f>
        <v>4.5302420000000003</v>
      </c>
      <c r="G106" s="92">
        <f>Planners!$X$10</f>
        <v>3.0315759999999998</v>
      </c>
      <c r="H106" s="94">
        <f>Planners!$W$10</f>
        <v>46</v>
      </c>
      <c r="I106" s="90" t="str">
        <f>Planners!$Y$10</f>
        <v>✓</v>
      </c>
      <c r="J106" s="96">
        <f>Planners!$Z$10</f>
        <v>0</v>
      </c>
    </row>
    <row r="107" spans="1:10" ht="18" customHeight="1">
      <c r="A107" s="90">
        <v>2</v>
      </c>
      <c r="B107" s="90" t="str">
        <f>Planners!$R$12</f>
        <v>O07_2</v>
      </c>
      <c r="C107" s="90" t="str">
        <f>Planners!$S$13</f>
        <v>RRTstar</v>
      </c>
      <c r="D107" s="92">
        <f>Planners!$T$13</f>
        <v>9.2743999999999993E-2</v>
      </c>
      <c r="E107" s="92">
        <f>Planners!$U$13</f>
        <v>3.1543589999999999</v>
      </c>
      <c r="F107" s="92">
        <f>Planners!$V$13</f>
        <v>3.2471030000000001</v>
      </c>
      <c r="G107" s="92">
        <f>Planners!$X$13</f>
        <v>1.5165900000000001</v>
      </c>
      <c r="H107" s="94">
        <f>Planners!$W$13</f>
        <v>33</v>
      </c>
      <c r="I107" s="90" t="str">
        <f>Planners!$Y$13</f>
        <v>✓</v>
      </c>
      <c r="J107" s="96">
        <f>Planners!$Z$13</f>
        <v>0</v>
      </c>
    </row>
    <row r="108" spans="1:10" ht="18" customHeight="1">
      <c r="A108" s="90">
        <v>2</v>
      </c>
      <c r="B108" s="90" t="str">
        <f>Planners!$R$15</f>
        <v>O13_1</v>
      </c>
      <c r="C108" s="90" t="str">
        <f>Planners!$S$16</f>
        <v>RRTstar</v>
      </c>
      <c r="D108" s="92">
        <f>Planners!$T$16</f>
        <v>8.9514999999999997E-2</v>
      </c>
      <c r="E108" s="92">
        <f>Planners!$U$16</f>
        <v>3.6843940000000002</v>
      </c>
      <c r="F108" s="92">
        <f>Planners!$V$16</f>
        <v>3.7739090000000002</v>
      </c>
      <c r="G108" s="92">
        <f>Planners!$X$16</f>
        <v>2.2695850000000002</v>
      </c>
      <c r="H108" s="94">
        <f>Planners!$W$16</f>
        <v>39</v>
      </c>
      <c r="I108" s="90" t="str">
        <f>Planners!$Y$16</f>
        <v>✓</v>
      </c>
      <c r="J108" s="96">
        <f>Planners!$Z$16</f>
        <v>0</v>
      </c>
    </row>
    <row r="109" spans="1:10" ht="18" customHeight="1">
      <c r="A109" s="90">
        <v>2</v>
      </c>
      <c r="B109" s="90" t="str">
        <f>Planners!$R$18</f>
        <v>O13_2</v>
      </c>
      <c r="C109" s="90" t="str">
        <f>Planners!$S$19</f>
        <v>RRTstar</v>
      </c>
      <c r="D109" s="92">
        <f>Planners!$T$19</f>
        <v>8.4791000000000005E-2</v>
      </c>
      <c r="E109" s="92">
        <f>Planners!$U$19</f>
        <v>2.898822</v>
      </c>
      <c r="F109" s="92">
        <f>Planners!$V$19</f>
        <v>2.9836130000000001</v>
      </c>
      <c r="G109" s="92">
        <f>Planners!$X$19</f>
        <v>1.1831670000000001</v>
      </c>
      <c r="H109" s="94">
        <f>Planners!$W$19</f>
        <v>30</v>
      </c>
      <c r="I109" s="90" t="str">
        <f>Planners!$Y$19</f>
        <v>✓</v>
      </c>
      <c r="J109" s="96">
        <f>Planners!$Z$19</f>
        <v>0</v>
      </c>
    </row>
    <row r="110" spans="1:10" ht="18" customHeight="1">
      <c r="A110" s="90">
        <v>2</v>
      </c>
      <c r="B110" s="90" t="str">
        <f>Planners!$R$21</f>
        <v>O17_1</v>
      </c>
      <c r="C110" s="90" t="str">
        <f>Planners!$S$22</f>
        <v>RRTstar</v>
      </c>
      <c r="D110" s="92">
        <f>Planners!$T$22</f>
        <v>0.107875</v>
      </c>
      <c r="E110" s="92">
        <f>Planners!$U$22</f>
        <v>3.63856</v>
      </c>
      <c r="F110" s="92">
        <f>Planners!$V$22</f>
        <v>3.746435</v>
      </c>
      <c r="G110" s="92">
        <f>Planners!$X$22</f>
        <v>2.2759290000000001</v>
      </c>
      <c r="H110" s="94">
        <f>Planners!$W$22</f>
        <v>38</v>
      </c>
      <c r="I110" s="90" t="str">
        <f>Planners!$Y$22</f>
        <v>✓</v>
      </c>
      <c r="J110" s="96">
        <f>Planners!$Z$22</f>
        <v>0</v>
      </c>
    </row>
    <row r="111" spans="1:10" ht="18" customHeight="1">
      <c r="A111" s="90">
        <v>2</v>
      </c>
      <c r="B111" s="90" t="str">
        <f>Planners!$R$24</f>
        <v>O17_2</v>
      </c>
      <c r="C111" s="90" t="str">
        <f>Planners!$S$25</f>
        <v>RRTstar</v>
      </c>
      <c r="D111" s="92">
        <f>Planners!$T$25</f>
        <v>6.2057000000000001E-2</v>
      </c>
      <c r="E111" s="92">
        <f>Planners!$U$25</f>
        <v>4.8944549999999998</v>
      </c>
      <c r="F111" s="92">
        <f>Planners!$V$25</f>
        <v>4.956512</v>
      </c>
      <c r="G111" s="92">
        <f>Planners!$X$25</f>
        <v>2.2682769999999999</v>
      </c>
      <c r="H111" s="94">
        <f>Planners!$W$25</f>
        <v>50</v>
      </c>
      <c r="I111" s="90" t="str">
        <f>Planners!$Y$25</f>
        <v>✓</v>
      </c>
      <c r="J111" s="96">
        <f>Planners!$Z$25</f>
        <v>0</v>
      </c>
    </row>
    <row r="112" spans="1:10" ht="18" customHeight="1">
      <c r="A112" s="90">
        <v>2</v>
      </c>
      <c r="B112" s="90" t="str">
        <f>Planners!$R$27</f>
        <v>O19_1</v>
      </c>
      <c r="C112" s="90" t="str">
        <f>Planners!$S$28</f>
        <v>RRTstar</v>
      </c>
      <c r="D112" s="92">
        <f>Planners!$T$28</f>
        <v>8.1919000000000006E-2</v>
      </c>
      <c r="E112" s="92">
        <f>Planners!$U$28</f>
        <v>3.6468099999999999</v>
      </c>
      <c r="F112" s="92">
        <f>Planners!$V$28</f>
        <v>3.728729</v>
      </c>
      <c r="G112" s="92">
        <f>Planners!$X$28</f>
        <v>2.2875489999999998</v>
      </c>
      <c r="H112" s="94">
        <f>Planners!$W$28</f>
        <v>38</v>
      </c>
      <c r="I112" s="90" t="str">
        <f>Planners!$Y$28</f>
        <v>✓</v>
      </c>
      <c r="J112" s="96">
        <f>Planners!$Z$28</f>
        <v>0</v>
      </c>
    </row>
    <row r="113" spans="1:10" ht="18" customHeight="1">
      <c r="A113" s="90">
        <v>2</v>
      </c>
      <c r="B113" s="90" t="str">
        <f>Planners!$R$30</f>
        <v>O19_2</v>
      </c>
      <c r="C113" s="90" t="str">
        <f>Planners!$S$31</f>
        <v>RRTstar</v>
      </c>
      <c r="D113" s="92">
        <f>Planners!$T$31</f>
        <v>7.9677999999999999E-2</v>
      </c>
      <c r="E113" s="92">
        <f>Planners!$U$31</f>
        <v>3.448502</v>
      </c>
      <c r="F113" s="92">
        <f>Planners!$V$31</f>
        <v>3.5281799999999999</v>
      </c>
      <c r="G113" s="92">
        <f>Planners!$X$31</f>
        <v>1.387032</v>
      </c>
      <c r="H113" s="94">
        <f>Planners!$W$31</f>
        <v>36</v>
      </c>
      <c r="I113" s="90" t="str">
        <f>Planners!$Y$31</f>
        <v>✓</v>
      </c>
      <c r="J113" s="96">
        <f>Planners!$Z$31</f>
        <v>0</v>
      </c>
    </row>
    <row r="114" spans="1:10" ht="18" customHeight="1">
      <c r="A114" s="90">
        <v>2</v>
      </c>
      <c r="B114" s="90" t="str">
        <f>Planners!$R$33</f>
        <v>O19_3</v>
      </c>
      <c r="C114" s="90" t="str">
        <f>Planners!$S$34</f>
        <v>RRTstar</v>
      </c>
      <c r="D114" s="92">
        <f>Planners!$T$34</f>
        <v>8.9813000000000004E-2</v>
      </c>
      <c r="E114" s="92">
        <f>Planners!$U$34</f>
        <v>4.1414090000000003</v>
      </c>
      <c r="F114" s="92">
        <f>Planners!$V$34</f>
        <v>4.2312220000000007</v>
      </c>
      <c r="G114" s="92">
        <f>Planners!$X$34</f>
        <v>1.3827860000000001</v>
      </c>
      <c r="H114" s="94">
        <f>Planners!$W$34</f>
        <v>43</v>
      </c>
      <c r="I114" s="90" t="str">
        <f>Planners!$Y$34</f>
        <v>✓</v>
      </c>
      <c r="J114" s="96">
        <f>Planners!$Z$34</f>
        <v>0</v>
      </c>
    </row>
    <row r="115" spans="1:10" ht="18" customHeight="1">
      <c r="A115" s="90">
        <v>2</v>
      </c>
      <c r="B115" s="90" t="str">
        <f>Planners!$R$36</f>
        <v>O20_1</v>
      </c>
      <c r="C115" s="90" t="str">
        <f>Planners!$S$37</f>
        <v>RRTstar</v>
      </c>
      <c r="D115" s="92">
        <f>Planners!$T$37</f>
        <v>8.0619999999999997E-2</v>
      </c>
      <c r="E115" s="92">
        <f>Planners!$U$37</f>
        <v>3.64263</v>
      </c>
      <c r="F115" s="92">
        <f>Planners!$V$37</f>
        <v>3.7232500000000002</v>
      </c>
      <c r="G115" s="92">
        <f>Planners!$X$37</f>
        <v>2.7267540000000001</v>
      </c>
      <c r="H115" s="94">
        <f>Planners!$W$37</f>
        <v>38</v>
      </c>
      <c r="I115" s="90" t="str">
        <f>Planners!$Y$37</f>
        <v>✓</v>
      </c>
      <c r="J115" s="96">
        <f>Planners!$Z$37</f>
        <v>0</v>
      </c>
    </row>
    <row r="116" spans="1:10" ht="18" customHeight="1">
      <c r="A116" s="90">
        <v>2</v>
      </c>
      <c r="B116" s="90" t="str">
        <f>Planners!$R$39</f>
        <v>O20_2</v>
      </c>
      <c r="C116" s="90" t="str">
        <f>Planners!$S$40</f>
        <v>RRTstar</v>
      </c>
      <c r="D116" s="92">
        <f>Planners!$T$40</f>
        <v>8.4459999999999993E-2</v>
      </c>
      <c r="E116" s="92">
        <f>Planners!$U$40</f>
        <v>2.906466</v>
      </c>
      <c r="F116" s="92">
        <f>Planners!$V$40</f>
        <v>2.990926</v>
      </c>
      <c r="G116" s="92">
        <f>Planners!$X$40</f>
        <v>1.3306439999999999</v>
      </c>
      <c r="H116" s="94">
        <f>Planners!$W$40</f>
        <v>30</v>
      </c>
      <c r="I116" s="90" t="str">
        <f>Planners!$Y$40</f>
        <v>✓</v>
      </c>
      <c r="J116" s="96">
        <f>Planners!$Z$40</f>
        <v>0</v>
      </c>
    </row>
    <row r="117" spans="1:10" ht="18" customHeight="1">
      <c r="A117" s="90">
        <v>2</v>
      </c>
      <c r="B117" s="90" t="str">
        <f>Planners!$R$42</f>
        <v>O20_3</v>
      </c>
      <c r="C117" s="90" t="str">
        <f>Planners!$S$43</f>
        <v>RRTstar</v>
      </c>
      <c r="D117" s="92">
        <f>Planners!$T$43</f>
        <v>5.5441999999999998E-2</v>
      </c>
      <c r="E117" s="92">
        <f>Planners!$U$43</f>
        <v>3.1342850000000002</v>
      </c>
      <c r="F117" s="92">
        <f>Planners!$V$43</f>
        <v>3.1897270000000004</v>
      </c>
      <c r="G117" s="92">
        <f>Planners!$X$43</f>
        <v>1.4871989999999999</v>
      </c>
      <c r="H117" s="94">
        <f>Planners!$W$43</f>
        <v>33</v>
      </c>
      <c r="I117" s="90" t="str">
        <f>Planners!$Y$43</f>
        <v>✓</v>
      </c>
      <c r="J117" s="96">
        <f>Planners!$Z$43</f>
        <v>0</v>
      </c>
    </row>
    <row r="118" spans="1:10" ht="18" customHeight="1">
      <c r="A118" s="90">
        <v>2</v>
      </c>
      <c r="B118" s="90" t="str">
        <f>Planners!$R$45</f>
        <v>O21</v>
      </c>
      <c r="C118" s="90" t="str">
        <f>Planners!$S$46</f>
        <v>RRTstar</v>
      </c>
      <c r="D118" s="92">
        <f>Planners!$T$46</f>
        <v>7.1287000000000003E-2</v>
      </c>
      <c r="E118" s="92">
        <f>Planners!$U$46</f>
        <v>3.4538129999999998</v>
      </c>
      <c r="F118" s="92">
        <f>Planners!$V$46</f>
        <v>3.5250999999999997</v>
      </c>
      <c r="G118" s="92">
        <f>Planners!$X$46</f>
        <v>2.6001660000000002</v>
      </c>
      <c r="H118" s="94">
        <f>Planners!$W$46</f>
        <v>36</v>
      </c>
      <c r="I118" s="90" t="str">
        <f>Planners!$Y$46</f>
        <v>✓</v>
      </c>
      <c r="J118" s="96">
        <f>Planners!$Z$46</f>
        <v>0</v>
      </c>
    </row>
    <row r="119" spans="1:10" ht="18" customHeight="1">
      <c r="A119" s="90">
        <v>2</v>
      </c>
      <c r="B119" s="90" t="str">
        <f>Planners!$R$48</f>
        <v>O22_1</v>
      </c>
      <c r="C119" s="90" t="str">
        <f>Planners!$S$49</f>
        <v>RRTstar</v>
      </c>
      <c r="D119" s="92">
        <f>Planners!$T$49</f>
        <v>8.838E-2</v>
      </c>
      <c r="E119" s="92">
        <f>Planners!$U$49</f>
        <v>3.6990859999999999</v>
      </c>
      <c r="F119" s="92">
        <f>Planners!$V$49</f>
        <v>3.7874659999999998</v>
      </c>
      <c r="G119" s="92">
        <f>Planners!$X$49</f>
        <v>2.254267</v>
      </c>
      <c r="H119" s="94">
        <f>Planners!$W$49</f>
        <v>39</v>
      </c>
      <c r="I119" s="90" t="str">
        <f>Planners!$Y$49</f>
        <v>✓</v>
      </c>
      <c r="J119" s="96">
        <f>Planners!$Z$49</f>
        <v>0</v>
      </c>
    </row>
    <row r="120" spans="1:10" ht="18" customHeight="1">
      <c r="A120" s="90">
        <v>2</v>
      </c>
      <c r="B120" s="90" t="str">
        <f>Planners!$R$51</f>
        <v>O22_2</v>
      </c>
      <c r="C120" s="90" t="str">
        <f>Planners!$S$52</f>
        <v>RRTstar</v>
      </c>
      <c r="D120" s="92">
        <f>Planners!$T$52</f>
        <v>6.9813E-2</v>
      </c>
      <c r="E120" s="92">
        <f>Planners!$U$52</f>
        <v>3.2549290000000002</v>
      </c>
      <c r="F120" s="92">
        <f>Planners!$V$52</f>
        <v>3.3247420000000001</v>
      </c>
      <c r="G120" s="92">
        <f>Planners!$X$52</f>
        <v>0.91285700000000003</v>
      </c>
      <c r="H120" s="94">
        <f>Planners!$W$52</f>
        <v>36</v>
      </c>
      <c r="I120" s="90" t="str">
        <f>Planners!$Y$52</f>
        <v>✓</v>
      </c>
      <c r="J120" s="96">
        <f>Planners!$Z$52</f>
        <v>0</v>
      </c>
    </row>
    <row r="121" spans="1:10" ht="18" customHeight="1">
      <c r="A121" s="90">
        <v>3</v>
      </c>
      <c r="B121" s="90" t="str">
        <f>Planners!$A$57</f>
        <v>O03_1</v>
      </c>
      <c r="C121" s="90" t="str">
        <f>Planners!$B$58</f>
        <v>RRTstar</v>
      </c>
      <c r="D121" s="92">
        <f>Planners!$C$58</f>
        <v>9.2524999999999996E-2</v>
      </c>
      <c r="E121" s="92">
        <f>Planners!$D$58</f>
        <v>3.7421829999999998</v>
      </c>
      <c r="F121" s="92">
        <f>Planners!$E$58</f>
        <v>3.834708</v>
      </c>
      <c r="G121" s="92">
        <f>Planners!$G$58</f>
        <v>2.2546430000000002</v>
      </c>
      <c r="H121" s="94">
        <f>Planners!$F$58</f>
        <v>39</v>
      </c>
      <c r="I121" s="90" t="str">
        <f>Planners!$H$58</f>
        <v>✓</v>
      </c>
      <c r="J121" s="96">
        <f>Planners!$I$58</f>
        <v>0</v>
      </c>
    </row>
    <row r="122" spans="1:10" ht="18" customHeight="1">
      <c r="A122" s="90">
        <v>3</v>
      </c>
      <c r="B122" s="90" t="str">
        <f>Planners!$A$60</f>
        <v>O03_2</v>
      </c>
      <c r="C122" s="90" t="str">
        <f>Planners!$B$61</f>
        <v>RRTstar</v>
      </c>
      <c r="D122" s="92" t="str">
        <f>Planners!$C$61</f>
        <v>-</v>
      </c>
      <c r="E122" s="92" t="str">
        <f>Planners!$D$61</f>
        <v>-</v>
      </c>
      <c r="F122" s="92" t="str">
        <f>Planners!$E$61</f>
        <v>-</v>
      </c>
      <c r="G122" s="92" t="str">
        <f>Planners!$G$61</f>
        <v>-</v>
      </c>
      <c r="H122" s="94" t="str">
        <f>Planners!$F$61</f>
        <v>-</v>
      </c>
      <c r="I122" s="90" t="str">
        <f>Planners!$H$61</f>
        <v>⮾</v>
      </c>
      <c r="J122" s="96" t="str">
        <f>Planners!$I$61</f>
        <v>tcp exceeds limit</v>
      </c>
    </row>
    <row r="123" spans="1:10" ht="18" customHeight="1">
      <c r="A123" s="90">
        <v>3</v>
      </c>
      <c r="B123" s="90" t="str">
        <f>Planners!$A$63</f>
        <v>O07_1</v>
      </c>
      <c r="C123" s="90" t="str">
        <f>Planners!$B$64</f>
        <v>RRTstar</v>
      </c>
      <c r="D123" s="92">
        <f>Planners!$C$64</f>
        <v>0.108406</v>
      </c>
      <c r="E123" s="92">
        <f>Planners!$D$64</f>
        <v>4.4494860000000003</v>
      </c>
      <c r="F123" s="92">
        <f>Planners!$E$64</f>
        <v>4.5578920000000007</v>
      </c>
      <c r="G123" s="92">
        <f>Planners!$G$64</f>
        <v>3.2418209999999998</v>
      </c>
      <c r="H123" s="94">
        <f>Planners!$F$64</f>
        <v>46</v>
      </c>
      <c r="I123" s="90" t="str">
        <f>Planners!$H$64</f>
        <v>✓</v>
      </c>
      <c r="J123" s="96">
        <f>Planners!$I$64</f>
        <v>0</v>
      </c>
    </row>
    <row r="124" spans="1:10" ht="18" customHeight="1">
      <c r="A124" s="90">
        <v>3</v>
      </c>
      <c r="B124" s="90" t="str">
        <f>Planners!$A$66</f>
        <v>O07_2</v>
      </c>
      <c r="C124" s="90" t="str">
        <f>Planners!$B$67</f>
        <v>RRTstar</v>
      </c>
      <c r="D124" s="92">
        <f>Planners!$C$67</f>
        <v>8.5627999999999996E-2</v>
      </c>
      <c r="E124" s="92">
        <f>Planners!$D$67</f>
        <v>3.1601490000000001</v>
      </c>
      <c r="F124" s="92">
        <f>Planners!$E$67</f>
        <v>3.2457769999999999</v>
      </c>
      <c r="G124" s="92">
        <f>Planners!$G$67</f>
        <v>1.51925</v>
      </c>
      <c r="H124" s="94">
        <f>Planners!$F$67</f>
        <v>33</v>
      </c>
      <c r="I124" s="90" t="str">
        <f>Planners!$H$67</f>
        <v>✓</v>
      </c>
      <c r="J124" s="96">
        <f>Planners!$I$67</f>
        <v>0</v>
      </c>
    </row>
    <row r="125" spans="1:10" ht="18" customHeight="1">
      <c r="A125" s="90">
        <v>3</v>
      </c>
      <c r="B125" s="90" t="str">
        <f>Planners!$A$69</f>
        <v>O13_1</v>
      </c>
      <c r="C125" s="90" t="str">
        <f>Planners!$B$70</f>
        <v>RRTstar</v>
      </c>
      <c r="D125" s="92">
        <f>Planners!$C$70</f>
        <v>7.1499999999999994E-2</v>
      </c>
      <c r="E125" s="92">
        <f>Planners!$D$70</f>
        <v>3.6978879999999998</v>
      </c>
      <c r="F125" s="92">
        <f>Planners!$E$70</f>
        <v>3.7693879999999997</v>
      </c>
      <c r="G125" s="92">
        <f>Planners!$G$70</f>
        <v>2.2685789999999999</v>
      </c>
      <c r="H125" s="94">
        <f>Planners!$F$70</f>
        <v>39</v>
      </c>
      <c r="I125" s="90" t="str">
        <f>Planners!$H$70</f>
        <v>✓</v>
      </c>
      <c r="J125" s="96">
        <f>Planners!$I$70</f>
        <v>0</v>
      </c>
    </row>
    <row r="126" spans="1:10" ht="18" customHeight="1">
      <c r="A126" s="90">
        <v>3</v>
      </c>
      <c r="B126" s="90" t="str">
        <f>Planners!$A$72</f>
        <v>O13_2</v>
      </c>
      <c r="C126" s="90" t="str">
        <f>Planners!$B$73</f>
        <v>RRTstar</v>
      </c>
      <c r="D126" s="92">
        <f>Planners!$C$73</f>
        <v>9.0657000000000001E-2</v>
      </c>
      <c r="E126" s="92">
        <f>Planners!$D$73</f>
        <v>2.891918</v>
      </c>
      <c r="F126" s="92">
        <f>Planners!$E$73</f>
        <v>2.9825750000000002</v>
      </c>
      <c r="G126" s="92">
        <f>Planners!$G$73</f>
        <v>1.1841250000000001</v>
      </c>
      <c r="H126" s="94">
        <f>Planners!$F$73</f>
        <v>30</v>
      </c>
      <c r="I126" s="90" t="str">
        <f>Planners!$H$73</f>
        <v>✓</v>
      </c>
      <c r="J126" s="96">
        <f>Planners!$I$73</f>
        <v>0</v>
      </c>
    </row>
    <row r="127" spans="1:10" ht="18" customHeight="1">
      <c r="A127" s="90">
        <v>3</v>
      </c>
      <c r="B127" s="90" t="str">
        <f>Planners!$A$75</f>
        <v>O17_1</v>
      </c>
      <c r="C127" s="90" t="str">
        <f>Planners!$B$76</f>
        <v>RRTstar</v>
      </c>
      <c r="D127" s="92">
        <f>Planners!$C$76</f>
        <v>0.112998</v>
      </c>
      <c r="E127" s="92">
        <f>Planners!$D$76</f>
        <v>4.2019140000000004</v>
      </c>
      <c r="F127" s="92">
        <f>Planners!$E$76</f>
        <v>4.3149120000000005</v>
      </c>
      <c r="G127" s="92">
        <f>Planners!$G$76</f>
        <v>3.0029460000000001</v>
      </c>
      <c r="H127" s="94">
        <f>Planners!$F$76</f>
        <v>44</v>
      </c>
      <c r="I127" s="90" t="str">
        <f>Planners!$H$76</f>
        <v>✓</v>
      </c>
      <c r="J127" s="96">
        <f>Planners!$I$76</f>
        <v>0</v>
      </c>
    </row>
    <row r="128" spans="1:10" ht="18" customHeight="1">
      <c r="A128" s="90">
        <v>3</v>
      </c>
      <c r="B128" s="90" t="str">
        <f>Planners!$A$78</f>
        <v>O17_2</v>
      </c>
      <c r="C128" s="90" t="str">
        <f>Planners!$B$79</f>
        <v>RRTstar</v>
      </c>
      <c r="D128" s="92">
        <f>Planners!$C$79</f>
        <v>0.10376000000000001</v>
      </c>
      <c r="E128" s="92">
        <f>Planners!$D$79</f>
        <v>3.0489259999999998</v>
      </c>
      <c r="F128" s="92">
        <f>Planners!$E$79</f>
        <v>3.1526859999999997</v>
      </c>
      <c r="G128" s="92">
        <f>Planners!$G$79</f>
        <v>1.28664</v>
      </c>
      <c r="H128" s="94">
        <f>Planners!$F$79</f>
        <v>32</v>
      </c>
      <c r="I128" s="90" t="str">
        <f>Planners!$H$79</f>
        <v>✓</v>
      </c>
      <c r="J128" s="96">
        <f>Planners!$I$79</f>
        <v>0</v>
      </c>
    </row>
    <row r="129" spans="1:10" ht="18" customHeight="1">
      <c r="A129" s="90">
        <v>3</v>
      </c>
      <c r="B129" s="90" t="str">
        <f>Planners!$A$81</f>
        <v>O19_1</v>
      </c>
      <c r="C129" s="90" t="str">
        <f>Planners!$B$82</f>
        <v>RRTstar</v>
      </c>
      <c r="D129" s="92">
        <f>Planners!$C$82</f>
        <v>0.11283</v>
      </c>
      <c r="E129" s="92">
        <f>Planners!$D$82</f>
        <v>4.1507009999999998</v>
      </c>
      <c r="F129" s="92">
        <f>Planners!$E$82</f>
        <v>4.2635309999999995</v>
      </c>
      <c r="G129" s="92">
        <f>Planners!$G$82</f>
        <v>3.2054619999999998</v>
      </c>
      <c r="H129" s="94">
        <f>Planners!$F$82</f>
        <v>43</v>
      </c>
      <c r="I129" s="90" t="str">
        <f>Planners!$H$82</f>
        <v>✓</v>
      </c>
      <c r="J129" s="96">
        <f>Planners!$I$82</f>
        <v>0</v>
      </c>
    </row>
    <row r="130" spans="1:10" ht="18" customHeight="1">
      <c r="A130" s="90">
        <v>3</v>
      </c>
      <c r="B130" s="90" t="str">
        <f>Planners!$A$84</f>
        <v>O19_2</v>
      </c>
      <c r="C130" s="90" t="str">
        <f>Planners!$B$85</f>
        <v>RRTstar</v>
      </c>
      <c r="D130" s="92">
        <f>Planners!$C$85</f>
        <v>8.8619000000000003E-2</v>
      </c>
      <c r="E130" s="92">
        <f>Planners!$D$85</f>
        <v>4.7465330000000003</v>
      </c>
      <c r="F130" s="92">
        <f>Planners!$E$85</f>
        <v>4.8351520000000008</v>
      </c>
      <c r="G130" s="92">
        <f>Planners!$G$85</f>
        <v>1.568484</v>
      </c>
      <c r="H130" s="94">
        <f>Planners!$F$85</f>
        <v>49</v>
      </c>
      <c r="I130" s="90" t="str">
        <f>Planners!$H$85</f>
        <v>✓</v>
      </c>
      <c r="J130" s="96">
        <f>Planners!$I$85</f>
        <v>0</v>
      </c>
    </row>
    <row r="131" spans="1:10" ht="18" customHeight="1">
      <c r="A131" s="90">
        <v>3</v>
      </c>
      <c r="B131" s="90" t="str">
        <f>Planners!$A$87</f>
        <v>O19_3</v>
      </c>
      <c r="C131" s="90" t="str">
        <f>Planners!$B$88</f>
        <v>RRTstar</v>
      </c>
      <c r="D131" s="92">
        <f>Planners!$C$88</f>
        <v>0.108099</v>
      </c>
      <c r="E131" s="92">
        <f>Planners!$D$88</f>
        <v>6.7976749999999999</v>
      </c>
      <c r="F131" s="92">
        <f>Planners!$E$88</f>
        <v>6.9057740000000001</v>
      </c>
      <c r="G131" s="92">
        <f>Planners!$G$88</f>
        <v>1.176075</v>
      </c>
      <c r="H131" s="94">
        <f>Planners!$F$88</f>
        <v>35</v>
      </c>
      <c r="I131" s="90" t="str">
        <f>Planners!$H$88</f>
        <v>✓</v>
      </c>
      <c r="J131" s="96">
        <f>Planners!$I$88</f>
        <v>0</v>
      </c>
    </row>
    <row r="132" spans="1:10" ht="18" customHeight="1">
      <c r="A132" s="90">
        <v>3</v>
      </c>
      <c r="B132" s="90" t="str">
        <f>Planners!$A$90</f>
        <v>O20_1</v>
      </c>
      <c r="C132" s="90" t="str">
        <f>Planners!$B$91</f>
        <v>RRTstar</v>
      </c>
      <c r="D132" s="92">
        <f>Planners!$C$91</f>
        <v>9.0588000000000002E-2</v>
      </c>
      <c r="E132" s="92">
        <f>Planners!$D$91</f>
        <v>3.9431340000000001</v>
      </c>
      <c r="F132" s="92">
        <f>Planners!$E$91</f>
        <v>4.033722</v>
      </c>
      <c r="G132" s="92">
        <f>Planners!$G$91</f>
        <v>3.1452740000000001</v>
      </c>
      <c r="H132" s="94">
        <f>Planners!$F$91</f>
        <v>41</v>
      </c>
      <c r="I132" s="90" t="str">
        <f>Planners!$H$91</f>
        <v>✓</v>
      </c>
      <c r="J132" s="96">
        <f>Planners!$I$91</f>
        <v>0</v>
      </c>
    </row>
    <row r="133" spans="1:10" ht="18" customHeight="1">
      <c r="A133" s="90">
        <v>3</v>
      </c>
      <c r="B133" s="90" t="str">
        <f>Planners!$A$93</f>
        <v>O20_2</v>
      </c>
      <c r="C133" s="90" t="str">
        <f>Planners!$B$94</f>
        <v>RRTstar</v>
      </c>
      <c r="D133" s="92">
        <f>Planners!$C$94</f>
        <v>7.8516000000000002E-2</v>
      </c>
      <c r="E133" s="92">
        <f>Planners!$D$94</f>
        <v>2.8984809999999999</v>
      </c>
      <c r="F133" s="92">
        <f>Planners!$E$94</f>
        <v>2.9769969999999999</v>
      </c>
      <c r="G133" s="92">
        <f>Planners!$G$94</f>
        <v>1.326889</v>
      </c>
      <c r="H133" s="94">
        <f>Planners!$F$94</f>
        <v>30</v>
      </c>
      <c r="I133" s="90" t="str">
        <f>Planners!$H$94</f>
        <v>✓</v>
      </c>
      <c r="J133" s="96">
        <f>Planners!$I$94</f>
        <v>0</v>
      </c>
    </row>
    <row r="134" spans="1:10" ht="18" customHeight="1">
      <c r="A134" s="90">
        <v>3</v>
      </c>
      <c r="B134" s="90" t="str">
        <f>Planners!$A$96</f>
        <v>O20_3</v>
      </c>
      <c r="C134" s="90" t="str">
        <f>Planners!$B$97</f>
        <v>RRTstar</v>
      </c>
      <c r="D134" s="92">
        <f>Planners!$C$97</f>
        <v>0.10868999999999999</v>
      </c>
      <c r="E134" s="92">
        <f>Planners!$D$97</f>
        <v>4.6403650000000001</v>
      </c>
      <c r="F134" s="92">
        <f>Planners!$E$97</f>
        <v>4.7490550000000002</v>
      </c>
      <c r="G134" s="92">
        <f>Planners!$G$97</f>
        <v>5.5551250000000003</v>
      </c>
      <c r="H134" s="94">
        <f>Planners!$F$97</f>
        <v>48</v>
      </c>
      <c r="I134" s="90" t="str">
        <f>Planners!$H$97</f>
        <v>✓</v>
      </c>
      <c r="J134" s="96">
        <f>Planners!$I$97</f>
        <v>0</v>
      </c>
    </row>
    <row r="135" spans="1:10" ht="18" customHeight="1">
      <c r="A135" s="90">
        <v>3</v>
      </c>
      <c r="B135" s="90" t="str">
        <f>Planners!$A$99</f>
        <v>O21</v>
      </c>
      <c r="C135" s="90" t="str">
        <f>Planners!$B$100</f>
        <v>RRTstar</v>
      </c>
      <c r="D135" s="92">
        <f>Planners!$C$100</f>
        <v>9.5992999999999995E-2</v>
      </c>
      <c r="E135" s="92">
        <f>Planners!$D$100</f>
        <v>5.9331519999999998</v>
      </c>
      <c r="F135" s="92">
        <f>Planners!$E$100</f>
        <v>6.0291449999999998</v>
      </c>
      <c r="G135" s="92">
        <f>Planners!$G$100</f>
        <v>7.7588270000000001</v>
      </c>
      <c r="H135" s="94">
        <f>Planners!$F$100</f>
        <v>61</v>
      </c>
      <c r="I135" s="90" t="str">
        <f>Planners!$H$100</f>
        <v>✓</v>
      </c>
      <c r="J135" s="96" t="str">
        <f>Planners!$I$100</f>
        <v>Replaneou</v>
      </c>
    </row>
    <row r="136" spans="1:10" ht="18" customHeight="1">
      <c r="A136" s="90">
        <v>3</v>
      </c>
      <c r="B136" s="90" t="str">
        <f>Planners!$A$102</f>
        <v>O22_1</v>
      </c>
      <c r="C136" s="90" t="str">
        <f>Planners!$B$103</f>
        <v>RRTstar</v>
      </c>
      <c r="D136" s="92">
        <f>Planners!$C$103</f>
        <v>9.0151999999999996E-2</v>
      </c>
      <c r="E136" s="92">
        <f>Planners!$D$103</f>
        <v>3.7480180000000001</v>
      </c>
      <c r="F136" s="92">
        <f>Planners!$E$103</f>
        <v>3.8381699999999999</v>
      </c>
      <c r="G136" s="92">
        <f>Planners!$G$103</f>
        <v>2.2557040000000002</v>
      </c>
      <c r="H136" s="94">
        <f>Planners!$F$103</f>
        <v>39</v>
      </c>
      <c r="I136" s="90" t="str">
        <f>Planners!$H$103</f>
        <v>✓</v>
      </c>
      <c r="J136" s="96">
        <f>Planners!$I$103</f>
        <v>0</v>
      </c>
    </row>
    <row r="137" spans="1:10" ht="18" customHeight="1">
      <c r="A137" s="90">
        <v>3</v>
      </c>
      <c r="B137" s="90" t="str">
        <f>Planners!$A$105</f>
        <v>O22_2</v>
      </c>
      <c r="C137" s="90" t="str">
        <f>Planners!$B$106</f>
        <v>RRTstar</v>
      </c>
      <c r="D137" s="92">
        <f>Planners!$C$106</f>
        <v>8.0433000000000004E-2</v>
      </c>
      <c r="E137" s="92">
        <f>Planners!$D$106</f>
        <v>3.4524889999999999</v>
      </c>
      <c r="F137" s="92">
        <f>Planners!$E$106</f>
        <v>3.5329220000000001</v>
      </c>
      <c r="G137" s="92">
        <f>Planners!$G$106</f>
        <v>1.416938</v>
      </c>
      <c r="H137" s="94">
        <f>Planners!$F$106</f>
        <v>36</v>
      </c>
      <c r="I137" s="90" t="str">
        <f>Planners!$H$106</f>
        <v>✓</v>
      </c>
      <c r="J137" s="96">
        <f>Planners!$I$106</f>
        <v>0</v>
      </c>
    </row>
    <row r="138" spans="1:10" ht="18" customHeight="1">
      <c r="A138" s="90">
        <v>4</v>
      </c>
      <c r="B138" s="90" t="str">
        <f>Planners!$R$57</f>
        <v>O03_1</v>
      </c>
      <c r="C138" s="90" t="str">
        <f>Planners!$S$58</f>
        <v>RRTstar</v>
      </c>
      <c r="D138" s="92">
        <f>Planners!$T$58</f>
        <v>6.8698999999999996E-2</v>
      </c>
      <c r="E138" s="92">
        <f>Planners!$U$58</f>
        <v>3.7462870000000001</v>
      </c>
      <c r="F138" s="92">
        <f>Planners!$V$58</f>
        <v>3.8149860000000002</v>
      </c>
      <c r="G138" s="92">
        <f>Planners!$X$58</f>
        <v>2.2539440000000002</v>
      </c>
      <c r="H138" s="94">
        <f>Planners!$W$58</f>
        <v>39</v>
      </c>
      <c r="I138" s="90" t="str">
        <f>Planners!$Y$58</f>
        <v>✓</v>
      </c>
      <c r="J138" s="96">
        <f>Planners!$Z$58</f>
        <v>0</v>
      </c>
    </row>
    <row r="139" spans="1:10" ht="18" customHeight="1">
      <c r="A139" s="90">
        <v>4</v>
      </c>
      <c r="B139" s="90" t="str">
        <f>Planners!$R$60</f>
        <v>O03_2</v>
      </c>
      <c r="C139" s="90" t="str">
        <f>Planners!$S$61</f>
        <v>RRTstar</v>
      </c>
      <c r="D139" s="92">
        <f>Planners!$T$61</f>
        <v>7.4032000000000001E-2</v>
      </c>
      <c r="E139" s="92">
        <f>Planners!$U$61</f>
        <v>3.4016320000000002</v>
      </c>
      <c r="F139" s="92">
        <f>Planners!$V$61</f>
        <v>3.4756640000000001</v>
      </c>
      <c r="G139" s="92">
        <f>Planners!$X$61</f>
        <v>1.414523</v>
      </c>
      <c r="H139" s="94">
        <f>Planners!$W$61</f>
        <v>36</v>
      </c>
      <c r="I139" s="90" t="str">
        <f>Planners!$Y$61</f>
        <v>✓</v>
      </c>
      <c r="J139" s="96">
        <f>Planners!$Z$61</f>
        <v>0</v>
      </c>
    </row>
    <row r="140" spans="1:10" ht="18" customHeight="1">
      <c r="A140" s="90">
        <v>4</v>
      </c>
      <c r="B140" s="90" t="str">
        <f>Planners!$R$63</f>
        <v>O07_1</v>
      </c>
      <c r="C140" s="90" t="str">
        <f>Planners!$S$64</f>
        <v>RRTstar</v>
      </c>
      <c r="D140" s="92">
        <f>Planners!$T$64</f>
        <v>0.17691699999999999</v>
      </c>
      <c r="E140" s="92">
        <f>Planners!$U$64</f>
        <v>8.7493379999999998</v>
      </c>
      <c r="F140" s="92">
        <f>Planners!$V$64</f>
        <v>8.9262549999999994</v>
      </c>
      <c r="G140" s="92">
        <f>Planners!$X$64</f>
        <v>4.8962760000000003</v>
      </c>
      <c r="H140" s="94">
        <f>Planners!$W$64</f>
        <v>89</v>
      </c>
      <c r="I140" s="90" t="str">
        <f>Planners!$Y$64</f>
        <v>✓</v>
      </c>
      <c r="J140" s="96" t="str">
        <f>Planners!$Z$64</f>
        <v>Replaneou</v>
      </c>
    </row>
    <row r="141" spans="1:10" ht="18" customHeight="1">
      <c r="A141" s="90">
        <v>4</v>
      </c>
      <c r="B141" s="90" t="str">
        <f>Planners!$R$66</f>
        <v>O07_2</v>
      </c>
      <c r="C141" s="90" t="str">
        <f>Planners!$S$67</f>
        <v>RRTstar</v>
      </c>
      <c r="D141" s="92">
        <f>Planners!$T$67</f>
        <v>0.10886899999999999</v>
      </c>
      <c r="E141" s="92">
        <f>Planners!$U$67</f>
        <v>3.1516630000000001</v>
      </c>
      <c r="F141" s="92">
        <f>Planners!$V$67</f>
        <v>3.260532</v>
      </c>
      <c r="G141" s="92">
        <f>Planners!$X$67</f>
        <v>1.5168060000000001</v>
      </c>
      <c r="H141" s="94">
        <f>Planners!$W$67</f>
        <v>33</v>
      </c>
      <c r="I141" s="90" t="str">
        <f>Planners!$Y$67</f>
        <v>✓</v>
      </c>
      <c r="J141" s="96">
        <f>Planners!$Z$67</f>
        <v>0</v>
      </c>
    </row>
    <row r="142" spans="1:10" ht="18" customHeight="1">
      <c r="A142" s="90">
        <v>4</v>
      </c>
      <c r="B142" s="90" t="str">
        <f>Planners!$R$69</f>
        <v>O13_1</v>
      </c>
      <c r="C142" s="90" t="str">
        <f>Planners!$S$70</f>
        <v>RRTstar</v>
      </c>
      <c r="D142" s="92">
        <f>Planners!$T$70</f>
        <v>0.117187</v>
      </c>
      <c r="E142" s="92">
        <f>Planners!$U$70</f>
        <v>4.0137739999999997</v>
      </c>
      <c r="F142" s="92">
        <f>Planners!$V$70</f>
        <v>4.1309610000000001</v>
      </c>
      <c r="G142" s="92">
        <f>Planners!$X$70</f>
        <v>2.279525</v>
      </c>
      <c r="H142" s="94">
        <f>Planners!$W$70</f>
        <v>42</v>
      </c>
      <c r="I142" s="90" t="str">
        <f>Planners!$Y$70</f>
        <v>✓</v>
      </c>
      <c r="J142" s="96">
        <f>Planners!$Z$70</f>
        <v>0</v>
      </c>
    </row>
    <row r="143" spans="1:10" ht="18" customHeight="1">
      <c r="A143" s="90">
        <v>4</v>
      </c>
      <c r="B143" s="90" t="str">
        <f>Planners!$R$72</f>
        <v>O13_2</v>
      </c>
      <c r="C143" s="90" t="str">
        <f>Planners!$S$73</f>
        <v>RRTstar</v>
      </c>
      <c r="D143" s="92">
        <f>Planners!$T$73</f>
        <v>8.7627999999999998E-2</v>
      </c>
      <c r="E143" s="92">
        <f>Planners!$U$73</f>
        <v>2.889923</v>
      </c>
      <c r="F143" s="92">
        <f>Planners!$V$73</f>
        <v>2.9775510000000001</v>
      </c>
      <c r="G143" s="92">
        <f>Planners!$X$73</f>
        <v>1.1854279999999999</v>
      </c>
      <c r="H143" s="94">
        <f>Planners!$W$73</f>
        <v>30</v>
      </c>
      <c r="I143" s="90" t="str">
        <f>Planners!$Y$73</f>
        <v>✓</v>
      </c>
      <c r="J143" s="96">
        <f>Planners!$Z$73</f>
        <v>0</v>
      </c>
    </row>
    <row r="144" spans="1:10" ht="18" customHeight="1">
      <c r="A144" s="90">
        <v>4</v>
      </c>
      <c r="B144" s="90" t="str">
        <f>Planners!$R$75</f>
        <v>O17_1</v>
      </c>
      <c r="C144" s="90" t="str">
        <f>Planners!$S$76</f>
        <v>RRTstar</v>
      </c>
      <c r="D144" s="92">
        <f>Planners!$T$76</f>
        <v>8.2129999999999995E-2</v>
      </c>
      <c r="E144" s="92">
        <f>Planners!$U$76</f>
        <v>3.6800899999999999</v>
      </c>
      <c r="F144" s="92">
        <f>Planners!$V$76</f>
        <v>3.7622199999999997</v>
      </c>
      <c r="G144" s="92">
        <f>Planners!$X$76</f>
        <v>2.4001890000000001</v>
      </c>
      <c r="H144" s="94">
        <f>Planners!$W$76</f>
        <v>39</v>
      </c>
      <c r="I144" s="90" t="str">
        <f>Planners!$Y$76</f>
        <v>✓</v>
      </c>
      <c r="J144" s="96">
        <f>Planners!$Z$76</f>
        <v>0</v>
      </c>
    </row>
    <row r="145" spans="1:10" ht="18" customHeight="1">
      <c r="A145" s="90">
        <v>4</v>
      </c>
      <c r="B145" s="90" t="str">
        <f>Planners!$R$78</f>
        <v>O17_2</v>
      </c>
      <c r="C145" s="90" t="str">
        <f>Planners!$S$79</f>
        <v>RRTstar</v>
      </c>
      <c r="D145" s="92">
        <f>Planners!$T$79</f>
        <v>8.0576999999999996E-2</v>
      </c>
      <c r="E145" s="92">
        <f>Planners!$U$79</f>
        <v>3.4389940000000001</v>
      </c>
      <c r="F145" s="92">
        <f>Planners!$V$79</f>
        <v>3.519571</v>
      </c>
      <c r="G145" s="92">
        <f>Planners!$X$79</f>
        <v>1.3371440000000001</v>
      </c>
      <c r="H145" s="94">
        <f>Planners!$W$79</f>
        <v>36</v>
      </c>
      <c r="I145" s="90" t="str">
        <f>Planners!$Y$79</f>
        <v>✓</v>
      </c>
      <c r="J145" s="96">
        <f>Planners!$Z$79</f>
        <v>0</v>
      </c>
    </row>
    <row r="146" spans="1:10" ht="18" customHeight="1">
      <c r="A146" s="90">
        <v>4</v>
      </c>
      <c r="B146" s="90" t="str">
        <f>Planners!$R$81</f>
        <v>O19_1</v>
      </c>
      <c r="C146" s="90" t="str">
        <f>Planners!$S$82</f>
        <v>RRTstar</v>
      </c>
      <c r="D146" s="92">
        <f>Planners!$T$82</f>
        <v>0.10364900000000001</v>
      </c>
      <c r="E146" s="92">
        <f>Planners!$U$82</f>
        <v>3.5025529999999998</v>
      </c>
      <c r="F146" s="92">
        <f>Planners!$V$82</f>
        <v>3.6062019999999997</v>
      </c>
      <c r="G146" s="92">
        <f>Planners!$X$82</f>
        <v>2.841507</v>
      </c>
      <c r="H146" s="94">
        <f>Planners!$W$82</f>
        <v>36</v>
      </c>
      <c r="I146" s="90" t="str">
        <f>Planners!$Y$82</f>
        <v>✓</v>
      </c>
      <c r="J146" s="96">
        <f>Planners!$Z$82</f>
        <v>0</v>
      </c>
    </row>
    <row r="147" spans="1:10" ht="18" customHeight="1">
      <c r="A147" s="90">
        <v>4</v>
      </c>
      <c r="B147" s="90" t="str">
        <f>Planners!$R$84</f>
        <v>O19_2</v>
      </c>
      <c r="C147" s="90" t="str">
        <f>Planners!$S$85</f>
        <v>RRTstar</v>
      </c>
      <c r="D147" s="92">
        <f>Planners!$T$85</f>
        <v>9.6739000000000006E-2</v>
      </c>
      <c r="E147" s="92">
        <f>Planners!$U$85</f>
        <v>3.4547150000000002</v>
      </c>
      <c r="F147" s="92">
        <f>Planners!$V$85</f>
        <v>3.5514540000000001</v>
      </c>
      <c r="G147" s="92">
        <f>Planners!$X$85</f>
        <v>1.3869279999999999</v>
      </c>
      <c r="H147" s="94">
        <f>Planners!$W$85</f>
        <v>36</v>
      </c>
      <c r="I147" s="90" t="str">
        <f>Planners!$Y$85</f>
        <v>✓</v>
      </c>
      <c r="J147" s="96">
        <f>Planners!$Z$85</f>
        <v>0</v>
      </c>
    </row>
    <row r="148" spans="1:10" ht="18" customHeight="1">
      <c r="A148" s="90">
        <v>4</v>
      </c>
      <c r="B148" s="90" t="str">
        <f>Planners!$R$87</f>
        <v>O19_3</v>
      </c>
      <c r="C148" s="90" t="str">
        <f>Planners!$S$88</f>
        <v>RRTstar</v>
      </c>
      <c r="D148" s="92">
        <f>Planners!$T$88</f>
        <v>0.10190399999999999</v>
      </c>
      <c r="E148" s="92">
        <f>Planners!$U$88</f>
        <v>4.1003369999999997</v>
      </c>
      <c r="F148" s="92">
        <f>Planners!$V$88</f>
        <v>4.2022409999999999</v>
      </c>
      <c r="G148" s="92">
        <f>Planners!$X$88</f>
        <v>1.5161750000000001</v>
      </c>
      <c r="H148" s="94">
        <f>Planners!$W$88</f>
        <v>43</v>
      </c>
      <c r="I148" s="90" t="str">
        <f>Planners!$Y$88</f>
        <v>✓</v>
      </c>
      <c r="J148" s="96">
        <f>Planners!$Z$88</f>
        <v>0</v>
      </c>
    </row>
    <row r="149" spans="1:10" ht="18" customHeight="1">
      <c r="A149" s="90">
        <v>4</v>
      </c>
      <c r="B149" s="90" t="str">
        <f>Planners!$R$90</f>
        <v>O20_1</v>
      </c>
      <c r="C149" s="90" t="str">
        <f>Planners!$S$91</f>
        <v>RRTstar</v>
      </c>
      <c r="D149" s="92">
        <f>Planners!$T$91</f>
        <v>9.8094000000000001E-2</v>
      </c>
      <c r="E149" s="92">
        <f>Planners!$U$91</f>
        <v>3.9507970000000001</v>
      </c>
      <c r="F149" s="92">
        <f>Planners!$V$91</f>
        <v>4.0488910000000002</v>
      </c>
      <c r="G149" s="92">
        <f>Planners!$X$91</f>
        <v>3.1453350000000002</v>
      </c>
      <c r="H149" s="94">
        <f>Planners!$W$91</f>
        <v>41</v>
      </c>
      <c r="I149" s="90" t="str">
        <f>Planners!$Y$91</f>
        <v>✓</v>
      </c>
      <c r="J149" s="96">
        <f>Planners!$Z$91</f>
        <v>0</v>
      </c>
    </row>
    <row r="150" spans="1:10" ht="18" customHeight="1">
      <c r="A150" s="90">
        <v>4</v>
      </c>
      <c r="B150" s="90" t="str">
        <f>Planners!$R$93</f>
        <v>O20_2</v>
      </c>
      <c r="C150" s="90" t="str">
        <f>Planners!$S$94</f>
        <v>RRTstar</v>
      </c>
      <c r="D150" s="92">
        <f>Planners!$T$94</f>
        <v>7.9673999999999995E-2</v>
      </c>
      <c r="E150" s="92">
        <f>Planners!$U$94</f>
        <v>2.8890630000000002</v>
      </c>
      <c r="F150" s="92">
        <f>Planners!$V$94</f>
        <v>2.968737</v>
      </c>
      <c r="G150" s="92">
        <f>Planners!$X$94</f>
        <v>1.327172</v>
      </c>
      <c r="H150" s="94">
        <f>Planners!$W$94</f>
        <v>30</v>
      </c>
      <c r="I150" s="90" t="str">
        <f>Planners!$Y$94</f>
        <v>✓</v>
      </c>
      <c r="J150" s="96">
        <f>Planners!$Z$94</f>
        <v>0</v>
      </c>
    </row>
    <row r="151" spans="1:10" ht="18" customHeight="1">
      <c r="A151" s="90">
        <v>4</v>
      </c>
      <c r="B151" s="90" t="str">
        <f>Planners!$R$96</f>
        <v>O20_3</v>
      </c>
      <c r="C151" s="90" t="str">
        <f>Planners!$S$97</f>
        <v>RRTstar</v>
      </c>
      <c r="D151" s="92">
        <f>Planners!$T$97</f>
        <v>8.4308999999999995E-2</v>
      </c>
      <c r="E151" s="92">
        <f>Planners!$U$97</f>
        <v>4.6946399999999997</v>
      </c>
      <c r="F151" s="92">
        <f>Planners!$V$97</f>
        <v>4.7789489999999999</v>
      </c>
      <c r="G151" s="92">
        <f>Planners!$X$97</f>
        <v>5.5559969999999996</v>
      </c>
      <c r="H151" s="94">
        <f>Planners!$W$97</f>
        <v>48</v>
      </c>
      <c r="I151" s="90" t="str">
        <f>Planners!$Y$97</f>
        <v>✓</v>
      </c>
      <c r="J151" s="96">
        <f>Planners!$Z$97</f>
        <v>0</v>
      </c>
    </row>
    <row r="152" spans="1:10" ht="18" customHeight="1">
      <c r="A152" s="90">
        <v>4</v>
      </c>
      <c r="B152" s="90" t="str">
        <f>Planners!$R$99</f>
        <v>O21</v>
      </c>
      <c r="C152" s="90" t="str">
        <f>Planners!$S$100</f>
        <v>RRTstar</v>
      </c>
      <c r="D152" s="92">
        <f>Planners!$T$100</f>
        <v>7.4256000000000003E-2</v>
      </c>
      <c r="E152" s="92">
        <f>Planners!$U$100</f>
        <v>3.7385540000000002</v>
      </c>
      <c r="F152" s="92">
        <f>Planners!$V$100</f>
        <v>3.8128100000000003</v>
      </c>
      <c r="G152" s="92">
        <f>Planners!$X$100</f>
        <v>2.8558180000000002</v>
      </c>
      <c r="H152" s="94">
        <f>Planners!$W$100</f>
        <v>47</v>
      </c>
      <c r="I152" s="90" t="str">
        <f>Planners!$Y$100</f>
        <v>✓</v>
      </c>
      <c r="J152" s="96">
        <f>Planners!$Z$100</f>
        <v>0</v>
      </c>
    </row>
    <row r="153" spans="1:10" ht="18" customHeight="1">
      <c r="A153" s="90">
        <v>4</v>
      </c>
      <c r="B153" s="90" t="str">
        <f>Planners!$R$102</f>
        <v>O22_1</v>
      </c>
      <c r="C153" s="90" t="str">
        <f>Planners!$S$103</f>
        <v>RRTstar</v>
      </c>
      <c r="D153" s="92">
        <f>Planners!$T$103</f>
        <v>7.7323000000000003E-2</v>
      </c>
      <c r="E153" s="92">
        <f>Planners!$U$103</f>
        <v>3.7011669999999999</v>
      </c>
      <c r="F153" s="92">
        <f>Planners!$V$103</f>
        <v>3.7784899999999997</v>
      </c>
      <c r="G153" s="92">
        <f>Planners!$X$103</f>
        <v>2.2540819999999999</v>
      </c>
      <c r="H153" s="94">
        <f>Planners!$W$103</f>
        <v>39</v>
      </c>
      <c r="I153" s="90" t="str">
        <f>Planners!$Y$103</f>
        <v>✓</v>
      </c>
      <c r="J153" s="96">
        <f>Planners!$Z$103</f>
        <v>0</v>
      </c>
    </row>
    <row r="154" spans="1:10" ht="18" customHeight="1">
      <c r="A154" s="90">
        <v>4</v>
      </c>
      <c r="B154" s="90" t="str">
        <f>Planners!$R$105</f>
        <v>O22_2</v>
      </c>
      <c r="C154" s="90" t="str">
        <f>Planners!$S$106</f>
        <v>RRTstar</v>
      </c>
      <c r="D154" s="92">
        <f>Planners!$T$106</f>
        <v>7.7036999999999994E-2</v>
      </c>
      <c r="E154" s="92">
        <f>Planners!$U$106</f>
        <v>3.4500099999999998</v>
      </c>
      <c r="F154" s="92">
        <f>Planners!$V$106</f>
        <v>3.5270469999999996</v>
      </c>
      <c r="G154" s="92">
        <f>Planners!$X$106</f>
        <v>1.419168</v>
      </c>
      <c r="H154" s="94">
        <f>Planners!$W$106</f>
        <v>36</v>
      </c>
      <c r="I154" s="90" t="str">
        <f>Planners!$Y$106</f>
        <v>✓</v>
      </c>
      <c r="J154" s="96">
        <f>Planners!$Z$106</f>
        <v>0</v>
      </c>
    </row>
    <row r="155" spans="1:10" ht="18" customHeight="1">
      <c r="A155" s="90">
        <v>5</v>
      </c>
      <c r="B155" s="90" t="str">
        <f>Planners!$A$111</f>
        <v>O03_1</v>
      </c>
      <c r="C155" s="90" t="str">
        <f>Planners!$B$112</f>
        <v>RRTstar</v>
      </c>
      <c r="D155" s="92">
        <f>Planners!$C$112</f>
        <v>8.2460000000000006E-2</v>
      </c>
      <c r="E155" s="92">
        <f>Planners!$D$112</f>
        <v>3.6964320000000002</v>
      </c>
      <c r="F155" s="92">
        <f>Planners!$E$112</f>
        <v>3.7788920000000004</v>
      </c>
      <c r="G155" s="92">
        <f>Planners!$G$112</f>
        <v>2.2547069999999998</v>
      </c>
      <c r="H155" s="94">
        <f>Planners!$F$112</f>
        <v>39</v>
      </c>
      <c r="I155" s="90" t="str">
        <f>Planners!$H$112</f>
        <v>✓</v>
      </c>
      <c r="J155" s="96">
        <f>Planners!$I$112</f>
        <v>0</v>
      </c>
    </row>
    <row r="156" spans="1:10" ht="18" customHeight="1">
      <c r="A156" s="90">
        <v>5</v>
      </c>
      <c r="B156" s="90" t="str">
        <f>Planners!$A$114</f>
        <v>O03_2</v>
      </c>
      <c r="C156" s="90" t="str">
        <f>Planners!$B$115</f>
        <v>RRTstar</v>
      </c>
      <c r="D156" s="92">
        <f>Planners!$C$115</f>
        <v>8.7818999999999994E-2</v>
      </c>
      <c r="E156" s="92">
        <f>Planners!$D$115</f>
        <v>3.4582579999999998</v>
      </c>
      <c r="F156" s="92">
        <f>Planners!$E$115</f>
        <v>3.5460769999999999</v>
      </c>
      <c r="G156" s="92">
        <f>Planners!$G$115</f>
        <v>1.420021</v>
      </c>
      <c r="H156" s="94">
        <f>Planners!$F$115</f>
        <v>36</v>
      </c>
      <c r="I156" s="90" t="str">
        <f>Planners!$H$115</f>
        <v>✓</v>
      </c>
      <c r="J156" s="96">
        <f>Planners!$I$115</f>
        <v>0</v>
      </c>
    </row>
    <row r="157" spans="1:10" ht="18" customHeight="1">
      <c r="A157" s="90">
        <v>5</v>
      </c>
      <c r="B157" s="90" t="str">
        <f>Planners!$A$117</f>
        <v>O07_1</v>
      </c>
      <c r="C157" s="90" t="str">
        <f>Planners!$B$118</f>
        <v>RRTstar</v>
      </c>
      <c r="D157" s="92">
        <f>Planners!$C$118</f>
        <v>9.6407999999999994E-2</v>
      </c>
      <c r="E157" s="92">
        <f>Planners!$D$118</f>
        <v>4.4321700000000002</v>
      </c>
      <c r="F157" s="92">
        <f>Planners!$E$118</f>
        <v>4.5285780000000004</v>
      </c>
      <c r="G157" s="92">
        <f>Planners!$G$118</f>
        <v>3.652101</v>
      </c>
      <c r="H157" s="94">
        <f>Planners!$F$118</f>
        <v>46</v>
      </c>
      <c r="I157" s="90" t="str">
        <f>Planners!$H$118</f>
        <v>✓</v>
      </c>
      <c r="J157" s="96">
        <f>Planners!$I$118</f>
        <v>0</v>
      </c>
    </row>
    <row r="158" spans="1:10" ht="18" customHeight="1">
      <c r="A158" s="90">
        <v>5</v>
      </c>
      <c r="B158" s="90" t="str">
        <f>Planners!$A$120</f>
        <v>O07_2</v>
      </c>
      <c r="C158" s="90" t="str">
        <f>Planners!$B$121</f>
        <v>RRTstar</v>
      </c>
      <c r="D158" s="92">
        <f>Planners!$C$121</f>
        <v>7.9685000000000006E-2</v>
      </c>
      <c r="E158" s="92">
        <f>Planners!$D$121</f>
        <v>3.0450219999999999</v>
      </c>
      <c r="F158" s="92">
        <f>Planners!$E$121</f>
        <v>3.1247069999999999</v>
      </c>
      <c r="G158" s="92">
        <f>Planners!$G$121</f>
        <v>1.511101</v>
      </c>
      <c r="H158" s="94">
        <f>Planners!$F$121</f>
        <v>32</v>
      </c>
      <c r="I158" s="90" t="str">
        <f>Planners!$H$121</f>
        <v>✓</v>
      </c>
      <c r="J158" s="96">
        <f>Planners!$I$121</f>
        <v>0</v>
      </c>
    </row>
    <row r="159" spans="1:10" ht="18" customHeight="1">
      <c r="A159" s="90">
        <v>5</v>
      </c>
      <c r="B159" s="90" t="str">
        <f>Planners!$A$123</f>
        <v>O13_1</v>
      </c>
      <c r="C159" s="90" t="str">
        <f>Planners!$B$124</f>
        <v>RRTstar</v>
      </c>
      <c r="D159" s="92">
        <f>Planners!$C$124</f>
        <v>8.8372000000000006E-2</v>
      </c>
      <c r="E159" s="92">
        <f>Planners!$D$124</f>
        <v>3.9476149999999999</v>
      </c>
      <c r="F159" s="92">
        <f>Planners!$E$124</f>
        <v>4.0359869999999995</v>
      </c>
      <c r="G159" s="92">
        <f>Planners!$G$124</f>
        <v>2.2802699999999998</v>
      </c>
      <c r="H159" s="94">
        <f>Planners!$F$124</f>
        <v>41</v>
      </c>
      <c r="I159" s="90" t="str">
        <f>Planners!$H$124</f>
        <v>✓</v>
      </c>
      <c r="J159" s="96">
        <f>Planners!$I$124</f>
        <v>0</v>
      </c>
    </row>
    <row r="160" spans="1:10" ht="18" customHeight="1">
      <c r="A160" s="90">
        <v>5</v>
      </c>
      <c r="B160" s="90" t="str">
        <f>Planners!$A$126</f>
        <v>O13_2</v>
      </c>
      <c r="C160" s="90" t="str">
        <f>Planners!$B$127</f>
        <v>RRTstar</v>
      </c>
      <c r="D160" s="92">
        <f>Planners!$C$127</f>
        <v>8.0296999999999993E-2</v>
      </c>
      <c r="E160" s="92">
        <f>Planners!$D$127</f>
        <v>2.8978510000000002</v>
      </c>
      <c r="F160" s="92">
        <f>Planners!$E$127</f>
        <v>2.978148</v>
      </c>
      <c r="G160" s="92">
        <f>Planners!$G$127</f>
        <v>1.183419</v>
      </c>
      <c r="H160" s="94">
        <f>Planners!$F$127</f>
        <v>30</v>
      </c>
      <c r="I160" s="90" t="str">
        <f>Planners!$H$127</f>
        <v>✓</v>
      </c>
      <c r="J160" s="96">
        <f>Planners!$I$127</f>
        <v>0</v>
      </c>
    </row>
    <row r="161" spans="1:10" ht="18" customHeight="1">
      <c r="A161" s="90">
        <v>5</v>
      </c>
      <c r="B161" s="90" t="str">
        <f>Planners!$A$129</f>
        <v>O17_1</v>
      </c>
      <c r="C161" s="90" t="str">
        <f>Planners!$B$130</f>
        <v>RRTstar</v>
      </c>
      <c r="D161" s="92">
        <f>Planners!$C$130</f>
        <v>8.0296999999999993E-2</v>
      </c>
      <c r="E161" s="92">
        <f>Planners!$D$130</f>
        <v>2.8978510000000002</v>
      </c>
      <c r="F161" s="92">
        <f>Planners!$E$130</f>
        <v>2.978148</v>
      </c>
      <c r="G161" s="92">
        <f>Planners!$G$130</f>
        <v>1.183419</v>
      </c>
      <c r="H161" s="94">
        <f>Planners!$F$130</f>
        <v>30</v>
      </c>
      <c r="I161" s="90" t="str">
        <f>Planners!$H$130</f>
        <v>✓</v>
      </c>
      <c r="J161" s="96">
        <f>Planners!$I$130</f>
        <v>0</v>
      </c>
    </row>
    <row r="162" spans="1:10" ht="18" customHeight="1">
      <c r="A162" s="90">
        <v>5</v>
      </c>
      <c r="B162" s="90" t="str">
        <f>Planners!$A$132</f>
        <v>O17_2</v>
      </c>
      <c r="C162" s="90" t="str">
        <f>Planners!$B$133</f>
        <v>RRTstar</v>
      </c>
      <c r="D162" s="92">
        <f>Planners!$C$133</f>
        <v>8.0296999999999993E-2</v>
      </c>
      <c r="E162" s="92">
        <f>Planners!$D$133</f>
        <v>2.8978510000000002</v>
      </c>
      <c r="F162" s="92">
        <f>Planners!$E$133</f>
        <v>2.978148</v>
      </c>
      <c r="G162" s="92">
        <f>Planners!$G$133</f>
        <v>1.183419</v>
      </c>
      <c r="H162" s="94">
        <f>Planners!$F$133</f>
        <v>30</v>
      </c>
      <c r="I162" s="90" t="str">
        <f>Planners!$H$133</f>
        <v>✓</v>
      </c>
      <c r="J162" s="96">
        <f>Planners!$I$133</f>
        <v>0</v>
      </c>
    </row>
    <row r="163" spans="1:10" ht="18" customHeight="1">
      <c r="A163" s="90">
        <v>5</v>
      </c>
      <c r="B163" s="90" t="str">
        <f>Planners!$A$135</f>
        <v>O19_1</v>
      </c>
      <c r="C163" s="90" t="str">
        <f>Planners!$B$136</f>
        <v>RRTstar</v>
      </c>
      <c r="D163" s="92">
        <f>Planners!$C$136</f>
        <v>9.6286999999999998E-2</v>
      </c>
      <c r="E163" s="92">
        <f>Planners!$D$136</f>
        <v>3.584981</v>
      </c>
      <c r="F163" s="92">
        <f>Planners!$E$136</f>
        <v>3.6812679999999998</v>
      </c>
      <c r="G163" s="92">
        <f>Planners!$G$136</f>
        <v>1.436226</v>
      </c>
      <c r="H163" s="94">
        <f>Planners!$F$136</f>
        <v>37</v>
      </c>
      <c r="I163" s="90" t="str">
        <f>Planners!$H$136</f>
        <v>✓</v>
      </c>
      <c r="J163" s="96">
        <f>Planners!$I$136</f>
        <v>0</v>
      </c>
    </row>
    <row r="164" spans="1:10" ht="18" customHeight="1">
      <c r="A164" s="90">
        <v>5</v>
      </c>
      <c r="B164" s="90" t="str">
        <f>Planners!$A$138</f>
        <v>O19_2</v>
      </c>
      <c r="C164" s="90" t="str">
        <f>Planners!$B$139</f>
        <v>RRTstar</v>
      </c>
      <c r="D164" s="92" t="str">
        <f>Planners!$C$139</f>
        <v>-</v>
      </c>
      <c r="E164" s="92" t="str">
        <f>Planners!$D$139</f>
        <v>-</v>
      </c>
      <c r="F164" s="92" t="str">
        <f>Planners!$E$139</f>
        <v>-</v>
      </c>
      <c r="G164" s="92" t="str">
        <f>Planners!$G$139</f>
        <v>-</v>
      </c>
      <c r="H164" s="94" t="str">
        <f>Planners!$F$139</f>
        <v>-</v>
      </c>
      <c r="I164" s="90" t="str">
        <f>Planners!$H$139</f>
        <v>⮾</v>
      </c>
      <c r="J164" s="96" t="str">
        <f>Planners!$I$139</f>
        <v>tcp speed exceeds limit</v>
      </c>
    </row>
    <row r="165" spans="1:10" ht="18" customHeight="1">
      <c r="A165" s="90">
        <v>5</v>
      </c>
      <c r="B165" s="90" t="str">
        <f>Planners!$A$141</f>
        <v>O19_3</v>
      </c>
      <c r="C165" s="90" t="str">
        <f>Planners!$B$142</f>
        <v>RRTstar</v>
      </c>
      <c r="D165" s="92" t="str">
        <f>Planners!$C$142</f>
        <v>-</v>
      </c>
      <c r="E165" s="92" t="str">
        <f>Planners!$D$142</f>
        <v>-</v>
      </c>
      <c r="F165" s="92" t="str">
        <f>Planners!$E$142</f>
        <v>-</v>
      </c>
      <c r="G165" s="92" t="str">
        <f>Planners!$G$142</f>
        <v>-</v>
      </c>
      <c r="H165" s="94" t="str">
        <f>Planners!$F$142</f>
        <v>-</v>
      </c>
      <c r="I165" s="90" t="str">
        <f>Planners!$H$142</f>
        <v>⮾</v>
      </c>
      <c r="J165" s="96" t="str">
        <f>Planners!$I$142</f>
        <v>Ciclo parou em O19_2</v>
      </c>
    </row>
    <row r="166" spans="1:10" ht="18" customHeight="1">
      <c r="A166" s="90">
        <v>5</v>
      </c>
      <c r="B166" s="90" t="str">
        <f>Planners!$A$144</f>
        <v>O20_1</v>
      </c>
      <c r="C166" s="90" t="str">
        <f>Planners!$B$145</f>
        <v>RRTstar</v>
      </c>
      <c r="D166" s="92">
        <f>Planners!$C$145</f>
        <v>0.103174</v>
      </c>
      <c r="E166" s="92">
        <f>Planners!$D$145</f>
        <v>2.953179</v>
      </c>
      <c r="F166" s="92">
        <f>Planners!$E$145</f>
        <v>3.0563530000000001</v>
      </c>
      <c r="G166" s="92">
        <f>Planners!$G$145</f>
        <v>2.3035000000000001</v>
      </c>
      <c r="H166" s="94">
        <f>Planners!$F$145</f>
        <v>55</v>
      </c>
      <c r="I166" s="90" t="str">
        <f>Planners!$H$145</f>
        <v>✓</v>
      </c>
      <c r="J166" s="96">
        <f>Planners!$I$145</f>
        <v>0</v>
      </c>
    </row>
    <row r="167" spans="1:10" ht="18" customHeight="1">
      <c r="A167" s="90">
        <v>5</v>
      </c>
      <c r="B167" s="90" t="str">
        <f>Planners!$A$147</f>
        <v>O20_2</v>
      </c>
      <c r="C167" s="90" t="str">
        <f>Planners!$B$148</f>
        <v>RRTstar</v>
      </c>
      <c r="D167" s="92">
        <f>Planners!$C$148</f>
        <v>9.1817999999999997E-2</v>
      </c>
      <c r="E167" s="92">
        <f>Planners!$D$148</f>
        <v>3.99336</v>
      </c>
      <c r="F167" s="92">
        <f>Planners!$E$148</f>
        <v>4.085178</v>
      </c>
      <c r="G167" s="92">
        <f>Planners!$G$148</f>
        <v>3.1491910000000001</v>
      </c>
      <c r="H167" s="94">
        <f>Planners!$F$148</f>
        <v>42</v>
      </c>
      <c r="I167" s="90" t="str">
        <f>Planners!$H$148</f>
        <v>✓</v>
      </c>
      <c r="J167" s="96">
        <f>Planners!$I$148</f>
        <v>0</v>
      </c>
    </row>
    <row r="168" spans="1:10" ht="18" customHeight="1">
      <c r="A168" s="90">
        <v>5</v>
      </c>
      <c r="B168" s="90" t="str">
        <f>Planners!$A$150</f>
        <v>O20_3</v>
      </c>
      <c r="C168" s="90" t="str">
        <f>Planners!$B$151</f>
        <v>RRTstar</v>
      </c>
      <c r="D168" s="92">
        <f>Planners!$C$151</f>
        <v>6.9193000000000005E-2</v>
      </c>
      <c r="E168" s="92">
        <f>Planners!$D$151</f>
        <v>2.974278</v>
      </c>
      <c r="F168" s="92">
        <f>Planners!$E$151</f>
        <v>3.0434709999999998</v>
      </c>
      <c r="G168" s="92">
        <f>Planners!$G$151</f>
        <v>1.3289139999999999</v>
      </c>
      <c r="H168" s="94">
        <f>Planners!$F$151</f>
        <v>32</v>
      </c>
      <c r="I168" s="90" t="str">
        <f>Planners!$H$151</f>
        <v>✓</v>
      </c>
      <c r="J168" s="96">
        <f>Planners!$I$151</f>
        <v>0</v>
      </c>
    </row>
    <row r="169" spans="1:10" ht="18" customHeight="1">
      <c r="A169" s="90">
        <v>5</v>
      </c>
      <c r="B169" s="90" t="str">
        <f>Planners!$A$153</f>
        <v>O21</v>
      </c>
      <c r="C169" s="90" t="str">
        <f>Planners!$B$154</f>
        <v>RRTstar</v>
      </c>
      <c r="D169" s="92">
        <f>Planners!$C$154</f>
        <v>7.7922000000000005E-2</v>
      </c>
      <c r="E169" s="92">
        <f>Planners!$D$154</f>
        <v>3.9918459999999998</v>
      </c>
      <c r="F169" s="92">
        <f>Planners!$E$154</f>
        <v>4.0697679999999998</v>
      </c>
      <c r="G169" s="92">
        <f>Planners!$G$154</f>
        <v>3.5221089999999999</v>
      </c>
      <c r="H169" s="94">
        <f>Planners!$F$154</f>
        <v>42</v>
      </c>
      <c r="I169" s="90" t="str">
        <f>Planners!$H$154</f>
        <v>✓</v>
      </c>
      <c r="J169" s="96">
        <f>Planners!$I$154</f>
        <v>0</v>
      </c>
    </row>
    <row r="170" spans="1:10" ht="18" customHeight="1">
      <c r="A170" s="90">
        <v>5</v>
      </c>
      <c r="B170" s="90" t="str">
        <f>Planners!$A$156</f>
        <v>O22_1</v>
      </c>
      <c r="C170" s="90" t="str">
        <f>Planners!$B$157</f>
        <v>RRTstar</v>
      </c>
      <c r="D170" s="92">
        <f>Planners!$C$157</f>
        <v>7.3071999999999998E-2</v>
      </c>
      <c r="E170" s="92">
        <f>Planners!$D$157</f>
        <v>3.7007829999999999</v>
      </c>
      <c r="F170" s="92">
        <f>Planners!$E$157</f>
        <v>3.7738549999999997</v>
      </c>
      <c r="G170" s="92">
        <f>Planners!$G$157</f>
        <v>2.255484</v>
      </c>
      <c r="H170" s="94">
        <f>Planners!$F$157</f>
        <v>39</v>
      </c>
      <c r="I170" s="90" t="str">
        <f>Planners!$H$157</f>
        <v>✓</v>
      </c>
      <c r="J170" s="96">
        <f>Planners!$I$157</f>
        <v>0</v>
      </c>
    </row>
    <row r="171" spans="1:10" ht="18" customHeight="1">
      <c r="A171" s="90">
        <v>5</v>
      </c>
      <c r="B171" s="90" t="str">
        <f>Planners!$A$159</f>
        <v>O22_2</v>
      </c>
      <c r="C171" s="90" t="str">
        <f>Planners!$B$160</f>
        <v>RRTstar</v>
      </c>
      <c r="D171" s="92">
        <f>Planners!$C$160</f>
        <v>7.2485999999999995E-2</v>
      </c>
      <c r="E171" s="92">
        <f>Planners!$D$160</f>
        <v>3.448204</v>
      </c>
      <c r="F171" s="92">
        <f>Planners!$E$160</f>
        <v>3.5206900000000001</v>
      </c>
      <c r="G171" s="92">
        <f>Planners!$G$160</f>
        <v>1.417354</v>
      </c>
      <c r="H171" s="94">
        <f>Planners!$F$160</f>
        <v>36</v>
      </c>
      <c r="I171" s="90" t="str">
        <f>Planners!$H$160</f>
        <v>✓</v>
      </c>
      <c r="J171" s="96">
        <f>Planners!$I$160</f>
        <v>0</v>
      </c>
    </row>
    <row r="172" spans="1:10" ht="18" customHeight="1">
      <c r="A172" s="90">
        <v>1</v>
      </c>
      <c r="B172" s="90" t="str">
        <f>Planners!$A$3</f>
        <v>O03_1</v>
      </c>
      <c r="C172" s="90" t="str">
        <f>Planners!$B$5</f>
        <v>PRMstar</v>
      </c>
      <c r="D172" s="92">
        <f>Planners!$C$5</f>
        <v>7.4256000000000003E-2</v>
      </c>
      <c r="E172" s="92">
        <f>Planners!$D$5</f>
        <v>3.7385540000000002</v>
      </c>
      <c r="F172" s="92">
        <f>Planners!$E$5</f>
        <v>3.8128100000000003</v>
      </c>
      <c r="G172" s="92">
        <f>Planners!$G$5</f>
        <v>2.2558180000000001</v>
      </c>
      <c r="H172" s="94">
        <f>Planners!$F$5</f>
        <v>39</v>
      </c>
      <c r="I172" s="90" t="str">
        <f>Planners!$H$5</f>
        <v>✓</v>
      </c>
      <c r="J172" s="96">
        <f>Planners!$I$5</f>
        <v>0</v>
      </c>
    </row>
    <row r="173" spans="1:10" ht="18" customHeight="1">
      <c r="A173" s="90">
        <v>1</v>
      </c>
      <c r="B173" s="90" t="str">
        <f>Planners!$A$6</f>
        <v>O03_2</v>
      </c>
      <c r="C173" s="90" t="str">
        <f>Planners!$B$8</f>
        <v>PRMstar</v>
      </c>
      <c r="D173" s="92">
        <f>Planners!$C$8</f>
        <v>6.8455000000000002E-2</v>
      </c>
      <c r="E173" s="92">
        <f>Planners!$D$8</f>
        <v>3.4471289999999999</v>
      </c>
      <c r="F173" s="92">
        <f>Planners!$E$8</f>
        <v>3.515584</v>
      </c>
      <c r="G173" s="92">
        <f>Planners!$G$8</f>
        <v>1.4174610000000001</v>
      </c>
      <c r="H173" s="94">
        <f>Planners!$F$8</f>
        <v>36</v>
      </c>
      <c r="I173" s="90" t="str">
        <f>Planners!$H$8</f>
        <v>✓</v>
      </c>
      <c r="J173" s="96">
        <f>Planners!$I$8</f>
        <v>0</v>
      </c>
    </row>
    <row r="174" spans="1:10" ht="18" customHeight="1">
      <c r="A174" s="90">
        <v>1</v>
      </c>
      <c r="B174" s="90" t="str">
        <f>Planners!$A$9</f>
        <v>O07_1</v>
      </c>
      <c r="C174" s="90" t="str">
        <f>Planners!$B$11</f>
        <v>PRMstar</v>
      </c>
      <c r="D174" s="92">
        <f>Planners!$C$11</f>
        <v>0.19061400000000001</v>
      </c>
      <c r="E174" s="92">
        <f>Planners!$D$11</f>
        <v>8.2473550000000007</v>
      </c>
      <c r="F174" s="92">
        <f>Planners!$E$11</f>
        <v>8.4379690000000007</v>
      </c>
      <c r="G174" s="92">
        <f>Planners!$G$11</f>
        <v>4.4250949999999998</v>
      </c>
      <c r="H174" s="94">
        <f>Planners!$F$11</f>
        <v>84</v>
      </c>
      <c r="I174" s="90" t="str">
        <f>Planners!$H$11</f>
        <v>✓</v>
      </c>
      <c r="J174" s="96" t="str">
        <f>Planners!$I$11</f>
        <v>Replaneou a meio</v>
      </c>
    </row>
    <row r="175" spans="1:10" ht="18" customHeight="1">
      <c r="A175" s="90">
        <v>1</v>
      </c>
      <c r="B175" s="90" t="str">
        <f>Planners!$A$12</f>
        <v>O07_2</v>
      </c>
      <c r="C175" s="90" t="str">
        <f>Planners!$B$14</f>
        <v>PRMstar</v>
      </c>
      <c r="D175" s="92" t="str">
        <f>Planners!$C$14</f>
        <v>-</v>
      </c>
      <c r="E175" s="92" t="str">
        <f>Planners!$D$14</f>
        <v>-</v>
      </c>
      <c r="F175" s="92" t="str">
        <f>Planners!$E$14</f>
        <v>-</v>
      </c>
      <c r="G175" s="92" t="str">
        <f>Planners!$G$14</f>
        <v>-</v>
      </c>
      <c r="H175" s="94" t="str">
        <f>Planners!$F$14</f>
        <v>-</v>
      </c>
      <c r="I175" s="90" t="str">
        <f>Planners!$H$14</f>
        <v>⮾</v>
      </c>
      <c r="J175" s="96" t="str">
        <f>Planners!$I$14</f>
        <v>tcp exceeds limit</v>
      </c>
    </row>
    <row r="176" spans="1:10" ht="18" customHeight="1">
      <c r="A176" s="90">
        <v>1</v>
      </c>
      <c r="B176" s="90" t="str">
        <f>Planners!$A$15</f>
        <v>O13_1</v>
      </c>
      <c r="C176" s="90" t="str">
        <f>Planners!$B$17</f>
        <v>PRMstar</v>
      </c>
      <c r="D176" s="92">
        <f>Planners!$C$17</f>
        <v>8.6699999999999999E-2</v>
      </c>
      <c r="E176" s="92">
        <f>Planners!$D$17</f>
        <v>4.5442729999999996</v>
      </c>
      <c r="F176" s="92">
        <f>Planners!$E$17</f>
        <v>4.6309729999999991</v>
      </c>
      <c r="G176" s="92">
        <f>Planners!$G$17</f>
        <v>2.9840810000000002</v>
      </c>
      <c r="H176" s="94">
        <f>Planners!$F$17</f>
        <v>47</v>
      </c>
      <c r="I176" s="90" t="str">
        <f>Planners!$H$17</f>
        <v>✓</v>
      </c>
      <c r="J176" s="96">
        <f>Planners!$I$17</f>
        <v>0</v>
      </c>
    </row>
    <row r="177" spans="1:10" ht="18" customHeight="1">
      <c r="A177" s="90">
        <v>1</v>
      </c>
      <c r="B177" s="90" t="str">
        <f>Planners!$A$18</f>
        <v>O13_2</v>
      </c>
      <c r="C177" s="90" t="str">
        <f>Planners!$B$20</f>
        <v>PRMstar</v>
      </c>
      <c r="D177" s="92">
        <f>Planners!$C$20</f>
        <v>0.105846</v>
      </c>
      <c r="E177" s="92">
        <f>Planners!$D$20</f>
        <v>4.5467469999999999</v>
      </c>
      <c r="F177" s="92">
        <f>Planners!$E$20</f>
        <v>4.6525929999999995</v>
      </c>
      <c r="G177" s="92">
        <f>Planners!$G$20</f>
        <v>3.9133399999999998</v>
      </c>
      <c r="H177" s="94">
        <f>Planners!$F$20</f>
        <v>47</v>
      </c>
      <c r="I177" s="90" t="str">
        <f>Planners!$H$20</f>
        <v>✓</v>
      </c>
      <c r="J177" s="96">
        <f>Planners!$I$20</f>
        <v>0</v>
      </c>
    </row>
    <row r="178" spans="1:10" ht="18" customHeight="1">
      <c r="A178" s="90">
        <v>1</v>
      </c>
      <c r="B178" s="90" t="str">
        <f>Planners!$A$21</f>
        <v>O17_1</v>
      </c>
      <c r="C178" s="90" t="str">
        <f>Planners!$B$23</f>
        <v>PRMstar</v>
      </c>
      <c r="D178" s="92">
        <f>Planners!$C$23</f>
        <v>0.166186</v>
      </c>
      <c r="E178" s="92">
        <f>Planners!$D$23</f>
        <v>8.1919609999999992</v>
      </c>
      <c r="F178" s="92">
        <f>Planners!$E$23</f>
        <v>8.3581469999999989</v>
      </c>
      <c r="G178" s="92">
        <f>Planners!$G$23</f>
        <v>4.7955269999999999</v>
      </c>
      <c r="H178" s="94">
        <f>Planners!$F$23</f>
        <v>83</v>
      </c>
      <c r="I178" s="90" t="str">
        <f>Planners!$H$23</f>
        <v>✓</v>
      </c>
      <c r="J178" s="96" t="str">
        <f>Planners!$I$23</f>
        <v>Replaneou a meio</v>
      </c>
    </row>
    <row r="179" spans="1:10" ht="18" customHeight="1">
      <c r="A179" s="90">
        <v>1</v>
      </c>
      <c r="B179" s="90" t="str">
        <f>Planners!$A$24</f>
        <v>O17_2</v>
      </c>
      <c r="C179" s="90" t="str">
        <f>Planners!$B$26</f>
        <v>PRMstar</v>
      </c>
      <c r="D179" s="92">
        <f>Planners!$C$26</f>
        <v>8.4392999999999996E-2</v>
      </c>
      <c r="E179" s="92">
        <f>Planners!$D$26</f>
        <v>2.8923930000000002</v>
      </c>
      <c r="F179" s="92">
        <f>Planners!$E$26</f>
        <v>2.9767860000000002</v>
      </c>
      <c r="G179" s="92">
        <f>Planners!$G$26</f>
        <v>1.282419</v>
      </c>
      <c r="H179" s="94">
        <f>Planners!$F$26</f>
        <v>30</v>
      </c>
      <c r="I179" s="90" t="str">
        <f>Planners!$H$26</f>
        <v>✓</v>
      </c>
      <c r="J179" s="96">
        <f>Planners!$I$26</f>
        <v>0</v>
      </c>
    </row>
    <row r="180" spans="1:10" ht="18" customHeight="1">
      <c r="A180" s="90">
        <v>1</v>
      </c>
      <c r="B180" s="90" t="str">
        <f>Planners!$A$27</f>
        <v>O19_1</v>
      </c>
      <c r="C180" s="90" t="str">
        <f>Planners!$B$29</f>
        <v>PRMstar</v>
      </c>
      <c r="D180" s="92">
        <f>Planners!$C$29</f>
        <v>9.3214000000000005E-2</v>
      </c>
      <c r="E180" s="92">
        <f>Planners!$D$29</f>
        <v>3.5490210000000002</v>
      </c>
      <c r="F180" s="92">
        <f>Planners!$E$29</f>
        <v>3.6422350000000003</v>
      </c>
      <c r="G180" s="92">
        <f>Planners!$G$29</f>
        <v>2.8429540000000002</v>
      </c>
      <c r="H180" s="94">
        <f>Planners!$F$29</f>
        <v>37</v>
      </c>
      <c r="I180" s="90" t="str">
        <f>Planners!$H$29</f>
        <v>✓</v>
      </c>
      <c r="J180" s="96">
        <f>Planners!$I$29</f>
        <v>0</v>
      </c>
    </row>
    <row r="181" spans="1:10" ht="18" customHeight="1">
      <c r="A181" s="90">
        <v>1</v>
      </c>
      <c r="B181" s="90" t="str">
        <f>Planners!$A$30</f>
        <v>O19_2</v>
      </c>
      <c r="C181" s="90" t="str">
        <f>Planners!$B$32</f>
        <v>PRMstar</v>
      </c>
      <c r="D181" s="92">
        <f>Planners!$C$32</f>
        <v>0.11085</v>
      </c>
      <c r="E181" s="92">
        <f>Planners!$D$32</f>
        <v>3.4898859999999998</v>
      </c>
      <c r="F181" s="92">
        <f>Planners!$E$32</f>
        <v>3.6007359999999999</v>
      </c>
      <c r="G181" s="92">
        <f>Planners!$G$32</f>
        <v>1.3878410000000001</v>
      </c>
      <c r="H181" s="94">
        <f>Planners!$F$32</f>
        <v>37</v>
      </c>
      <c r="I181" s="90" t="str">
        <f>Planners!$H$32</f>
        <v>✓</v>
      </c>
      <c r="J181" s="96">
        <f>Planners!$I$32</f>
        <v>0</v>
      </c>
    </row>
    <row r="182" spans="1:10" ht="18" customHeight="1">
      <c r="A182" s="90">
        <v>1</v>
      </c>
      <c r="B182" s="90" t="str">
        <f>Planners!$A$33</f>
        <v>O19_3</v>
      </c>
      <c r="C182" s="90" t="str">
        <f>Planners!$B$35</f>
        <v>PRMstar</v>
      </c>
      <c r="D182" s="92">
        <f>Planners!$C$35</f>
        <v>8.4739999999999996E-2</v>
      </c>
      <c r="E182" s="92">
        <f>Planners!$D$35</f>
        <v>4.0518229999999997</v>
      </c>
      <c r="F182" s="92">
        <f>Planners!$E$35</f>
        <v>4.1365629999999998</v>
      </c>
      <c r="G182" s="92">
        <f>Planners!$G$35</f>
        <v>1.385651</v>
      </c>
      <c r="H182" s="94">
        <f>Planners!$F$35</f>
        <v>42</v>
      </c>
      <c r="I182" s="90" t="str">
        <f>Planners!$H$35</f>
        <v>✓</v>
      </c>
      <c r="J182" s="96">
        <f>Planners!$I$35</f>
        <v>0</v>
      </c>
    </row>
    <row r="183" spans="1:10" ht="18" customHeight="1">
      <c r="A183" s="90">
        <v>1</v>
      </c>
      <c r="B183" s="90" t="str">
        <f>Planners!$A$36</f>
        <v>O20_1</v>
      </c>
      <c r="C183" s="90" t="str">
        <f>Planners!$B$38</f>
        <v>PRMstar</v>
      </c>
      <c r="D183" s="92">
        <f>Planners!$C$38</f>
        <v>8.4037000000000001E-2</v>
      </c>
      <c r="E183" s="92">
        <f>Planners!$D$38</f>
        <v>3.6461730000000001</v>
      </c>
      <c r="F183" s="92">
        <f>Planners!$E$38</f>
        <v>3.73021</v>
      </c>
      <c r="G183" s="92">
        <f>Planners!$G$38</f>
        <v>2.7284130000000002</v>
      </c>
      <c r="H183" s="94">
        <f>Planners!$F$38</f>
        <v>38</v>
      </c>
      <c r="I183" s="90" t="str">
        <f>Planners!$H$38</f>
        <v>✓</v>
      </c>
      <c r="J183" s="96">
        <f>Planners!$I$38</f>
        <v>0</v>
      </c>
    </row>
    <row r="184" spans="1:10" ht="18" customHeight="1">
      <c r="A184" s="90">
        <v>1</v>
      </c>
      <c r="B184" s="90" t="str">
        <f>Planners!$A$39</f>
        <v>O20_2</v>
      </c>
      <c r="C184" s="90" t="str">
        <f>Planners!$B$41</f>
        <v>PRMstar</v>
      </c>
      <c r="D184" s="92">
        <f>Planners!$C$41</f>
        <v>8.3984000000000003E-2</v>
      </c>
      <c r="E184" s="92">
        <f>Planners!$D$41</f>
        <v>2.8982160000000001</v>
      </c>
      <c r="F184" s="92">
        <f>Planners!$E$41</f>
        <v>2.9822000000000002</v>
      </c>
      <c r="G184" s="92">
        <f>Planners!$G$41</f>
        <v>1.3295509999999999</v>
      </c>
      <c r="H184" s="94">
        <f>Planners!$F$41</f>
        <v>30</v>
      </c>
      <c r="I184" s="90" t="str">
        <f>Planners!$H$41</f>
        <v>✓</v>
      </c>
      <c r="J184" s="96">
        <f>Planners!$I$41</f>
        <v>0</v>
      </c>
    </row>
    <row r="185" spans="1:10" ht="18" customHeight="1">
      <c r="A185" s="90">
        <v>1</v>
      </c>
      <c r="B185" s="90" t="str">
        <f>Planners!$A$42</f>
        <v>O20_3</v>
      </c>
      <c r="C185" s="90" t="str">
        <f>Planners!$B$44</f>
        <v>PRMstar</v>
      </c>
      <c r="D185" s="92">
        <f>Planners!$C$44</f>
        <v>7.1969000000000005E-2</v>
      </c>
      <c r="E185" s="92">
        <f>Planners!$D$44</f>
        <v>3.1236449999999998</v>
      </c>
      <c r="F185" s="92">
        <f>Planners!$E$44</f>
        <v>3.195614</v>
      </c>
      <c r="G185" s="92">
        <f>Planners!$G$44</f>
        <v>1.4882409999999999</v>
      </c>
      <c r="H185" s="94">
        <f>Planners!$F$44</f>
        <v>33</v>
      </c>
      <c r="I185" s="90" t="str">
        <f>Planners!$H$44</f>
        <v>✓</v>
      </c>
      <c r="J185" s="96">
        <f>Planners!$I$44</f>
        <v>0</v>
      </c>
    </row>
    <row r="186" spans="1:10" ht="18" customHeight="1">
      <c r="A186" s="90">
        <v>1</v>
      </c>
      <c r="B186" s="90" t="str">
        <f>Planners!$A$45</f>
        <v>O21</v>
      </c>
      <c r="C186" s="90" t="str">
        <f>Planners!$B$47</f>
        <v>PRMstar</v>
      </c>
      <c r="D186" s="92">
        <f>Planners!$C$47</f>
        <v>8.3122000000000001E-2</v>
      </c>
      <c r="E186" s="92">
        <f>Planners!$D$47</f>
        <v>3.4983629999999999</v>
      </c>
      <c r="F186" s="92">
        <f>Planners!$E$47</f>
        <v>3.5814849999999998</v>
      </c>
      <c r="G186" s="92">
        <f>Planners!$G$47</f>
        <v>2.5996579999999998</v>
      </c>
      <c r="H186" s="94">
        <f>Planners!$F$47</f>
        <v>37</v>
      </c>
      <c r="I186" s="90" t="str">
        <f>Planners!$H$47</f>
        <v>✓</v>
      </c>
      <c r="J186" s="96">
        <f>Planners!$I$47</f>
        <v>0</v>
      </c>
    </row>
    <row r="187" spans="1:10" ht="18" customHeight="1">
      <c r="A187" s="90">
        <v>1</v>
      </c>
      <c r="B187" s="90" t="str">
        <f>Planners!$A$48</f>
        <v>O22_1</v>
      </c>
      <c r="C187" s="90" t="str">
        <f>Planners!$B$50</f>
        <v>PRMstar</v>
      </c>
      <c r="D187" s="92">
        <f>Planners!$C$50</f>
        <v>0.108098</v>
      </c>
      <c r="E187" s="92">
        <f>Planners!$D$50</f>
        <v>4.5382410000000002</v>
      </c>
      <c r="F187" s="92">
        <f>Planners!$E$50</f>
        <v>4.6463390000000002</v>
      </c>
      <c r="G187" s="92">
        <f>Planners!$G$50</f>
        <v>2.8390420000000001</v>
      </c>
      <c r="H187" s="94">
        <f>Planners!$F$50</f>
        <v>47</v>
      </c>
      <c r="I187" s="90" t="str">
        <f>Planners!$H$50</f>
        <v>✓</v>
      </c>
      <c r="J187" s="96">
        <f>Planners!$I$50</f>
        <v>0</v>
      </c>
    </row>
    <row r="188" spans="1:10" ht="18" customHeight="1">
      <c r="A188" s="90">
        <v>1</v>
      </c>
      <c r="B188" s="90" t="str">
        <f>Planners!$A$51</f>
        <v>O22_2</v>
      </c>
      <c r="C188" s="90" t="str">
        <f>Planners!$B$53</f>
        <v>PRMstar</v>
      </c>
      <c r="D188" s="92">
        <f>Planners!$C$53</f>
        <v>6.4723000000000003E-2</v>
      </c>
      <c r="E188" s="92">
        <f>Planners!$D$53</f>
        <v>3.5499239999999999</v>
      </c>
      <c r="F188" s="92">
        <f>Planners!$E$53</f>
        <v>3.6146469999999997</v>
      </c>
      <c r="G188" s="92">
        <f>Planners!$G$53</f>
        <v>2.0218590000000001</v>
      </c>
      <c r="H188" s="94">
        <f>Planners!$F$53</f>
        <v>34</v>
      </c>
      <c r="I188" s="90" t="str">
        <f>Planners!$H$53</f>
        <v>✓</v>
      </c>
      <c r="J188" s="96">
        <f>Planners!$I$53</f>
        <v>0</v>
      </c>
    </row>
    <row r="189" spans="1:10" ht="18" customHeight="1">
      <c r="A189" s="90">
        <v>2</v>
      </c>
      <c r="B189" s="90" t="str">
        <f>Planners!$R$3</f>
        <v>O03_1</v>
      </c>
      <c r="C189" s="90" t="str">
        <f>Planners!$S$5</f>
        <v>PRMstar</v>
      </c>
      <c r="D189" s="92">
        <f>Planners!$T$5</f>
        <v>8.3432999999999993E-2</v>
      </c>
      <c r="E189" s="92">
        <f>Planners!$U$5</f>
        <v>3.747185</v>
      </c>
      <c r="F189" s="92">
        <f>Planners!$V$5</f>
        <v>3.8306179999999999</v>
      </c>
      <c r="G189" s="92">
        <f>Planners!$X$5</f>
        <v>2.2539310000000001</v>
      </c>
      <c r="H189" s="94">
        <f>Planners!$W$5</f>
        <v>39</v>
      </c>
      <c r="I189" s="90" t="str">
        <f>Planners!$Y$5</f>
        <v>✓</v>
      </c>
      <c r="J189" s="96">
        <f>Planners!$Z$5</f>
        <v>0</v>
      </c>
    </row>
    <row r="190" spans="1:10" ht="18" customHeight="1">
      <c r="A190" s="90">
        <v>2</v>
      </c>
      <c r="B190" s="90" t="str">
        <f>Planners!$R$6</f>
        <v>O03_2</v>
      </c>
      <c r="C190" s="90" t="str">
        <f>Planners!$S$8</f>
        <v>PRMstar</v>
      </c>
      <c r="D190" s="92">
        <f>Planners!$T$8</f>
        <v>7.8603999999999993E-2</v>
      </c>
      <c r="E190" s="92">
        <f>Planners!$U$8</f>
        <v>3.4550930000000002</v>
      </c>
      <c r="F190" s="92">
        <f>Planners!$V$8</f>
        <v>3.5336970000000001</v>
      </c>
      <c r="G190" s="92">
        <f>Planners!$X$8</f>
        <v>1.418623</v>
      </c>
      <c r="H190" s="94">
        <f>Planners!$W$8</f>
        <v>36</v>
      </c>
      <c r="I190" s="90" t="str">
        <f>Planners!$Y$8</f>
        <v>✓</v>
      </c>
      <c r="J190" s="96">
        <f>Planners!$Z$8</f>
        <v>0</v>
      </c>
    </row>
    <row r="191" spans="1:10" ht="18" customHeight="1">
      <c r="A191" s="90">
        <v>2</v>
      </c>
      <c r="B191" s="90" t="str">
        <f>Planners!$R$9</f>
        <v>O07_1</v>
      </c>
      <c r="C191" s="90" t="str">
        <f>Planners!$S$11</f>
        <v>PRMstar</v>
      </c>
      <c r="D191" s="92">
        <f>Planners!$T$11</f>
        <v>8.5344000000000003E-2</v>
      </c>
      <c r="E191" s="92">
        <f>Planners!$U$11</f>
        <v>4.4432980000000004</v>
      </c>
      <c r="F191" s="92">
        <f>Planners!$V$11</f>
        <v>4.5286420000000005</v>
      </c>
      <c r="G191" s="92">
        <f>Planners!$X$11</f>
        <v>3.6531509999999998</v>
      </c>
      <c r="H191" s="94">
        <f>Planners!$W$11</f>
        <v>46</v>
      </c>
      <c r="I191" s="90" t="str">
        <f>Planners!$Y$11</f>
        <v>✓</v>
      </c>
      <c r="J191" s="96">
        <f>Planners!$Z$11</f>
        <v>0</v>
      </c>
    </row>
    <row r="192" spans="1:10" ht="18" customHeight="1">
      <c r="A192" s="90">
        <v>2</v>
      </c>
      <c r="B192" s="90" t="str">
        <f>Planners!$R$12</f>
        <v>O07_2</v>
      </c>
      <c r="C192" s="90" t="str">
        <f>Planners!$S$14</f>
        <v>PRMstar</v>
      </c>
      <c r="D192" s="92">
        <f>Planners!$T$14</f>
        <v>7.0765999999999996E-2</v>
      </c>
      <c r="E192" s="92">
        <f>Planners!$U$14</f>
        <v>3.051946</v>
      </c>
      <c r="F192" s="92">
        <f>Planners!$V$14</f>
        <v>3.1227119999999999</v>
      </c>
      <c r="G192" s="92">
        <f>Planners!$X$14</f>
        <v>1.5129539999999999</v>
      </c>
      <c r="H192" s="94">
        <f>Planners!$W$14</f>
        <v>32</v>
      </c>
      <c r="I192" s="90" t="str">
        <f>Planners!$Y$14</f>
        <v>✓</v>
      </c>
      <c r="J192" s="96">
        <f>Planners!$Z$14</f>
        <v>0</v>
      </c>
    </row>
    <row r="193" spans="1:10" ht="18" customHeight="1">
      <c r="A193" s="90">
        <v>2</v>
      </c>
      <c r="B193" s="90" t="str">
        <f>Planners!$R$15</f>
        <v>O13_1</v>
      </c>
      <c r="C193" s="90" t="str">
        <f>Planners!$S$17</f>
        <v>PRMstar</v>
      </c>
      <c r="D193" s="92">
        <f>Planners!$T$17</f>
        <v>8.6238999999999996E-2</v>
      </c>
      <c r="E193" s="92">
        <f>Planners!$U$17</f>
        <v>3.6912850000000001</v>
      </c>
      <c r="F193" s="92">
        <f>Planners!$V$17</f>
        <v>3.7775240000000001</v>
      </c>
      <c r="G193" s="92">
        <f>Planners!$X$17</f>
        <v>2.2685420000000001</v>
      </c>
      <c r="H193" s="94">
        <f>Planners!$W$17</f>
        <v>39</v>
      </c>
      <c r="I193" s="90" t="str">
        <f>Planners!$Y$17</f>
        <v>✓</v>
      </c>
      <c r="J193" s="96">
        <f>Planners!$Z$17</f>
        <v>0</v>
      </c>
    </row>
    <row r="194" spans="1:10" ht="18" customHeight="1">
      <c r="A194" s="90">
        <v>2</v>
      </c>
      <c r="B194" s="90" t="str">
        <f>Planners!$R$18</f>
        <v>O13_2</v>
      </c>
      <c r="C194" s="90" t="str">
        <f>Planners!$S$20</f>
        <v>PRMstar</v>
      </c>
      <c r="D194" s="92">
        <f>Planners!$T$20</f>
        <v>7.6033000000000003E-2</v>
      </c>
      <c r="E194" s="92">
        <f>Planners!$U$20</f>
        <v>2.893637</v>
      </c>
      <c r="F194" s="92">
        <f>Planners!$V$20</f>
        <v>2.9696699999999998</v>
      </c>
      <c r="G194" s="92">
        <f>Planners!$X$20</f>
        <v>1.1842550000000001</v>
      </c>
      <c r="H194" s="94">
        <f>Planners!$W$20</f>
        <v>30</v>
      </c>
      <c r="I194" s="90" t="str">
        <f>Planners!$Y$20</f>
        <v>✓</v>
      </c>
      <c r="J194" s="96">
        <f>Planners!$Z$20</f>
        <v>0</v>
      </c>
    </row>
    <row r="195" spans="1:10" ht="18" customHeight="1">
      <c r="A195" s="90">
        <v>2</v>
      </c>
      <c r="B195" s="90" t="str">
        <f>Planners!$R$21</f>
        <v>O17_1</v>
      </c>
      <c r="C195" s="90" t="str">
        <f>Planners!$S$23</f>
        <v>PRMstar</v>
      </c>
      <c r="D195" s="92">
        <f>Planners!$T$23</f>
        <v>6.9603999999999999E-2</v>
      </c>
      <c r="E195" s="92">
        <f>Planners!$U$23</f>
        <v>3.6481789999999998</v>
      </c>
      <c r="F195" s="92">
        <f>Planners!$V$23</f>
        <v>3.7177829999999998</v>
      </c>
      <c r="G195" s="92">
        <f>Planners!$X$23</f>
        <v>2.4003700000000001</v>
      </c>
      <c r="H195" s="94">
        <f>Planners!$W$23</f>
        <v>38</v>
      </c>
      <c r="I195" s="90" t="str">
        <f>Planners!$Y$23</f>
        <v>✓</v>
      </c>
      <c r="J195" s="96">
        <f>Planners!$Z$23</f>
        <v>0</v>
      </c>
    </row>
    <row r="196" spans="1:10" ht="18" customHeight="1">
      <c r="A196" s="90">
        <v>2</v>
      </c>
      <c r="B196" s="90" t="str">
        <f>Planners!$R$24</f>
        <v>O17_2</v>
      </c>
      <c r="C196" s="90" t="str">
        <f>Planners!$S$26</f>
        <v>PRMstar</v>
      </c>
      <c r="D196" s="92" t="str">
        <f>Planners!$T$26</f>
        <v>-</v>
      </c>
      <c r="E196" s="92" t="str">
        <f>Planners!$U$26</f>
        <v>-</v>
      </c>
      <c r="F196" s="92" t="str">
        <f>Planners!$V$26</f>
        <v>-</v>
      </c>
      <c r="G196" s="92" t="str">
        <f>Planners!$X$26</f>
        <v>-</v>
      </c>
      <c r="H196" s="94" t="str">
        <f>Planners!$W$26</f>
        <v>-</v>
      </c>
      <c r="I196" s="90" t="str">
        <f>Planners!$Y$26</f>
        <v>⮾</v>
      </c>
      <c r="J196" s="96" t="str">
        <f>Planners!$Z$26</f>
        <v>tcp exceeds limit</v>
      </c>
    </row>
    <row r="197" spans="1:10" ht="18" customHeight="1">
      <c r="A197" s="90">
        <v>2</v>
      </c>
      <c r="B197" s="90" t="str">
        <f>Planners!$R$27</f>
        <v>O19_1</v>
      </c>
      <c r="C197" s="90" t="str">
        <f>Planners!$S$29</f>
        <v>PRMstar</v>
      </c>
      <c r="D197" s="92">
        <f>Planners!$T$29</f>
        <v>7.5128E-2</v>
      </c>
      <c r="E197" s="92">
        <f>Planners!$U$29</f>
        <v>3.3451590000000002</v>
      </c>
      <c r="F197" s="92">
        <f>Planners!$V$29</f>
        <v>3.4202870000000001</v>
      </c>
      <c r="G197" s="92">
        <f>Planners!$X$29</f>
        <v>2.8413979999999999</v>
      </c>
      <c r="H197" s="94">
        <f>Planners!$W$29</f>
        <v>35</v>
      </c>
      <c r="I197" s="90" t="str">
        <f>Planners!$Y$29</f>
        <v>✓</v>
      </c>
      <c r="J197" s="96">
        <f>Planners!$Z$29</f>
        <v>0</v>
      </c>
    </row>
    <row r="198" spans="1:10" ht="18" customHeight="1">
      <c r="A198" s="90">
        <v>2</v>
      </c>
      <c r="B198" s="90" t="str">
        <f>Planners!$R$30</f>
        <v>O19_2</v>
      </c>
      <c r="C198" s="90" t="str">
        <f>Planners!$S$32</f>
        <v>PRMstar</v>
      </c>
      <c r="D198" s="92">
        <f>Planners!$T$32</f>
        <v>8.3302000000000001E-2</v>
      </c>
      <c r="E198" s="92">
        <f>Planners!$U$32</f>
        <v>3.4964170000000001</v>
      </c>
      <c r="F198" s="92">
        <f>Planners!$V$32</f>
        <v>3.5797190000000003</v>
      </c>
      <c r="G198" s="92">
        <f>Planners!$X$32</f>
        <v>1.3859429999999999</v>
      </c>
      <c r="H198" s="94">
        <f>Planners!$W$32</f>
        <v>36</v>
      </c>
      <c r="I198" s="90" t="str">
        <f>Planners!$Y$32</f>
        <v>✓</v>
      </c>
      <c r="J198" s="96">
        <f>Planners!$Z$32</f>
        <v>0</v>
      </c>
    </row>
    <row r="199" spans="1:10" ht="18" customHeight="1">
      <c r="A199" s="90">
        <v>2</v>
      </c>
      <c r="B199" s="90" t="str">
        <f>Planners!$R$33</f>
        <v>O19_3</v>
      </c>
      <c r="C199" s="90" t="str">
        <f>Planners!$S$35</f>
        <v>PRMstar</v>
      </c>
      <c r="D199" s="92">
        <f>Planners!$T$35</f>
        <v>7.8810000000000005E-2</v>
      </c>
      <c r="E199" s="92">
        <f>Planners!$U$35</f>
        <v>5.3048739999999999</v>
      </c>
      <c r="F199" s="92">
        <f>Planners!$V$35</f>
        <v>5.3836839999999997</v>
      </c>
      <c r="G199" s="92">
        <f>Planners!$X$35</f>
        <v>2.1455160000000002</v>
      </c>
      <c r="H199" s="94">
        <f>Planners!$W$35</f>
        <v>55</v>
      </c>
      <c r="I199" s="90" t="str">
        <f>Planners!$Y$35</f>
        <v>✓</v>
      </c>
      <c r="J199" s="96">
        <f>Planners!$Z$35</f>
        <v>0</v>
      </c>
    </row>
    <row r="200" spans="1:10" ht="18" customHeight="1">
      <c r="A200" s="90">
        <v>2</v>
      </c>
      <c r="B200" s="90" t="str">
        <f>Planners!$R$36</f>
        <v>O20_1</v>
      </c>
      <c r="C200" s="90" t="str">
        <f>Planners!$S$38</f>
        <v>PRMstar</v>
      </c>
      <c r="D200" s="92">
        <f>Planners!$T$38</f>
        <v>8.3501000000000006E-2</v>
      </c>
      <c r="E200" s="92">
        <f>Planners!$U$38</f>
        <v>3.6136249999999999</v>
      </c>
      <c r="F200" s="92">
        <f>Planners!$V$38</f>
        <v>3.6971259999999999</v>
      </c>
      <c r="G200" s="92">
        <f>Planners!$X$38</f>
        <v>2.7287940000000002</v>
      </c>
      <c r="H200" s="94">
        <f>Planners!$W$38</f>
        <v>37</v>
      </c>
      <c r="I200" s="90" t="str">
        <f>Planners!$Y$38</f>
        <v>✓</v>
      </c>
      <c r="J200" s="96">
        <f>Planners!$Z$38</f>
        <v>0</v>
      </c>
    </row>
    <row r="201" spans="1:10" ht="18" customHeight="1">
      <c r="A201" s="90">
        <v>2</v>
      </c>
      <c r="B201" s="90" t="str">
        <f>Planners!$R$39</f>
        <v>O20_2</v>
      </c>
      <c r="C201" s="90" t="str">
        <f>Planners!$S$41</f>
        <v>PRMstar</v>
      </c>
      <c r="D201" s="92">
        <f>Planners!$T$41</f>
        <v>7.3629E-2</v>
      </c>
      <c r="E201" s="92">
        <f>Planners!$U$41</f>
        <v>2.996286</v>
      </c>
      <c r="F201" s="92">
        <f>Planners!$V$41</f>
        <v>3.0699149999999999</v>
      </c>
      <c r="G201" s="92">
        <f>Planners!$X$41</f>
        <v>1.3258049999999999</v>
      </c>
      <c r="H201" s="94">
        <f>Planners!$W$41</f>
        <v>32</v>
      </c>
      <c r="I201" s="90" t="str">
        <f>Planners!$Y$41</f>
        <v>✓</v>
      </c>
      <c r="J201" s="96">
        <f>Planners!$Z$41</f>
        <v>0</v>
      </c>
    </row>
    <row r="202" spans="1:10" ht="18" customHeight="1">
      <c r="A202" s="90">
        <v>2</v>
      </c>
      <c r="B202" s="90" t="str">
        <f>Planners!$R$42</f>
        <v>O20_3</v>
      </c>
      <c r="C202" s="90" t="str">
        <f>Planners!$S$44</f>
        <v>PRMstar</v>
      </c>
      <c r="D202" s="92">
        <f>Planners!$T$44</f>
        <v>7.8543000000000002E-2</v>
      </c>
      <c r="E202" s="92">
        <f>Planners!$U$44</f>
        <v>3.1933159999999998</v>
      </c>
      <c r="F202" s="92">
        <f>Planners!$V$44</f>
        <v>3.2718589999999996</v>
      </c>
      <c r="G202" s="92">
        <f>Planners!$X$44</f>
        <v>1.4891529999999999</v>
      </c>
      <c r="H202" s="94">
        <f>Planners!$W$44</f>
        <v>34</v>
      </c>
      <c r="I202" s="90" t="str">
        <f>Planners!$Y$44</f>
        <v>✓</v>
      </c>
      <c r="J202" s="96">
        <f>Planners!$Z$44</f>
        <v>0</v>
      </c>
    </row>
    <row r="203" spans="1:10" ht="18" customHeight="1">
      <c r="A203" s="90">
        <v>2</v>
      </c>
      <c r="B203" s="90" t="str">
        <f>Planners!$R$45</f>
        <v>O21</v>
      </c>
      <c r="C203" s="90" t="str">
        <f>Planners!$S$47</f>
        <v>PRMstar</v>
      </c>
      <c r="D203" s="92">
        <f>Planners!$T$47</f>
        <v>7.8658000000000006E-2</v>
      </c>
      <c r="E203" s="92">
        <f>Planners!$U$47</f>
        <v>3.4503759999999999</v>
      </c>
      <c r="F203" s="92">
        <f>Planners!$V$47</f>
        <v>3.5290339999999998</v>
      </c>
      <c r="G203" s="92">
        <f>Planners!$X$47</f>
        <v>2.6005219999999998</v>
      </c>
      <c r="H203" s="94">
        <f>Planners!$W$47</f>
        <v>36</v>
      </c>
      <c r="I203" s="90" t="str">
        <f>Planners!$Y$47</f>
        <v>✓</v>
      </c>
      <c r="J203" s="96">
        <f>Planners!$Z$47</f>
        <v>0</v>
      </c>
    </row>
    <row r="204" spans="1:10" ht="18" customHeight="1">
      <c r="A204" s="90">
        <v>2</v>
      </c>
      <c r="B204" s="90" t="str">
        <f>Planners!$R$48</f>
        <v>O22_1</v>
      </c>
      <c r="C204" s="90" t="str">
        <f>Planners!$S$50</f>
        <v>PRMstar</v>
      </c>
      <c r="D204" s="92">
        <f>Planners!$T$50</f>
        <v>8.3432999999999993E-2</v>
      </c>
      <c r="E204" s="92">
        <f>Planners!$U$50</f>
        <v>3.747185</v>
      </c>
      <c r="F204" s="92">
        <f>Planners!$V$50</f>
        <v>3.8306179999999999</v>
      </c>
      <c r="G204" s="92">
        <f>Planners!$X$50</f>
        <v>2.2539310000000001</v>
      </c>
      <c r="H204" s="94">
        <f>Planners!$W$50</f>
        <v>39</v>
      </c>
      <c r="I204" s="90" t="str">
        <f>Planners!$Y$50</f>
        <v>✓</v>
      </c>
      <c r="J204" s="96">
        <f>Planners!$Z$50</f>
        <v>0</v>
      </c>
    </row>
    <row r="205" spans="1:10" ht="18" customHeight="1">
      <c r="A205" s="90">
        <v>2</v>
      </c>
      <c r="B205" s="90" t="str">
        <f>Planners!$R$51</f>
        <v>O22_2</v>
      </c>
      <c r="C205" s="90" t="str">
        <f>Planners!$S$53</f>
        <v>PRMstar</v>
      </c>
      <c r="D205" s="92">
        <f>Planners!$T$53</f>
        <v>5.9810000000000002E-2</v>
      </c>
      <c r="E205" s="92">
        <f>Planners!$U$53</f>
        <v>3.451454</v>
      </c>
      <c r="F205" s="92">
        <f>Planners!$V$53</f>
        <v>3.5112640000000002</v>
      </c>
      <c r="G205" s="92">
        <f>Planners!$X$53</f>
        <v>1.3149040000000001</v>
      </c>
      <c r="H205" s="94">
        <f>Planners!$W$53</f>
        <v>36</v>
      </c>
      <c r="I205" s="90" t="str">
        <f>Planners!$Y$53</f>
        <v>✓</v>
      </c>
      <c r="J205" s="96">
        <f>Planners!$Z$53</f>
        <v>0</v>
      </c>
    </row>
    <row r="206" spans="1:10" ht="18" customHeight="1">
      <c r="A206" s="90">
        <v>3</v>
      </c>
      <c r="B206" s="90" t="str">
        <f>Planners!$A$57</f>
        <v>O03_1</v>
      </c>
      <c r="C206" s="90" t="str">
        <f>Planners!$B$59</f>
        <v>PRMstar</v>
      </c>
      <c r="D206" s="92">
        <f>Planners!$C$59</f>
        <v>0.122015</v>
      </c>
      <c r="E206" s="92">
        <f>Planners!$D$59</f>
        <v>3.7471450000000002</v>
      </c>
      <c r="F206" s="92">
        <f>Planners!$E$59</f>
        <v>3.8691600000000004</v>
      </c>
      <c r="G206" s="92">
        <f>Planners!$G$59</f>
        <v>2.375162</v>
      </c>
      <c r="H206" s="94">
        <f>Planners!$F$59</f>
        <v>39</v>
      </c>
      <c r="I206" s="90" t="str">
        <f>Planners!$H$59</f>
        <v>✓</v>
      </c>
      <c r="J206" s="96">
        <f>Planners!$I$59</f>
        <v>0</v>
      </c>
    </row>
    <row r="207" spans="1:10" ht="18" customHeight="1">
      <c r="A207" s="90">
        <v>3</v>
      </c>
      <c r="B207" s="90" t="str">
        <f>Planners!$A$60</f>
        <v>O03_2</v>
      </c>
      <c r="C207" s="90" t="str">
        <f>Planners!$B$62</f>
        <v>PRMstar</v>
      </c>
      <c r="D207" s="92">
        <f>Planners!$C$62</f>
        <v>6.3572000000000004E-2</v>
      </c>
      <c r="E207" s="92">
        <f>Planners!$D$62</f>
        <v>3.0468090000000001</v>
      </c>
      <c r="F207" s="92">
        <f>Planners!$E$62</f>
        <v>3.1103810000000003</v>
      </c>
      <c r="G207" s="92">
        <f>Planners!$G$62</f>
        <v>1.5129030000000001</v>
      </c>
      <c r="H207" s="94">
        <f>Planners!$F$62</f>
        <v>32</v>
      </c>
      <c r="I207" s="90" t="str">
        <f>Planners!$H$62</f>
        <v>✓</v>
      </c>
      <c r="J207" s="96">
        <f>Planners!$I$62</f>
        <v>0</v>
      </c>
    </row>
    <row r="208" spans="1:10" ht="18" customHeight="1">
      <c r="A208" s="90">
        <v>3</v>
      </c>
      <c r="B208" s="90" t="str">
        <f>Planners!$A$63</f>
        <v>O07_1</v>
      </c>
      <c r="C208" s="90" t="str">
        <f>Planners!$B$65</f>
        <v>PRMstar</v>
      </c>
      <c r="D208" s="92">
        <f>Planners!$C$65</f>
        <v>8.3905999999999994E-2</v>
      </c>
      <c r="E208" s="92">
        <f>Planners!$D$65</f>
        <v>4.5035590000000001</v>
      </c>
      <c r="F208" s="92">
        <f>Planners!$E$65</f>
        <v>4.5874649999999999</v>
      </c>
      <c r="G208" s="92">
        <f>Planners!$G$65</f>
        <v>3.9168539999999998</v>
      </c>
      <c r="H208" s="94">
        <f>Planners!$F$65</f>
        <v>47</v>
      </c>
      <c r="I208" s="90" t="str">
        <f>Planners!$H$65</f>
        <v>✓</v>
      </c>
      <c r="J208" s="96">
        <f>Planners!$I$65</f>
        <v>0</v>
      </c>
    </row>
    <row r="209" spans="1:10" ht="18" customHeight="1">
      <c r="A209" s="90">
        <v>3</v>
      </c>
      <c r="B209" s="90" t="str">
        <f>Planners!$A$66</f>
        <v>O07_2</v>
      </c>
      <c r="C209" s="90" t="str">
        <f>Planners!$B$68</f>
        <v>PRMstar</v>
      </c>
      <c r="D209" s="92" t="str">
        <f>Planners!$C$68</f>
        <v>-</v>
      </c>
      <c r="E209" s="92" t="str">
        <f>Planners!$D$68</f>
        <v>-</v>
      </c>
      <c r="F209" s="92" t="str">
        <f>Planners!$E$68</f>
        <v>-</v>
      </c>
      <c r="G209" s="92" t="str">
        <f>Planners!$G$68</f>
        <v>-</v>
      </c>
      <c r="H209" s="94" t="str">
        <f>Planners!$F$68</f>
        <v>-</v>
      </c>
      <c r="I209" s="90" t="str">
        <f>Planners!$H$68</f>
        <v>⮾</v>
      </c>
      <c r="J209" s="96" t="str">
        <f>Planners!$I$68</f>
        <v>tcp exceeds limit</v>
      </c>
    </row>
    <row r="210" spans="1:10" ht="18" customHeight="1">
      <c r="A210" s="90">
        <v>3</v>
      </c>
      <c r="B210" s="90" t="str">
        <f>Planners!$A$69</f>
        <v>O13_1</v>
      </c>
      <c r="C210" s="90" t="str">
        <f>Planners!$B$71</f>
        <v>PRMstar</v>
      </c>
      <c r="D210" s="92">
        <f>Planners!$C$71</f>
        <v>9.1203000000000006E-2</v>
      </c>
      <c r="E210" s="92">
        <f>Planners!$D$71</f>
        <v>5.2893980000000003</v>
      </c>
      <c r="F210" s="92">
        <f>Planners!$E$71</f>
        <v>5.3806010000000004</v>
      </c>
      <c r="G210" s="92">
        <f>Planners!$G$71</f>
        <v>5.276923</v>
      </c>
      <c r="H210" s="94">
        <f>Planners!$F$71</f>
        <v>55</v>
      </c>
      <c r="I210" s="90" t="str">
        <f>Planners!$H$71</f>
        <v>✓</v>
      </c>
      <c r="J210" s="96" t="str">
        <f>Planners!$I$71</f>
        <v>Replaneou</v>
      </c>
    </row>
    <row r="211" spans="1:10" ht="18" customHeight="1">
      <c r="A211" s="90">
        <v>3</v>
      </c>
      <c r="B211" s="90" t="str">
        <f>Planners!$A$72</f>
        <v>O13_2</v>
      </c>
      <c r="C211" s="90" t="str">
        <f>Planners!$B$74</f>
        <v>PRMstar</v>
      </c>
      <c r="D211" s="92">
        <f>Planners!$C$74</f>
        <v>8.3905999999999994E-2</v>
      </c>
      <c r="E211" s="92">
        <f>Planners!$D$74</f>
        <v>4.5035590000000001</v>
      </c>
      <c r="F211" s="92">
        <f>Planners!$E$74</f>
        <v>4.5874649999999999</v>
      </c>
      <c r="G211" s="92">
        <f>Planners!$G$74</f>
        <v>3.9168539999999998</v>
      </c>
      <c r="H211" s="94">
        <f>Planners!$F$74</f>
        <v>47</v>
      </c>
      <c r="I211" s="90" t="str">
        <f>Planners!$H$74</f>
        <v>✓</v>
      </c>
      <c r="J211" s="96">
        <f>Planners!$I$74</f>
        <v>0</v>
      </c>
    </row>
    <row r="212" spans="1:10" ht="18" customHeight="1">
      <c r="A212" s="90">
        <v>3</v>
      </c>
      <c r="B212" s="90" t="str">
        <f>Planners!$A$75</f>
        <v>O17_1</v>
      </c>
      <c r="C212" s="90" t="str">
        <f>Planners!$B$77</f>
        <v>PRMstar</v>
      </c>
      <c r="D212" s="92">
        <f>Planners!$C$77</f>
        <v>0.10602300000000001</v>
      </c>
      <c r="E212" s="92">
        <f>Planners!$D$77</f>
        <v>3.6789689999999999</v>
      </c>
      <c r="F212" s="92">
        <f>Planners!$E$77</f>
        <v>3.7849919999999999</v>
      </c>
      <c r="G212" s="92">
        <f>Planners!$G$77</f>
        <v>2.7699769999999999</v>
      </c>
      <c r="H212" s="94">
        <f>Planners!$F$77</f>
        <v>38</v>
      </c>
      <c r="I212" s="90" t="str">
        <f>Planners!$H$77</f>
        <v>✓</v>
      </c>
      <c r="J212" s="96">
        <f>Planners!$I$77</f>
        <v>0</v>
      </c>
    </row>
    <row r="213" spans="1:10" ht="18" customHeight="1">
      <c r="A213" s="90">
        <v>3</v>
      </c>
      <c r="B213" s="90" t="str">
        <f>Planners!$A$78</f>
        <v>O17_2</v>
      </c>
      <c r="C213" s="90" t="str">
        <f>Planners!$B$80</f>
        <v>PRMstar</v>
      </c>
      <c r="D213" s="92">
        <f>Planners!$C$80</f>
        <v>9.9751999999999993E-2</v>
      </c>
      <c r="E213" s="92">
        <f>Planners!$D$80</f>
        <v>4.2519159999999996</v>
      </c>
      <c r="F213" s="92">
        <f>Planners!$E$80</f>
        <v>4.3516679999999992</v>
      </c>
      <c r="G213" s="92">
        <f>Planners!$G$80</f>
        <v>3.3814950000000001</v>
      </c>
      <c r="H213" s="94">
        <f>Planners!$F$80</f>
        <v>44</v>
      </c>
      <c r="I213" s="90" t="str">
        <f>Planners!$H$80</f>
        <v>✓</v>
      </c>
      <c r="J213" s="96">
        <f>Planners!$I$80</f>
        <v>0</v>
      </c>
    </row>
    <row r="214" spans="1:10" ht="18" customHeight="1">
      <c r="A214" s="90">
        <v>3</v>
      </c>
      <c r="B214" s="90" t="str">
        <f>Planners!$A$81</f>
        <v>O19_1</v>
      </c>
      <c r="C214" s="90" t="str">
        <f>Planners!$B$83</f>
        <v>PRMstar</v>
      </c>
      <c r="D214" s="92">
        <f>Planners!$C$83</f>
        <v>9.9713999999999997E-2</v>
      </c>
      <c r="E214" s="92">
        <f>Planners!$D$83</f>
        <v>2.888582</v>
      </c>
      <c r="F214" s="92">
        <f>Planners!$E$83</f>
        <v>2.9882960000000001</v>
      </c>
      <c r="G214" s="92">
        <f>Planners!$G$83</f>
        <v>1.2822039999999999</v>
      </c>
      <c r="H214" s="94">
        <f>Planners!$F$83</f>
        <v>30</v>
      </c>
      <c r="I214" s="90" t="str">
        <f>Planners!$H$83</f>
        <v>✓</v>
      </c>
      <c r="J214" s="96">
        <f>Planners!$I$83</f>
        <v>0</v>
      </c>
    </row>
    <row r="215" spans="1:10" ht="18" customHeight="1">
      <c r="A215" s="90">
        <v>3</v>
      </c>
      <c r="B215" s="90" t="str">
        <f>Planners!$A$84</f>
        <v>O19_2</v>
      </c>
      <c r="C215" s="90" t="str">
        <f>Planners!$B$86</f>
        <v>PRMstar</v>
      </c>
      <c r="D215" s="92">
        <f>Planners!$C$86</f>
        <v>0.13490099999999999</v>
      </c>
      <c r="E215" s="92">
        <f>Planners!$D$86</f>
        <v>4.1489690000000001</v>
      </c>
      <c r="F215" s="92">
        <f>Planners!$E$86</f>
        <v>4.2838700000000003</v>
      </c>
      <c r="G215" s="92">
        <f>Planners!$G$86</f>
        <v>3.2026729999999999</v>
      </c>
      <c r="H215" s="94">
        <f>Planners!$F$86</f>
        <v>43</v>
      </c>
      <c r="I215" s="90" t="str">
        <f>Planners!$H$86</f>
        <v>✓</v>
      </c>
      <c r="J215" s="96">
        <f>Planners!$I$86</f>
        <v>0</v>
      </c>
    </row>
    <row r="216" spans="1:10" ht="18" customHeight="1">
      <c r="A216" s="90">
        <v>3</v>
      </c>
      <c r="B216" s="90" t="str">
        <f>Planners!$A$87</f>
        <v>O19_3</v>
      </c>
      <c r="C216" s="90" t="str">
        <f>Planners!$B$89</f>
        <v>PRMstar</v>
      </c>
      <c r="D216" s="92">
        <f>Planners!$C$89</f>
        <v>0.126947</v>
      </c>
      <c r="E216" s="92">
        <f>Planners!$D$89</f>
        <v>4.7469640000000002</v>
      </c>
      <c r="F216" s="92">
        <f>Planners!$E$89</f>
        <v>4.8739110000000005</v>
      </c>
      <c r="G216" s="92">
        <f>Planners!$G$89</f>
        <v>2.8205870000000002</v>
      </c>
      <c r="H216" s="94">
        <f>Planners!$F$89</f>
        <v>49</v>
      </c>
      <c r="I216" s="90" t="str">
        <f>Planners!$H$89</f>
        <v>✓</v>
      </c>
      <c r="J216" s="96">
        <f>Planners!$I$89</f>
        <v>0</v>
      </c>
    </row>
    <row r="217" spans="1:10" ht="18" customHeight="1">
      <c r="A217" s="90">
        <v>3</v>
      </c>
      <c r="B217" s="90" t="str">
        <f>Planners!$A$90</f>
        <v>O20_1</v>
      </c>
      <c r="C217" s="90" t="str">
        <f>Planners!$B$92</f>
        <v>PRMstar</v>
      </c>
      <c r="D217" s="92">
        <f>Planners!$C$92</f>
        <v>9.0878E-2</v>
      </c>
      <c r="E217" s="92">
        <f>Planners!$D$92</f>
        <v>4.6388829999999999</v>
      </c>
      <c r="F217" s="92">
        <f>Planners!$E$92</f>
        <v>4.7297609999999999</v>
      </c>
      <c r="G217" s="92">
        <f>Planners!$G$92</f>
        <v>5.149025</v>
      </c>
      <c r="H217" s="94">
        <f>Planners!$F$92</f>
        <v>48</v>
      </c>
      <c r="I217" s="90" t="str">
        <f>Planners!$H$92</f>
        <v>✓</v>
      </c>
      <c r="J217" s="96">
        <f>Planners!$I$92</f>
        <v>0</v>
      </c>
    </row>
    <row r="218" spans="1:10" ht="18" customHeight="1">
      <c r="A218" s="90">
        <v>3</v>
      </c>
      <c r="B218" s="90" t="str">
        <f>Planners!$A$93</f>
        <v>O20_2</v>
      </c>
      <c r="C218" s="90" t="str">
        <f>Planners!$B$95</f>
        <v>PRMstar</v>
      </c>
      <c r="D218" s="92">
        <f>Planners!$C$95</f>
        <v>9.2440999999999995E-2</v>
      </c>
      <c r="E218" s="92">
        <f>Planners!$D$95</f>
        <v>3.9473940000000001</v>
      </c>
      <c r="F218" s="92">
        <f>Planners!$E$95</f>
        <v>4.0398350000000001</v>
      </c>
      <c r="G218" s="92">
        <f>Planners!$G$95</f>
        <v>3.1483629999999998</v>
      </c>
      <c r="H218" s="94">
        <f>Planners!$F$95</f>
        <v>41</v>
      </c>
      <c r="I218" s="90" t="str">
        <f>Planners!$H$95</f>
        <v>✓</v>
      </c>
      <c r="J218" s="96">
        <f>Planners!$I$95</f>
        <v>0</v>
      </c>
    </row>
    <row r="219" spans="1:10" ht="18" customHeight="1">
      <c r="A219" s="90">
        <v>3</v>
      </c>
      <c r="B219" s="90" t="str">
        <f>Planners!$A$96</f>
        <v>O20_3</v>
      </c>
      <c r="C219" s="90" t="str">
        <f>Planners!$B$98</f>
        <v>PRMstar</v>
      </c>
      <c r="D219" s="92">
        <f>Planners!$C$98</f>
        <v>7.9561000000000007E-2</v>
      </c>
      <c r="E219" s="92">
        <f>Planners!$D$98</f>
        <v>2.94001</v>
      </c>
      <c r="F219" s="92">
        <f>Planners!$E$98</f>
        <v>3.019571</v>
      </c>
      <c r="G219" s="92">
        <f>Planners!$G$98</f>
        <v>1.3288629999999999</v>
      </c>
      <c r="H219" s="94">
        <f>Planners!$F$98</f>
        <v>31</v>
      </c>
      <c r="I219" s="90" t="str">
        <f>Planners!$H$98</f>
        <v>✓</v>
      </c>
      <c r="J219" s="96">
        <f>Planners!$I$98</f>
        <v>0</v>
      </c>
    </row>
    <row r="220" spans="1:10" ht="18" customHeight="1">
      <c r="A220" s="90">
        <v>3</v>
      </c>
      <c r="B220" s="90" t="str">
        <f>Planners!$A$99</f>
        <v>O21</v>
      </c>
      <c r="C220" s="90" t="str">
        <f>Planners!$B$101</f>
        <v>PRMstar</v>
      </c>
      <c r="D220" s="92">
        <f>Planners!$C$101</f>
        <v>0.104474</v>
      </c>
      <c r="E220" s="92">
        <f>Planners!$D$101</f>
        <v>4.6362709999999998</v>
      </c>
      <c r="F220" s="92">
        <f>Planners!$E$101</f>
        <v>4.7407449999999995</v>
      </c>
      <c r="G220" s="92">
        <f>Planners!$G$101</f>
        <v>5.5638170000000002</v>
      </c>
      <c r="H220" s="94">
        <f>Planners!$F$101</f>
        <v>48</v>
      </c>
      <c r="I220" s="90" t="str">
        <f>Planners!$H$101</f>
        <v>✓</v>
      </c>
      <c r="J220" s="96" t="str">
        <f>Planners!$I$101</f>
        <v>Replaneou</v>
      </c>
    </row>
    <row r="221" spans="1:10" ht="18" customHeight="1">
      <c r="A221" s="90">
        <v>3</v>
      </c>
      <c r="B221" s="90" t="str">
        <f>Planners!$A$102</f>
        <v>O22_1</v>
      </c>
      <c r="C221" s="90" t="str">
        <f>Planners!$B$104</f>
        <v>PRMstar</v>
      </c>
      <c r="D221" s="92">
        <f>Planners!$C$104</f>
        <v>7.7854000000000007E-2</v>
      </c>
      <c r="E221" s="92">
        <f>Planners!$D$104</f>
        <v>3.681041</v>
      </c>
      <c r="F221" s="92">
        <f>Planners!$E$104</f>
        <v>3.7588949999999999</v>
      </c>
      <c r="G221" s="92">
        <f>Planners!$G$104</f>
        <v>2.2549009999999998</v>
      </c>
      <c r="H221" s="94">
        <f>Planners!$F$104</f>
        <v>39</v>
      </c>
      <c r="I221" s="90" t="str">
        <f>Planners!$H$104</f>
        <v>✓</v>
      </c>
      <c r="J221" s="96">
        <f>Planners!$I$104</f>
        <v>0</v>
      </c>
    </row>
    <row r="222" spans="1:10" ht="18" customHeight="1">
      <c r="A222" s="90">
        <v>3</v>
      </c>
      <c r="B222" s="90" t="str">
        <f>Planners!$A$105</f>
        <v>O22_2</v>
      </c>
      <c r="C222" s="90" t="str">
        <f>Planners!$B$107</f>
        <v>PRMstar</v>
      </c>
      <c r="D222" s="92">
        <f>Planners!$C$107</f>
        <v>7.7095999999999998E-2</v>
      </c>
      <c r="E222" s="92">
        <f>Planners!$D$107</f>
        <v>3.4387989999999999</v>
      </c>
      <c r="F222" s="92">
        <f>Planners!$E$107</f>
        <v>3.515895</v>
      </c>
      <c r="G222" s="92">
        <f>Planners!$G$107</f>
        <v>1.4190339999999999</v>
      </c>
      <c r="H222" s="94">
        <f>Planners!$F$107</f>
        <v>36</v>
      </c>
      <c r="I222" s="90" t="str">
        <f>Planners!$H$107</f>
        <v>✓</v>
      </c>
      <c r="J222" s="96">
        <f>Planners!$I$107</f>
        <v>0</v>
      </c>
    </row>
    <row r="223" spans="1:10" ht="18" customHeight="1">
      <c r="A223" s="90">
        <v>4</v>
      </c>
      <c r="B223" s="90" t="str">
        <f>Planners!$R$57</f>
        <v>O03_1</v>
      </c>
      <c r="C223" s="90" t="str">
        <f>Planners!$S$59</f>
        <v>PRMstar</v>
      </c>
      <c r="D223" s="92">
        <f>Planners!$T$59</f>
        <v>8.3432999999999993E-2</v>
      </c>
      <c r="E223" s="92">
        <f>Planners!$U$59</f>
        <v>3.747185</v>
      </c>
      <c r="F223" s="92">
        <f>Planners!$V$59</f>
        <v>3.8306179999999999</v>
      </c>
      <c r="G223" s="92">
        <f>Planners!$X$59</f>
        <v>2.2539310000000001</v>
      </c>
      <c r="H223" s="94">
        <f>Planners!$W$59</f>
        <v>39</v>
      </c>
      <c r="I223" s="90" t="str">
        <f>Planners!$Y$59</f>
        <v>✓</v>
      </c>
      <c r="J223" s="96">
        <f>Planners!$Z$59</f>
        <v>0</v>
      </c>
    </row>
    <row r="224" spans="1:10" ht="18" customHeight="1">
      <c r="A224" s="90">
        <v>4</v>
      </c>
      <c r="B224" s="90" t="str">
        <f>Planners!$R$60</f>
        <v>O03_2</v>
      </c>
      <c r="C224" s="90" t="str">
        <f>Planners!$S$62</f>
        <v>PRMstar</v>
      </c>
      <c r="D224" s="92">
        <f>Planners!$T$62</f>
        <v>7.8603999999999993E-2</v>
      </c>
      <c r="E224" s="92">
        <f>Planners!$U$62</f>
        <v>3.4550930000000002</v>
      </c>
      <c r="F224" s="92">
        <f>Planners!$V$62</f>
        <v>3.5336970000000001</v>
      </c>
      <c r="G224" s="92">
        <f>Planners!$X$62</f>
        <v>1.418623</v>
      </c>
      <c r="H224" s="94">
        <f>Planners!$W$62</f>
        <v>36</v>
      </c>
      <c r="I224" s="90" t="str">
        <f>Planners!$Y$62</f>
        <v>✓</v>
      </c>
      <c r="J224" s="96">
        <f>Planners!$Z$62</f>
        <v>0</v>
      </c>
    </row>
    <row r="225" spans="1:10" ht="18" customHeight="1">
      <c r="A225" s="90">
        <v>4</v>
      </c>
      <c r="B225" s="90" t="str">
        <f>Planners!$R$63</f>
        <v>O07_1</v>
      </c>
      <c r="C225" s="90" t="str">
        <f>Planners!$S$65</f>
        <v>PRMstar</v>
      </c>
      <c r="D225" s="92">
        <f>Planners!$T$65</f>
        <v>0.104474</v>
      </c>
      <c r="E225" s="92">
        <f>Planners!$U$65</f>
        <v>4.6362709999999998</v>
      </c>
      <c r="F225" s="92">
        <f>Planners!$V$65</f>
        <v>4.7407449999999995</v>
      </c>
      <c r="G225" s="92">
        <f>Planners!$X$65</f>
        <v>5.5638170000000002</v>
      </c>
      <c r="H225" s="94">
        <f>Planners!$W$65</f>
        <v>48</v>
      </c>
      <c r="I225" s="90" t="str">
        <f>Planners!$Y$65</f>
        <v>✓</v>
      </c>
      <c r="J225" s="96" t="str">
        <f>Planners!$Z$65</f>
        <v>Replaneou</v>
      </c>
    </row>
    <row r="226" spans="1:10" ht="18" customHeight="1">
      <c r="A226" s="90">
        <v>4</v>
      </c>
      <c r="B226" s="90" t="str">
        <f>Planners!$R$66</f>
        <v>O07_2</v>
      </c>
      <c r="C226" s="90" t="str">
        <f>Planners!$S$68</f>
        <v>PRMstar</v>
      </c>
      <c r="D226" s="92">
        <f>Planners!$T$68</f>
        <v>7.7582999999999999E-2</v>
      </c>
      <c r="E226" s="92">
        <f>Planners!$U$68</f>
        <v>3.4905710000000001</v>
      </c>
      <c r="F226" s="92">
        <f>Planners!$V$68</f>
        <v>3.5681540000000003</v>
      </c>
      <c r="G226" s="92">
        <f>Planners!$X$68</f>
        <v>2.6007280000000002</v>
      </c>
      <c r="H226" s="94">
        <f>Planners!$W$68</f>
        <v>37</v>
      </c>
      <c r="I226" s="90" t="str">
        <f>Planners!$Y$68</f>
        <v>✓</v>
      </c>
      <c r="J226" s="96">
        <f>Planners!$Z$68</f>
        <v>0</v>
      </c>
    </row>
    <row r="227" spans="1:10" ht="18" customHeight="1">
      <c r="A227" s="90">
        <v>4</v>
      </c>
      <c r="B227" s="90" t="str">
        <f>Planners!$R$69</f>
        <v>O13_1</v>
      </c>
      <c r="C227" s="90" t="str">
        <f>Planners!$S$71</f>
        <v>PRMstar</v>
      </c>
      <c r="D227" s="92">
        <f>Planners!$T$71</f>
        <v>7.7854000000000007E-2</v>
      </c>
      <c r="E227" s="92">
        <f>Planners!$U$71</f>
        <v>3.681041</v>
      </c>
      <c r="F227" s="92">
        <f>Planners!$V$71</f>
        <v>3.7588949999999999</v>
      </c>
      <c r="G227" s="92">
        <f>Planners!$X$71</f>
        <v>2.2549009999999998</v>
      </c>
      <c r="H227" s="94">
        <f>Planners!$W$71</f>
        <v>39</v>
      </c>
      <c r="I227" s="90" t="str">
        <f>Planners!$Y$71</f>
        <v>✓</v>
      </c>
      <c r="J227" s="96">
        <f>Planners!$Z$71</f>
        <v>0</v>
      </c>
    </row>
    <row r="228" spans="1:10" ht="18" customHeight="1">
      <c r="A228" s="90">
        <v>4</v>
      </c>
      <c r="B228" s="90" t="str">
        <f>Planners!$R$72</f>
        <v>O13_2</v>
      </c>
      <c r="C228" s="90" t="str">
        <f>Planners!$S$74</f>
        <v>PRMstar</v>
      </c>
      <c r="D228" s="92">
        <f>Planners!$T$74</f>
        <v>7.7095999999999998E-2</v>
      </c>
      <c r="E228" s="92">
        <f>Planners!$U$74</f>
        <v>3.4387989999999999</v>
      </c>
      <c r="F228" s="92">
        <f>Planners!$V$74</f>
        <v>3.515895</v>
      </c>
      <c r="G228" s="92">
        <f>Planners!$X$74</f>
        <v>1.4190339999999999</v>
      </c>
      <c r="H228" s="94">
        <f>Planners!$W$74</f>
        <v>36</v>
      </c>
      <c r="I228" s="90" t="str">
        <f>Planners!$Y$74</f>
        <v>✓</v>
      </c>
      <c r="J228" s="96">
        <f>Planners!$Z$74</f>
        <v>0</v>
      </c>
    </row>
    <row r="229" spans="1:10" ht="18" customHeight="1">
      <c r="A229" s="90">
        <v>4</v>
      </c>
      <c r="B229" s="90" t="str">
        <f>Planners!$R$75</f>
        <v>O17_1</v>
      </c>
      <c r="C229" s="90" t="str">
        <f>Planners!$S$77</f>
        <v>PRMstar</v>
      </c>
      <c r="D229" s="92">
        <f>Planners!$T$77</f>
        <v>0.11781999999999999</v>
      </c>
      <c r="E229" s="92">
        <f>Planners!$U$77</f>
        <v>3.692326</v>
      </c>
      <c r="F229" s="92">
        <f>Planners!$V$77</f>
        <v>3.810146</v>
      </c>
      <c r="G229" s="92">
        <f>Planners!$X$77</f>
        <v>2.2554720000000001</v>
      </c>
      <c r="H229" s="94">
        <f>Planners!$W$77</f>
        <v>39</v>
      </c>
      <c r="I229" s="90" t="str">
        <f>Planners!$Y$77</f>
        <v>✓</v>
      </c>
      <c r="J229" s="96">
        <f>Planners!$Z$77</f>
        <v>0</v>
      </c>
    </row>
    <row r="230" spans="1:10" ht="18" customHeight="1">
      <c r="A230" s="90">
        <v>4</v>
      </c>
      <c r="B230" s="90" t="str">
        <f>Planners!$R$78</f>
        <v>O17_2</v>
      </c>
      <c r="C230" s="90" t="str">
        <f>Planners!$S$80</f>
        <v>PRMstar</v>
      </c>
      <c r="D230" s="92">
        <f>Planners!$T$80</f>
        <v>8.4150000000000003E-2</v>
      </c>
      <c r="E230" s="92">
        <f>Planners!$U$80</f>
        <v>3.4540519999999999</v>
      </c>
      <c r="F230" s="92">
        <f>Planners!$V$80</f>
        <v>3.5382020000000001</v>
      </c>
      <c r="G230" s="92">
        <f>Planners!$X$80</f>
        <v>1.419719</v>
      </c>
      <c r="H230" s="94">
        <f>Planners!$W$80</f>
        <v>36</v>
      </c>
      <c r="I230" s="90" t="str">
        <f>Planners!$Y$80</f>
        <v>✓</v>
      </c>
      <c r="J230" s="96">
        <f>Planners!$Z$80</f>
        <v>0</v>
      </c>
    </row>
    <row r="231" spans="1:10" ht="18" customHeight="1">
      <c r="A231" s="90">
        <v>4</v>
      </c>
      <c r="B231" s="90" t="str">
        <f>Planners!$R$81</f>
        <v>O19_1</v>
      </c>
      <c r="C231" s="90" t="str">
        <f>Planners!$S$83</f>
        <v>PRMstar</v>
      </c>
      <c r="D231" s="92">
        <f>Planners!$T$83</f>
        <v>8.301E-2</v>
      </c>
      <c r="E231" s="92">
        <f>Planners!$U$83</f>
        <v>4.4480890000000004</v>
      </c>
      <c r="F231" s="92">
        <f>Planners!$V$83</f>
        <v>4.5310990000000002</v>
      </c>
      <c r="G231" s="92">
        <f>Planners!$X$83</f>
        <v>3.6550120000000001</v>
      </c>
      <c r="H231" s="94">
        <f>Planners!$W$83</f>
        <v>46</v>
      </c>
      <c r="I231" s="90" t="str">
        <f>Planners!$Y$83</f>
        <v>✓</v>
      </c>
      <c r="J231" s="96">
        <f>Planners!$Z$83</f>
        <v>0</v>
      </c>
    </row>
    <row r="232" spans="1:10" ht="18" customHeight="1">
      <c r="A232" s="90">
        <v>4</v>
      </c>
      <c r="B232" s="90" t="str">
        <f>Planners!$R$84</f>
        <v>O19_2</v>
      </c>
      <c r="C232" s="90" t="str">
        <f>Planners!$S$86</f>
        <v>PRMstar</v>
      </c>
      <c r="D232" s="92">
        <f>Planners!$T$86</f>
        <v>0.108586</v>
      </c>
      <c r="E232" s="92">
        <f>Planners!$U$86</f>
        <v>3.0575770000000002</v>
      </c>
      <c r="F232" s="92">
        <f>Planners!$V$86</f>
        <v>3.1661630000000001</v>
      </c>
      <c r="G232" s="92">
        <f>Planners!$X$86</f>
        <v>1.5148619999999999</v>
      </c>
      <c r="H232" s="94">
        <f>Planners!$W$86</f>
        <v>32</v>
      </c>
      <c r="I232" s="90" t="str">
        <f>Planners!$Y$86</f>
        <v>✓</v>
      </c>
      <c r="J232" s="96">
        <f>Planners!$Z$86</f>
        <v>0</v>
      </c>
    </row>
    <row r="233" spans="1:10" ht="18" customHeight="1">
      <c r="A233" s="90">
        <v>4</v>
      </c>
      <c r="B233" s="90" t="str">
        <f>Planners!$R$87</f>
        <v>O19_3</v>
      </c>
      <c r="C233" s="90" t="str">
        <f>Planners!$S$89</f>
        <v>PRMstar</v>
      </c>
      <c r="D233" s="92" t="str">
        <f>Planners!$T$89</f>
        <v>-</v>
      </c>
      <c r="E233" s="92" t="str">
        <f>Planners!$U$89</f>
        <v>-</v>
      </c>
      <c r="F233" s="92" t="str">
        <f>Planners!$V$89</f>
        <v>-</v>
      </c>
      <c r="G233" s="92" t="str">
        <f>Planners!$X$89</f>
        <v>-</v>
      </c>
      <c r="H233" s="94" t="str">
        <f>Planners!$W$89</f>
        <v>-</v>
      </c>
      <c r="I233" s="90" t="str">
        <f>Planners!$Y$89</f>
        <v>⮾</v>
      </c>
      <c r="J233" s="96" t="str">
        <f>Planners!$Z$89</f>
        <v>tcp exceeds limit</v>
      </c>
    </row>
    <row r="234" spans="1:10" ht="18" customHeight="1">
      <c r="A234" s="90">
        <v>4</v>
      </c>
      <c r="B234" s="90" t="str">
        <f>Planners!$R$90</f>
        <v>O20_1</v>
      </c>
      <c r="C234" s="90" t="str">
        <f>Planners!$S$92</f>
        <v>PRMstar</v>
      </c>
      <c r="D234" s="92">
        <f>Planners!$T$92</f>
        <v>0.10387299999999999</v>
      </c>
      <c r="E234" s="92">
        <f>Planners!$U$92</f>
        <v>3.6919620000000002</v>
      </c>
      <c r="F234" s="92">
        <f>Planners!$V$92</f>
        <v>3.7958350000000003</v>
      </c>
      <c r="G234" s="92">
        <f>Planners!$X$92</f>
        <v>3.2692260000000002</v>
      </c>
      <c r="H234" s="94">
        <f>Planners!$W$92</f>
        <v>42</v>
      </c>
      <c r="I234" s="90" t="str">
        <f>Planners!$Y$92</f>
        <v>✓</v>
      </c>
      <c r="J234" s="96">
        <f>Planners!$Z$92</f>
        <v>0</v>
      </c>
    </row>
    <row r="235" spans="1:10" ht="18" customHeight="1">
      <c r="A235" s="90">
        <v>4</v>
      </c>
      <c r="B235" s="90" t="str">
        <f>Planners!$R$93</f>
        <v>O20_2</v>
      </c>
      <c r="C235" s="90" t="str">
        <f>Planners!$S$95</f>
        <v>PRMstar</v>
      </c>
      <c r="D235" s="92">
        <f>Planners!$T$95</f>
        <v>7.6479000000000005E-2</v>
      </c>
      <c r="E235" s="92">
        <f>Planners!$U$95</f>
        <v>2.9106260000000002</v>
      </c>
      <c r="F235" s="92">
        <f>Planners!$V$95</f>
        <v>2.9871050000000001</v>
      </c>
      <c r="G235" s="92">
        <f>Planners!$X$95</f>
        <v>1.1859059999999999</v>
      </c>
      <c r="H235" s="94">
        <f>Planners!$W$95</f>
        <v>30</v>
      </c>
      <c r="I235" s="90" t="str">
        <f>Planners!$Y$95</f>
        <v>✓</v>
      </c>
      <c r="J235" s="96">
        <f>Planners!$Z$95</f>
        <v>0</v>
      </c>
    </row>
    <row r="236" spans="1:10" ht="18" customHeight="1">
      <c r="A236" s="90">
        <v>4</v>
      </c>
      <c r="B236" s="90" t="str">
        <f>Planners!$R$96</f>
        <v>O20_3</v>
      </c>
      <c r="C236" s="90" t="str">
        <f>Planners!$S$98</f>
        <v>PRMstar</v>
      </c>
      <c r="D236" s="92">
        <f>Planners!$T$98</f>
        <v>0.113443</v>
      </c>
      <c r="E236" s="92">
        <f>Planners!$U$98</f>
        <v>4.1992669999999999</v>
      </c>
      <c r="F236" s="92">
        <f>Planners!$V$98</f>
        <v>4.31271</v>
      </c>
      <c r="G236" s="92">
        <f>Planners!$X$98</f>
        <v>3.003552</v>
      </c>
      <c r="H236" s="94">
        <f>Planners!$W$98</f>
        <v>44</v>
      </c>
      <c r="I236" s="90" t="str">
        <f>Planners!$Y$98</f>
        <v>✓</v>
      </c>
      <c r="J236" s="96">
        <f>Planners!$Z$98</f>
        <v>0</v>
      </c>
    </row>
    <row r="237" spans="1:10" ht="18" customHeight="1">
      <c r="A237" s="90">
        <v>4</v>
      </c>
      <c r="B237" s="90" t="str">
        <f>Planners!$R$99</f>
        <v>O21</v>
      </c>
      <c r="C237" s="90" t="str">
        <f>Planners!$S$101</f>
        <v>PRMstar</v>
      </c>
      <c r="D237" s="92">
        <f>Planners!$T$101</f>
        <v>0.125499</v>
      </c>
      <c r="E237" s="92">
        <f>Planners!$U$101</f>
        <v>4.1993549999999997</v>
      </c>
      <c r="F237" s="92">
        <f>Planners!$V$101</f>
        <v>4.3248539999999993</v>
      </c>
      <c r="G237" s="92">
        <f>Planners!$X$101</f>
        <v>3.2055370000000001</v>
      </c>
      <c r="H237" s="94">
        <f>Planners!$W$101</f>
        <v>44</v>
      </c>
      <c r="I237" s="90" t="str">
        <f>Planners!$Y$101</f>
        <v>✓</v>
      </c>
      <c r="J237" s="96">
        <f>Planners!$Z$101</f>
        <v>0</v>
      </c>
    </row>
    <row r="238" spans="1:10" ht="18" customHeight="1">
      <c r="A238" s="90">
        <v>4</v>
      </c>
      <c r="B238" s="90" t="str">
        <f>Planners!$R$102</f>
        <v>O22_1</v>
      </c>
      <c r="C238" s="90" t="str">
        <f>Planners!$S$104</f>
        <v>PRMstar</v>
      </c>
      <c r="D238" s="92">
        <f>Planners!$T$104</f>
        <v>0.11122700000000001</v>
      </c>
      <c r="E238" s="92">
        <f>Planners!$U$104</f>
        <v>2.9645510000000002</v>
      </c>
      <c r="F238" s="92">
        <f>Planners!$V$104</f>
        <v>3.0757780000000001</v>
      </c>
      <c r="G238" s="92">
        <f>Planners!$X$104</f>
        <v>2.2110820000000002</v>
      </c>
      <c r="H238" s="94">
        <f>Planners!$W$104</f>
        <v>55</v>
      </c>
      <c r="I238" s="90" t="str">
        <f>Planners!$Y$104</f>
        <v>✓</v>
      </c>
      <c r="J238" s="96">
        <f>Planners!$Z$104</f>
        <v>0</v>
      </c>
    </row>
    <row r="239" spans="1:10" ht="18" customHeight="1">
      <c r="A239" s="90">
        <v>4</v>
      </c>
      <c r="B239" s="90" t="str">
        <f>Planners!$R$105</f>
        <v>O22_2</v>
      </c>
      <c r="C239" s="90" t="str">
        <f>Planners!$S$107</f>
        <v>PRMstar</v>
      </c>
      <c r="D239" s="92">
        <f>Planners!$T$107</f>
        <v>0.12146999999999999</v>
      </c>
      <c r="E239" s="92">
        <f>Planners!$U$107</f>
        <v>3.0378620000000001</v>
      </c>
      <c r="F239" s="92">
        <f>Planners!$V$107</f>
        <v>3.159332</v>
      </c>
      <c r="G239" s="92">
        <f>Planners!$X$107</f>
        <v>1.3890039999999999</v>
      </c>
      <c r="H239" s="94">
        <f>Planners!$W$107</f>
        <v>34</v>
      </c>
      <c r="I239" s="90" t="str">
        <f>Planners!$Y$107</f>
        <v>✓</v>
      </c>
      <c r="J239" s="96">
        <f>Planners!$Z$107</f>
        <v>0</v>
      </c>
    </row>
    <row r="240" spans="1:10" ht="18" customHeight="1">
      <c r="A240" s="90">
        <v>5</v>
      </c>
      <c r="B240" s="90" t="str">
        <f>Planners!$A$111</f>
        <v>O03_1</v>
      </c>
      <c r="C240" s="90" t="str">
        <f>Planners!$B$113</f>
        <v>PRMstar</v>
      </c>
      <c r="D240" s="92">
        <f>Planners!$C$113</f>
        <v>7.4256000000000003E-2</v>
      </c>
      <c r="E240" s="92">
        <f>Planners!$D$113</f>
        <v>3.7385540000000002</v>
      </c>
      <c r="F240" s="92">
        <f>Planners!$E$113</f>
        <v>3.8128100000000003</v>
      </c>
      <c r="G240" s="92">
        <f>Planners!$G$113</f>
        <v>2.2558180000000001</v>
      </c>
      <c r="H240" s="94">
        <f>Planners!$F$113</f>
        <v>39</v>
      </c>
      <c r="I240" s="90" t="str">
        <f>Planners!$H$113</f>
        <v>✓</v>
      </c>
      <c r="J240" s="96">
        <f>Planners!$I$113</f>
        <v>0</v>
      </c>
    </row>
    <row r="241" spans="1:10" ht="18" customHeight="1">
      <c r="A241" s="90">
        <v>5</v>
      </c>
      <c r="B241" s="90" t="str">
        <f>Planners!$A$114</f>
        <v>O03_2</v>
      </c>
      <c r="C241" s="90" t="str">
        <f>Planners!$B$116</f>
        <v>PRMstar</v>
      </c>
      <c r="D241" s="92">
        <f>Planners!$C$116</f>
        <v>0.122015</v>
      </c>
      <c r="E241" s="92">
        <f>Planners!$D$116</f>
        <v>3.7471450000000002</v>
      </c>
      <c r="F241" s="92">
        <f>Planners!$E$116</f>
        <v>3.8691600000000004</v>
      </c>
      <c r="G241" s="92">
        <f>Planners!$G$116</f>
        <v>2.375162</v>
      </c>
      <c r="H241" s="94">
        <f>Planners!$F$116</f>
        <v>39</v>
      </c>
      <c r="I241" s="90" t="str">
        <f>Planners!$H$116</f>
        <v>✓</v>
      </c>
      <c r="J241" s="96">
        <f>Planners!$I$116</f>
        <v>0</v>
      </c>
    </row>
    <row r="242" spans="1:10" ht="18" customHeight="1">
      <c r="A242" s="90">
        <v>5</v>
      </c>
      <c r="B242" s="90" t="str">
        <f>Planners!$A$117</f>
        <v>O07_1</v>
      </c>
      <c r="C242" s="90" t="str">
        <f>Planners!$B$119</f>
        <v>PRMstar</v>
      </c>
      <c r="D242" s="92">
        <f>Planners!$C$119</f>
        <v>8.3905999999999994E-2</v>
      </c>
      <c r="E242" s="92">
        <f>Planners!$D$119</f>
        <v>4.5035590000000001</v>
      </c>
      <c r="F242" s="92">
        <f>Planners!$E$119</f>
        <v>4.5874649999999999</v>
      </c>
      <c r="G242" s="92">
        <f>Planners!$G$119</f>
        <v>3.9168539999999998</v>
      </c>
      <c r="H242" s="94">
        <f>Planners!$F$119</f>
        <v>47</v>
      </c>
      <c r="I242" s="90" t="str">
        <f>Planners!$H$119</f>
        <v>✓</v>
      </c>
      <c r="J242" s="96">
        <f>Planners!$I$119</f>
        <v>0</v>
      </c>
    </row>
    <row r="243" spans="1:10" ht="18" customHeight="1">
      <c r="A243" s="90">
        <v>5</v>
      </c>
      <c r="B243" s="90" t="str">
        <f>Planners!$A$120</f>
        <v>O07_2</v>
      </c>
      <c r="C243" s="90" t="str">
        <f>Planners!$B$122</f>
        <v>PRMstar</v>
      </c>
      <c r="D243" s="92">
        <f>Planners!$C$122</f>
        <v>8.4392999999999996E-2</v>
      </c>
      <c r="E243" s="92">
        <f>Planners!$D$122</f>
        <v>2.8923930000000002</v>
      </c>
      <c r="F243" s="92">
        <f>Planners!$E$122</f>
        <v>2.9767860000000002</v>
      </c>
      <c r="G243" s="92">
        <f>Planners!$G$122</f>
        <v>1.282419</v>
      </c>
      <c r="H243" s="94">
        <f>Planners!$F$122</f>
        <v>30</v>
      </c>
      <c r="I243" s="90" t="str">
        <f>Planners!$H$122</f>
        <v>✓</v>
      </c>
      <c r="J243" s="96">
        <f>Planners!$I$122</f>
        <v>0</v>
      </c>
    </row>
    <row r="244" spans="1:10" ht="18" customHeight="1">
      <c r="A244" s="90">
        <v>5</v>
      </c>
      <c r="B244" s="90" t="str">
        <f>Planners!$A$123</f>
        <v>O13_1</v>
      </c>
      <c r="C244" s="90" t="str">
        <f>Planners!$B$125</f>
        <v>PRMstar</v>
      </c>
      <c r="D244" s="92">
        <f>Planners!$C$125</f>
        <v>7.7854000000000007E-2</v>
      </c>
      <c r="E244" s="92">
        <f>Planners!$D$125</f>
        <v>3.681041</v>
      </c>
      <c r="F244" s="92">
        <f>Planners!$E$125</f>
        <v>3.7588949999999999</v>
      </c>
      <c r="G244" s="92">
        <f>Planners!$G$125</f>
        <v>2.2549009999999998</v>
      </c>
      <c r="H244" s="94">
        <f>Planners!$F$125</f>
        <v>39</v>
      </c>
      <c r="I244" s="90" t="str">
        <f>Planners!$H$125</f>
        <v>✓</v>
      </c>
      <c r="J244" s="96">
        <f>Planners!$I$125</f>
        <v>0</v>
      </c>
    </row>
    <row r="245" spans="1:10" ht="18" customHeight="1">
      <c r="A245" s="90">
        <v>5</v>
      </c>
      <c r="B245" s="90" t="str">
        <f>Planners!$A$126</f>
        <v>O13_2</v>
      </c>
      <c r="C245" s="90" t="str">
        <f>Planners!$B$128</f>
        <v>PRMstar</v>
      </c>
      <c r="D245" s="92">
        <f>Planners!$C$128</f>
        <v>7.6033000000000003E-2</v>
      </c>
      <c r="E245" s="92">
        <f>Planners!$D$128</f>
        <v>2.893637</v>
      </c>
      <c r="F245" s="92">
        <f>Planners!$E$128</f>
        <v>2.9696699999999998</v>
      </c>
      <c r="G245" s="92">
        <f>Planners!$G$128</f>
        <v>1.1842550000000001</v>
      </c>
      <c r="H245" s="94">
        <f>Planners!$F$128</f>
        <v>30</v>
      </c>
      <c r="I245" s="90" t="str">
        <f>Planners!$H$128</f>
        <v>✓</v>
      </c>
      <c r="J245" s="96">
        <f>Planners!$I$128</f>
        <v>0</v>
      </c>
    </row>
    <row r="246" spans="1:10" ht="18" customHeight="1">
      <c r="A246" s="90">
        <v>5</v>
      </c>
      <c r="B246" s="90" t="str">
        <f>Planners!$A$129</f>
        <v>O17_1</v>
      </c>
      <c r="C246" s="90" t="str">
        <f>Planners!$B$131</f>
        <v>PRMstar</v>
      </c>
      <c r="D246" s="92">
        <f>Planners!$C$131</f>
        <v>6.9603999999999999E-2</v>
      </c>
      <c r="E246" s="92">
        <f>Planners!$D$131</f>
        <v>3.6481789999999998</v>
      </c>
      <c r="F246" s="92">
        <f>Planners!$E$131</f>
        <v>3.7177829999999998</v>
      </c>
      <c r="G246" s="92">
        <f>Planners!$G$131</f>
        <v>2.4003700000000001</v>
      </c>
      <c r="H246" s="94">
        <f>Planners!$F$131</f>
        <v>38</v>
      </c>
      <c r="I246" s="90" t="str">
        <f>Planners!$H$131</f>
        <v>✓</v>
      </c>
      <c r="J246" s="96">
        <f>Planners!$I$131</f>
        <v>0</v>
      </c>
    </row>
    <row r="247" spans="1:10" ht="18" customHeight="1">
      <c r="A247" s="90">
        <v>5</v>
      </c>
      <c r="B247" s="90" t="str">
        <f>Planners!$A$132</f>
        <v>O17_2</v>
      </c>
      <c r="C247" s="90" t="str">
        <f>Planners!$B$134</f>
        <v>PRMstar</v>
      </c>
      <c r="D247" s="92">
        <f>Planners!$C$134</f>
        <v>8.4392999999999996E-2</v>
      </c>
      <c r="E247" s="92">
        <f>Planners!$D$134</f>
        <v>2.8923930000000002</v>
      </c>
      <c r="F247" s="92">
        <f>Planners!$E$134</f>
        <v>2.9767860000000002</v>
      </c>
      <c r="G247" s="92">
        <f>Planners!$G$134</f>
        <v>1.282419</v>
      </c>
      <c r="H247" s="94">
        <f>Planners!$F$134</f>
        <v>30</v>
      </c>
      <c r="I247" s="90" t="str">
        <f>Planners!$H$134</f>
        <v>✓</v>
      </c>
      <c r="J247" s="96">
        <f>Planners!$I$134</f>
        <v>0</v>
      </c>
    </row>
    <row r="248" spans="1:10" ht="18" customHeight="1">
      <c r="A248" s="90">
        <v>5</v>
      </c>
      <c r="B248" s="90" t="str">
        <f>Planners!$A$135</f>
        <v>O19_1</v>
      </c>
      <c r="C248" s="90" t="str">
        <f>Planners!$B$137</f>
        <v>PRMstar</v>
      </c>
      <c r="D248" s="92">
        <f>Planners!$C$137</f>
        <v>8.301E-2</v>
      </c>
      <c r="E248" s="92">
        <f>Planners!$D$137</f>
        <v>4.4480890000000004</v>
      </c>
      <c r="F248" s="92">
        <f>Planners!$E$137</f>
        <v>4.5310990000000002</v>
      </c>
      <c r="G248" s="92">
        <f>Planners!$G$137</f>
        <v>3.6550120000000001</v>
      </c>
      <c r="H248" s="94">
        <f>Planners!$F$137</f>
        <v>46</v>
      </c>
      <c r="I248" s="90" t="str">
        <f>Planners!$H$137</f>
        <v>✓</v>
      </c>
      <c r="J248" s="96">
        <f>Planners!$I$137</f>
        <v>0</v>
      </c>
    </row>
    <row r="249" spans="1:10" ht="18" customHeight="1">
      <c r="A249" s="90">
        <v>5</v>
      </c>
      <c r="B249" s="90" t="str">
        <f>Planners!$A$138</f>
        <v>O19_2</v>
      </c>
      <c r="C249" s="90" t="str">
        <f>Planners!$B$140</f>
        <v>PRMstar</v>
      </c>
      <c r="D249" s="92" t="str">
        <f>Planners!$C$140</f>
        <v>-</v>
      </c>
      <c r="E249" s="92" t="str">
        <f>Planners!$D$140</f>
        <v>-</v>
      </c>
      <c r="F249" s="92" t="str">
        <f>Planners!$E$140</f>
        <v>-</v>
      </c>
      <c r="G249" s="92" t="str">
        <f>Planners!$G$140</f>
        <v>-</v>
      </c>
      <c r="H249" s="94" t="str">
        <f>Planners!$F$140</f>
        <v>-</v>
      </c>
      <c r="I249" s="90" t="str">
        <f>Planners!$H$140</f>
        <v>⮾</v>
      </c>
      <c r="J249" s="96" t="str">
        <f>Planners!$I$140</f>
        <v>tcp speed exceeds limit</v>
      </c>
    </row>
    <row r="250" spans="1:10" ht="18" customHeight="1">
      <c r="A250" s="90">
        <v>5</v>
      </c>
      <c r="B250" s="90" t="str">
        <f>Planners!$A$141</f>
        <v>O19_3</v>
      </c>
      <c r="C250" s="90" t="str">
        <f>Planners!$B$143</f>
        <v>PRMstar</v>
      </c>
      <c r="D250" s="92" t="str">
        <f>Planners!$C$143</f>
        <v>-</v>
      </c>
      <c r="E250" s="92" t="str">
        <f>Planners!$D$143</f>
        <v>-</v>
      </c>
      <c r="F250" s="92" t="str">
        <f>Planners!$E$143</f>
        <v>-</v>
      </c>
      <c r="G250" s="92" t="str">
        <f>Planners!$G$143</f>
        <v>-</v>
      </c>
      <c r="H250" s="94" t="str">
        <f>Planners!$F$143</f>
        <v>-</v>
      </c>
      <c r="I250" s="90" t="str">
        <f>Planners!$H$143</f>
        <v>⮾</v>
      </c>
      <c r="J250" s="96" t="str">
        <f>Planners!$I$143</f>
        <v>Ciclo parou em O19_2</v>
      </c>
    </row>
    <row r="251" spans="1:10" ht="18" customHeight="1">
      <c r="A251" s="90">
        <v>5</v>
      </c>
      <c r="B251" s="90" t="str">
        <f>Planners!$A$144</f>
        <v>O20_1</v>
      </c>
      <c r="C251" s="90" t="str">
        <f>Planners!$B$146</f>
        <v>PRMstar</v>
      </c>
      <c r="D251" s="92">
        <f>Planners!$C$146</f>
        <v>9.0878E-2</v>
      </c>
      <c r="E251" s="92">
        <f>Planners!$D$146</f>
        <v>4.6388829999999999</v>
      </c>
      <c r="F251" s="92">
        <f>Planners!$E$146</f>
        <v>4.7297609999999999</v>
      </c>
      <c r="G251" s="92">
        <f>Planners!$G$146</f>
        <v>5.149025</v>
      </c>
      <c r="H251" s="94">
        <f>Planners!$F$146</f>
        <v>48</v>
      </c>
      <c r="I251" s="90" t="str">
        <f>Planners!$H$146</f>
        <v>✓</v>
      </c>
      <c r="J251" s="96">
        <f>Planners!$I$146</f>
        <v>0</v>
      </c>
    </row>
    <row r="252" spans="1:10" ht="18" customHeight="1">
      <c r="A252" s="90">
        <v>5</v>
      </c>
      <c r="B252" s="90" t="str">
        <f>Planners!$A$147</f>
        <v>O20_2</v>
      </c>
      <c r="C252" s="90" t="str">
        <f>Planners!$B$149</f>
        <v>PRMstar</v>
      </c>
      <c r="D252" s="92">
        <f>Planners!$C$149</f>
        <v>7.6479000000000005E-2</v>
      </c>
      <c r="E252" s="92">
        <f>Planners!$D$149</f>
        <v>2.9106260000000002</v>
      </c>
      <c r="F252" s="92">
        <f>Planners!$E$149</f>
        <v>2.9871050000000001</v>
      </c>
      <c r="G252" s="92">
        <f>Planners!$G$149</f>
        <v>1.1859059999999999</v>
      </c>
      <c r="H252" s="94">
        <f>Planners!$F$149</f>
        <v>30</v>
      </c>
      <c r="I252" s="90" t="str">
        <f>Planners!$H$149</f>
        <v>✓</v>
      </c>
      <c r="J252" s="96">
        <f>Planners!$I$149</f>
        <v>0</v>
      </c>
    </row>
    <row r="253" spans="1:10" ht="18" customHeight="1">
      <c r="A253" s="90">
        <v>5</v>
      </c>
      <c r="B253" s="90" t="str">
        <f>Planners!$A$150</f>
        <v>O20_3</v>
      </c>
      <c r="C253" s="90" t="str">
        <f>Planners!$B$152</f>
        <v>PRMstar</v>
      </c>
      <c r="D253" s="92">
        <f>Planners!$C$152</f>
        <v>7.1969000000000005E-2</v>
      </c>
      <c r="E253" s="92">
        <f>Planners!$D$152</f>
        <v>3.1236449999999998</v>
      </c>
      <c r="F253" s="92">
        <f>Planners!$E$152</f>
        <v>3.195614</v>
      </c>
      <c r="G253" s="92">
        <f>Planners!$G$152</f>
        <v>1.4882409999999999</v>
      </c>
      <c r="H253" s="94">
        <f>Planners!$F$152</f>
        <v>33</v>
      </c>
      <c r="I253" s="90" t="str">
        <f>Planners!$H$152</f>
        <v>✓</v>
      </c>
      <c r="J253" s="96">
        <f>Planners!$I$152</f>
        <v>0</v>
      </c>
    </row>
    <row r="254" spans="1:10" ht="18" customHeight="1">
      <c r="A254" s="90">
        <v>5</v>
      </c>
      <c r="B254" s="90" t="str">
        <f>Planners!$A$153</f>
        <v>O21</v>
      </c>
      <c r="C254" s="90" t="str">
        <f>Planners!$B$155</f>
        <v>PRMstar</v>
      </c>
      <c r="D254" s="92">
        <f>Planners!$C$155</f>
        <v>0.125499</v>
      </c>
      <c r="E254" s="92">
        <f>Planners!$D$155</f>
        <v>4.1993549999999997</v>
      </c>
      <c r="F254" s="92">
        <f>Planners!$E$155</f>
        <v>4.3248539999999993</v>
      </c>
      <c r="G254" s="92">
        <f>Planners!$G$155</f>
        <v>3.2055370000000001</v>
      </c>
      <c r="H254" s="94">
        <f>Planners!$F$155</f>
        <v>44</v>
      </c>
      <c r="I254" s="90" t="str">
        <f>Planners!$H$155</f>
        <v>✓</v>
      </c>
      <c r="J254" s="96">
        <f>Planners!$I$155</f>
        <v>0</v>
      </c>
    </row>
    <row r="255" spans="1:10" ht="18" customHeight="1">
      <c r="A255" s="90">
        <v>5</v>
      </c>
      <c r="B255" s="90" t="str">
        <f>Planners!$A$156</f>
        <v>O22_1</v>
      </c>
      <c r="C255" s="90" t="str">
        <f>Planners!$B$158</f>
        <v>PRMstar</v>
      </c>
      <c r="D255" s="92">
        <f>Planners!$C$158</f>
        <v>7.4256000000000003E-2</v>
      </c>
      <c r="E255" s="92">
        <f>Planners!$D$158</f>
        <v>3.7385540000000002</v>
      </c>
      <c r="F255" s="92">
        <f>Planners!$E$158</f>
        <v>3.8128100000000003</v>
      </c>
      <c r="G255" s="92">
        <f>Planners!$G$158</f>
        <v>2.2558180000000001</v>
      </c>
      <c r="H255" s="94">
        <f>Planners!$F$158</f>
        <v>39</v>
      </c>
      <c r="I255" s="90" t="str">
        <f>Planners!$H$158</f>
        <v>✓</v>
      </c>
      <c r="J255" s="96">
        <f>Planners!$I$158</f>
        <v>0</v>
      </c>
    </row>
    <row r="256" spans="1:10" ht="18" customHeight="1">
      <c r="A256" s="90">
        <v>5</v>
      </c>
      <c r="B256" s="90" t="str">
        <f>Planners!$A$159</f>
        <v>O22_2</v>
      </c>
      <c r="C256" s="90" t="str">
        <f>Planners!$B$161</f>
        <v>PRMstar</v>
      </c>
      <c r="D256" s="92">
        <f>Planners!$C$161</f>
        <v>0.122015</v>
      </c>
      <c r="E256" s="92">
        <f>Planners!$D$161</f>
        <v>3.7471450000000002</v>
      </c>
      <c r="F256" s="92">
        <f>Planners!$E$161</f>
        <v>3.8691600000000004</v>
      </c>
      <c r="G256" s="92">
        <f>Planners!$G$161</f>
        <v>1.675162</v>
      </c>
      <c r="H256" s="94">
        <f>Planners!$F$161</f>
        <v>36</v>
      </c>
      <c r="I256" s="90" t="str">
        <f>Planners!$H$161</f>
        <v>✓</v>
      </c>
      <c r="J256" s="96">
        <f>Planners!$I$161</f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67"/>
  <sheetViews>
    <sheetView showGridLines="0" topLeftCell="A66" workbookViewId="0">
      <selection activeCell="E46" sqref="E46"/>
    </sheetView>
  </sheetViews>
  <sheetFormatPr defaultRowHeight="13.8"/>
  <cols>
    <col min="1" max="1" width="38" customWidth="1"/>
    <col min="2" max="2" width="28" customWidth="1"/>
    <col min="3" max="8" width="14" customWidth="1"/>
    <col min="9" max="9" width="3" customWidth="1"/>
    <col min="10" max="17" width="11" customWidth="1"/>
    <col min="18" max="18" width="3" customWidth="1"/>
    <col min="19" max="22" width="15" customWidth="1"/>
  </cols>
  <sheetData>
    <row r="1" spans="1:20" ht="30" customHeight="1">
      <c r="A1" s="113" t="s">
        <v>306</v>
      </c>
      <c r="B1" s="113" t="s">
        <v>306</v>
      </c>
      <c r="C1" s="113" t="s">
        <v>306</v>
      </c>
      <c r="D1" s="113" t="s">
        <v>306</v>
      </c>
      <c r="E1" s="113" t="s">
        <v>306</v>
      </c>
      <c r="F1" s="113" t="s">
        <v>306</v>
      </c>
      <c r="G1" s="113" t="s">
        <v>306</v>
      </c>
      <c r="H1" s="113" t="s">
        <v>306</v>
      </c>
      <c r="I1" s="113" t="s">
        <v>306</v>
      </c>
      <c r="J1" s="113" t="s">
        <v>306</v>
      </c>
      <c r="K1" s="113" t="s">
        <v>306</v>
      </c>
      <c r="L1" s="113" t="s">
        <v>306</v>
      </c>
      <c r="M1" s="113" t="s">
        <v>306</v>
      </c>
      <c r="N1" s="113" t="s">
        <v>306</v>
      </c>
      <c r="O1" s="113" t="s">
        <v>306</v>
      </c>
      <c r="P1" s="113" t="s">
        <v>306</v>
      </c>
      <c r="Q1" s="113" t="s">
        <v>306</v>
      </c>
    </row>
    <row r="2" spans="1:20" ht="26.4">
      <c r="S2" s="110" t="s">
        <v>198</v>
      </c>
      <c r="T2" s="110" t="s">
        <v>307</v>
      </c>
    </row>
    <row r="3" spans="1:20" ht="26.4">
      <c r="A3" s="88" t="s">
        <v>198</v>
      </c>
      <c r="B3" s="88" t="s">
        <v>308</v>
      </c>
      <c r="C3" s="88" t="s">
        <v>257</v>
      </c>
      <c r="D3" s="88" t="s">
        <v>256</v>
      </c>
      <c r="E3" s="88" t="s">
        <v>309</v>
      </c>
      <c r="F3" s="88" t="s">
        <v>310</v>
      </c>
      <c r="S3" s="89" t="s">
        <v>207</v>
      </c>
      <c r="T3" s="101">
        <f>D13</f>
        <v>3.8778369058823525</v>
      </c>
    </row>
    <row r="4" spans="1:20">
      <c r="A4" s="89" t="s">
        <v>207</v>
      </c>
      <c r="B4" s="93">
        <f>COUNTIF('Dados Análise'!$C$2:$C$256,A4)</f>
        <v>85</v>
      </c>
      <c r="C4" s="93">
        <f>COUNTIFS('Dados Análise'!$C$2:$C$256,A4,'Dados Análise'!$I$2:$I$256,"✓")</f>
        <v>85</v>
      </c>
      <c r="D4" s="93">
        <f>B4-C4</f>
        <v>0</v>
      </c>
      <c r="E4" s="103">
        <f>IF(B4=0,0,C4/B4)</f>
        <v>1</v>
      </c>
      <c r="F4" s="93">
        <f>COUNTA('Dados Análise'!$J$3,'Dados Análise'!$J$63,'Dados Análise'!$J$66)</f>
        <v>3</v>
      </c>
      <c r="S4" s="90" t="s">
        <v>209</v>
      </c>
      <c r="T4" s="102">
        <f>D18</f>
        <v>3.8276770365853663</v>
      </c>
    </row>
    <row r="5" spans="1:20">
      <c r="A5" s="90" t="s">
        <v>209</v>
      </c>
      <c r="B5" s="94">
        <f>COUNTIF('Dados Análise'!$C$2:$C$256,A5)</f>
        <v>85</v>
      </c>
      <c r="C5" s="94">
        <f>COUNTIFS('Dados Análise'!$C$2:$C$256,A5,'Dados Análise'!$I$2:$I$256,"✓")</f>
        <v>82</v>
      </c>
      <c r="D5" s="94">
        <f>B5-C5</f>
        <v>3</v>
      </c>
      <c r="E5" s="104">
        <f>IF(B5=0,0,C5/B5)</f>
        <v>0.96470588235294119</v>
      </c>
      <c r="F5" s="94">
        <f>COUNTA('Dados Análise'!$J$135,'Dados Análise'!$J$140)</f>
        <v>2</v>
      </c>
      <c r="S5" s="90" t="s">
        <v>210</v>
      </c>
      <c r="T5" s="102">
        <f>D23</f>
        <v>3.9200068354430386</v>
      </c>
    </row>
    <row r="6" spans="1:20">
      <c r="A6" s="90" t="s">
        <v>210</v>
      </c>
      <c r="B6" s="94">
        <f>COUNTIF('Dados Análise'!$C$2:$C$256,A6)</f>
        <v>85</v>
      </c>
      <c r="C6" s="94">
        <f>COUNTIFS('Dados Análise'!$C$2:$C$256,A6,'Dados Análise'!$I$2:$I$256,"✓")</f>
        <v>79</v>
      </c>
      <c r="D6" s="94">
        <f>B6-C6</f>
        <v>6</v>
      </c>
      <c r="E6" s="104">
        <f>IF(B6=0,0,C6/B6)</f>
        <v>0.92941176470588238</v>
      </c>
      <c r="F6" s="94">
        <f>COUNTA('Dados Análise'!$J$174,'Dados Análise'!$J$178,'Dados Análise'!$J$210,'Dados Análise'!$J$220,'Dados Análise'!$J$225)</f>
        <v>5</v>
      </c>
    </row>
    <row r="7" spans="1:20">
      <c r="A7" s="105" t="s">
        <v>311</v>
      </c>
      <c r="B7" s="107">
        <f>SUM(B4:B6)</f>
        <v>255</v>
      </c>
      <c r="C7" s="107">
        <f>SUM(C4:C6)</f>
        <v>246</v>
      </c>
      <c r="D7" s="107">
        <f>SUM(D4:D6)</f>
        <v>9</v>
      </c>
      <c r="E7" s="106">
        <f>IF(B7=0,0,C7/B7)</f>
        <v>0.96470588235294119</v>
      </c>
      <c r="F7" s="107">
        <f>SUM(F4:F6)</f>
        <v>10</v>
      </c>
    </row>
    <row r="8" spans="1:20" ht="26.4">
      <c r="S8" s="110" t="s">
        <v>198</v>
      </c>
      <c r="T8" s="110" t="s">
        <v>312</v>
      </c>
    </row>
    <row r="9" spans="1:20">
      <c r="S9" s="89" t="s">
        <v>207</v>
      </c>
      <c r="T9" s="91">
        <f>D11</f>
        <v>9.113234117647058E-2</v>
      </c>
    </row>
    <row r="10" spans="1:20">
      <c r="A10" s="88" t="s">
        <v>198</v>
      </c>
      <c r="B10" s="88" t="s">
        <v>313</v>
      </c>
      <c r="C10" s="88" t="s">
        <v>314</v>
      </c>
      <c r="D10" s="88" t="s">
        <v>315</v>
      </c>
      <c r="E10" s="88" t="s">
        <v>316</v>
      </c>
      <c r="F10" s="88" t="s">
        <v>317</v>
      </c>
      <c r="G10" s="88" t="s">
        <v>318</v>
      </c>
      <c r="H10" s="88" t="s">
        <v>319</v>
      </c>
      <c r="S10" s="90" t="s">
        <v>209</v>
      </c>
      <c r="T10" s="92">
        <f>D16</f>
        <v>8.8657865853658507E-2</v>
      </c>
    </row>
    <row r="11" spans="1:20">
      <c r="A11" s="108" t="s">
        <v>207</v>
      </c>
      <c r="B11" s="89" t="s">
        <v>320</v>
      </c>
      <c r="C11" s="93">
        <f>COUNT('Dados Análise'!$D$2:$D$86)</f>
        <v>85</v>
      </c>
      <c r="D11" s="91">
        <f>AVERAGE('Dados Análise'!$D$2:$D$86)</f>
        <v>9.113234117647058E-2</v>
      </c>
      <c r="E11" s="91">
        <f>_xlfn.STDEV.S('Dados Análise'!$D$2:$D$86)</f>
        <v>2.1408744703393334E-2</v>
      </c>
      <c r="F11" s="91">
        <f>MIN('Dados Análise'!$D$2:$D$86)</f>
        <v>5.5747999999999999E-2</v>
      </c>
      <c r="G11" s="91">
        <f>MAX('Dados Análise'!$D$2:$D$86)</f>
        <v>0.18784699999999999</v>
      </c>
      <c r="H11" s="89" t="s">
        <v>321</v>
      </c>
      <c r="S11" s="90" t="s">
        <v>210</v>
      </c>
      <c r="T11" s="92">
        <f>D21</f>
        <v>9.1157316455696219E-2</v>
      </c>
    </row>
    <row r="12" spans="1:20">
      <c r="A12" s="109" t="s">
        <v>207</v>
      </c>
      <c r="B12" s="90" t="s">
        <v>322</v>
      </c>
      <c r="C12" s="94">
        <f>COUNT('Dados Análise'!$E$2:$E$86)</f>
        <v>85</v>
      </c>
      <c r="D12" s="102">
        <f>AVERAGE('Dados Análise'!$E$2:$E$86)</f>
        <v>3.786704564705885</v>
      </c>
      <c r="E12" s="102">
        <f>_xlfn.STDEV.S('Dados Análise'!$E$2:$E$86)</f>
        <v>0.70877173172581509</v>
      </c>
      <c r="F12" s="102">
        <f>MIN('Dados Análise'!$E$2:$E$86)</f>
        <v>2.8833869999999999</v>
      </c>
      <c r="G12" s="102">
        <f>MAX('Dados Análise'!$E$2:$E$86)</f>
        <v>6.8512110000000002</v>
      </c>
      <c r="H12" s="90" t="s">
        <v>321</v>
      </c>
    </row>
    <row r="13" spans="1:20">
      <c r="A13" s="109" t="s">
        <v>207</v>
      </c>
      <c r="B13" s="90" t="s">
        <v>323</v>
      </c>
      <c r="C13" s="94">
        <f>COUNT('Dados Análise'!$F$2:$F$86)</f>
        <v>85</v>
      </c>
      <c r="D13" s="102">
        <f>AVERAGE('Dados Análise'!$F$2:$F$86)</f>
        <v>3.8778369058823525</v>
      </c>
      <c r="E13" s="102">
        <f>_xlfn.STDEV.S('Dados Análise'!$F$2:$F$86)</f>
        <v>0.72258245269290056</v>
      </c>
      <c r="F13" s="102">
        <f>MIN('Dados Análise'!$F$2:$F$86)</f>
        <v>2.954526</v>
      </c>
      <c r="G13" s="102">
        <f>MAX('Dados Análise'!$F$2:$F$86)</f>
        <v>7.0390579999999998</v>
      </c>
      <c r="H13" s="90" t="s">
        <v>321</v>
      </c>
    </row>
    <row r="14" spans="1:20" ht="26.4">
      <c r="A14" s="109" t="s">
        <v>207</v>
      </c>
      <c r="B14" s="90" t="s">
        <v>324</v>
      </c>
      <c r="C14" s="94">
        <f>COUNT('Dados Análise'!$G$2:$G$86)</f>
        <v>85</v>
      </c>
      <c r="D14" s="102">
        <f>AVERAGE('Dados Análise'!$G$2:$G$86)</f>
        <v>2.2710602705882357</v>
      </c>
      <c r="E14" s="102">
        <f>_xlfn.STDEV.S('Dados Análise'!$G$2:$G$86)</f>
        <v>1.0131788550632355</v>
      </c>
      <c r="F14" s="102">
        <f>MIN('Dados Análise'!$G$2:$G$86)</f>
        <v>0.76910000000000001</v>
      </c>
      <c r="G14" s="102">
        <f>MAX('Dados Análise'!$G$2:$G$86)</f>
        <v>5.5643779999999996</v>
      </c>
      <c r="H14" s="90" t="s">
        <v>325</v>
      </c>
      <c r="S14" s="110" t="s">
        <v>282</v>
      </c>
      <c r="T14" s="110" t="s">
        <v>326</v>
      </c>
    </row>
    <row r="15" spans="1:20">
      <c r="A15" s="109" t="s">
        <v>207</v>
      </c>
      <c r="B15" s="90" t="s">
        <v>327</v>
      </c>
      <c r="C15" s="94">
        <f>COUNT('Dados Análise'!$H$2:$H$86)</f>
        <v>85</v>
      </c>
      <c r="D15" s="99">
        <f>AVERAGE('Dados Análise'!$H$2:$H$86)</f>
        <v>39.188235294117646</v>
      </c>
      <c r="E15" s="99">
        <f>_xlfn.STDEV.S('Dados Análise'!$H$2:$H$86)</f>
        <v>7.2432137658820581</v>
      </c>
      <c r="F15" s="99">
        <f>MIN('Dados Análise'!$H$2:$H$86)</f>
        <v>29</v>
      </c>
      <c r="G15" s="99">
        <f>MAX('Dados Análise'!$H$2:$H$86)</f>
        <v>70</v>
      </c>
      <c r="H15" s="90" t="s">
        <v>328</v>
      </c>
      <c r="S15" s="89" t="s">
        <v>59</v>
      </c>
      <c r="T15" s="98">
        <f>MIN('Dados Análise'!$O$2)</f>
        <v>549.42470000000003</v>
      </c>
    </row>
    <row r="16" spans="1:20">
      <c r="A16" s="109" t="s">
        <v>209</v>
      </c>
      <c r="B16" s="90" t="s">
        <v>320</v>
      </c>
      <c r="C16" s="94">
        <f>COUNT('Dados Análise'!$D$87:$D$171)</f>
        <v>82</v>
      </c>
      <c r="D16" s="92">
        <f>AVERAGE('Dados Análise'!$D$87:$D$171)</f>
        <v>8.8657865853658507E-2</v>
      </c>
      <c r="E16" s="92">
        <f>_xlfn.STDEV.S('Dados Análise'!$D$87:$D$171)</f>
        <v>1.6430275311416682E-2</v>
      </c>
      <c r="F16" s="92">
        <f>MIN('Dados Análise'!$D$87:$D$171)</f>
        <v>5.5441999999999998E-2</v>
      </c>
      <c r="G16" s="92">
        <f>MAX('Dados Análise'!$D$87:$D$171)</f>
        <v>0.17691699999999999</v>
      </c>
      <c r="H16" s="90" t="s">
        <v>321</v>
      </c>
      <c r="S16" s="90" t="s">
        <v>70</v>
      </c>
      <c r="T16" s="99">
        <f>MIN('Dados Análise'!$O$7,'Dados Análise'!$O$8)</f>
        <v>42.056199999999997</v>
      </c>
    </row>
    <row r="17" spans="1:20">
      <c r="A17" s="109" t="s">
        <v>209</v>
      </c>
      <c r="B17" s="90" t="s">
        <v>322</v>
      </c>
      <c r="C17" s="94">
        <f>COUNT('Dados Análise'!$E$87:$E$171)</f>
        <v>82</v>
      </c>
      <c r="D17" s="102">
        <f>AVERAGE('Dados Análise'!$E$87:$E$171)</f>
        <v>3.7390191707317069</v>
      </c>
      <c r="E17" s="102">
        <f>_xlfn.STDEV.S('Dados Análise'!$E$87:$E$171)</f>
        <v>0.87548825500415561</v>
      </c>
      <c r="F17" s="102">
        <f>MIN('Dados Análise'!$E$87:$E$171)</f>
        <v>2.845529</v>
      </c>
      <c r="G17" s="102">
        <f>MAX('Dados Análise'!$E$87:$E$171)</f>
        <v>8.7493379999999998</v>
      </c>
      <c r="H17" s="90" t="s">
        <v>321</v>
      </c>
      <c r="S17" s="90" t="s">
        <v>88</v>
      </c>
      <c r="T17" s="99">
        <f>MIN('Dados Análise'!$O$3)</f>
        <v>570.35720000000003</v>
      </c>
    </row>
    <row r="18" spans="1:20">
      <c r="A18" s="109" t="s">
        <v>209</v>
      </c>
      <c r="B18" s="90" t="s">
        <v>323</v>
      </c>
      <c r="C18" s="94">
        <f>COUNT('Dados Análise'!$F$87:$F$171)</f>
        <v>82</v>
      </c>
      <c r="D18" s="102">
        <f>AVERAGE('Dados Análise'!$F$87:$F$171)</f>
        <v>3.8276770365853663</v>
      </c>
      <c r="E18" s="102">
        <f>_xlfn.STDEV.S('Dados Análise'!$F$87:$F$171)</f>
        <v>0.88462111375846386</v>
      </c>
      <c r="F18" s="102">
        <f>MIN('Dados Análise'!$F$87:$F$171)</f>
        <v>2.9449160000000001</v>
      </c>
      <c r="G18" s="102">
        <f>MAX('Dados Análise'!$F$87:$F$171)</f>
        <v>8.9262549999999994</v>
      </c>
      <c r="H18" s="90" t="s">
        <v>321</v>
      </c>
      <c r="S18" s="90" t="s">
        <v>93</v>
      </c>
      <c r="T18" s="99">
        <f>MIN('Dados Análise'!$O$9,'Dados Análise'!$O$10)</f>
        <v>76.151399999999995</v>
      </c>
    </row>
    <row r="19" spans="1:20">
      <c r="A19" s="109" t="s">
        <v>209</v>
      </c>
      <c r="B19" s="90" t="s">
        <v>324</v>
      </c>
      <c r="C19" s="94">
        <f>COUNT('Dados Análise'!$G$87:$G$171)</f>
        <v>82</v>
      </c>
      <c r="D19" s="102">
        <f>AVERAGE('Dados Análise'!$G$87:$G$171)</f>
        <v>2.2051470243902433</v>
      </c>
      <c r="E19" s="102">
        <f>_xlfn.STDEV.S('Dados Análise'!$G$87:$G$171)</f>
        <v>1.1461766562966675</v>
      </c>
      <c r="F19" s="102">
        <f>MIN('Dados Análise'!$G$87:$G$171)</f>
        <v>0.91285700000000003</v>
      </c>
      <c r="G19" s="102">
        <f>MAX('Dados Análise'!$G$87:$G$171)</f>
        <v>7.7588270000000001</v>
      </c>
      <c r="H19" s="90" t="s">
        <v>325</v>
      </c>
      <c r="S19" s="90" t="s">
        <v>105</v>
      </c>
      <c r="T19" s="99">
        <f>MIN('Dados Análise'!$O$4)</f>
        <v>2017.57</v>
      </c>
    </row>
    <row r="20" spans="1:20">
      <c r="A20" s="109" t="s">
        <v>209</v>
      </c>
      <c r="B20" s="90" t="s">
        <v>327</v>
      </c>
      <c r="C20" s="94">
        <f>COUNT('Dados Análise'!$H$87:$H$171)</f>
        <v>82</v>
      </c>
      <c r="D20" s="99">
        <f>AVERAGE('Dados Análise'!$H$87:$H$171)</f>
        <v>39</v>
      </c>
      <c r="E20" s="99">
        <f>_xlfn.STDEV.S('Dados Análise'!$H$87:$H$171)</f>
        <v>8.2895144238197727</v>
      </c>
      <c r="F20" s="99">
        <f>MIN('Dados Análise'!$H$87:$H$171)</f>
        <v>30</v>
      </c>
      <c r="G20" s="99">
        <f>MAX('Dados Análise'!$H$87:$H$171)</f>
        <v>89</v>
      </c>
      <c r="H20" s="90" t="s">
        <v>328</v>
      </c>
      <c r="S20" s="90" t="s">
        <v>115</v>
      </c>
      <c r="T20" s="99">
        <f>MIN('Dados Análise'!$O$5)</f>
        <v>334.91160000000002</v>
      </c>
    </row>
    <row r="21" spans="1:20">
      <c r="A21" s="109" t="s">
        <v>210</v>
      </c>
      <c r="B21" s="90" t="s">
        <v>320</v>
      </c>
      <c r="C21" s="94">
        <f>COUNT('Dados Análise'!$D$172:$D$256)</f>
        <v>79</v>
      </c>
      <c r="D21" s="92">
        <f>AVERAGE('Dados Análise'!$D$172:$D$256)</f>
        <v>9.1157316455696219E-2</v>
      </c>
      <c r="E21" s="92">
        <f>_xlfn.STDEV.S('Dados Análise'!$D$172:$D$256)</f>
        <v>2.2355876579883326E-2</v>
      </c>
      <c r="F21" s="92">
        <f>MIN('Dados Análise'!$D$172:$D$256)</f>
        <v>5.9810000000000002E-2</v>
      </c>
      <c r="G21" s="92">
        <f>MAX('Dados Análise'!$D$172:$D$256)</f>
        <v>0.19061400000000001</v>
      </c>
      <c r="H21" s="90" t="s">
        <v>321</v>
      </c>
      <c r="S21" s="90" t="s">
        <v>119</v>
      </c>
      <c r="T21" s="99">
        <f>MIN('Dados Análise'!$O$11,'Dados Análise'!$O$12)</f>
        <v>145.37639999999999</v>
      </c>
    </row>
    <row r="22" spans="1:20">
      <c r="A22" s="109" t="s">
        <v>210</v>
      </c>
      <c r="B22" s="90" t="s">
        <v>322</v>
      </c>
      <c r="C22" s="94">
        <f>COUNT('Dados Análise'!$E$172:$E$256)</f>
        <v>79</v>
      </c>
      <c r="D22" s="102">
        <f>AVERAGE('Dados Análise'!$E$172:$E$256)</f>
        <v>3.8288495189873415</v>
      </c>
      <c r="E22" s="102">
        <f>_xlfn.STDEV.S('Dados Análise'!$E$172:$E$256)</f>
        <v>0.92928062048220417</v>
      </c>
      <c r="F22" s="102">
        <f>MIN('Dados Análise'!$E$172:$E$256)</f>
        <v>2.888582</v>
      </c>
      <c r="G22" s="102">
        <f>MAX('Dados Análise'!$E$172:$E$256)</f>
        <v>8.2473550000000007</v>
      </c>
      <c r="H22" s="90" t="s">
        <v>321</v>
      </c>
      <c r="S22" s="90" t="s">
        <v>129</v>
      </c>
      <c r="T22" s="99">
        <f>MIN('Dados Análise'!$O$6)</f>
        <v>335.12220000000002</v>
      </c>
    </row>
    <row r="23" spans="1:20">
      <c r="A23" s="109" t="s">
        <v>210</v>
      </c>
      <c r="B23" s="90" t="s">
        <v>323</v>
      </c>
      <c r="C23" s="94">
        <f>COUNT('Dados Análise'!$F$172:$F$256)</f>
        <v>79</v>
      </c>
      <c r="D23" s="102">
        <f>AVERAGE('Dados Análise'!$F$172:$F$256)</f>
        <v>3.9200068354430386</v>
      </c>
      <c r="E23" s="102">
        <f>_xlfn.STDEV.S('Dados Análise'!$F$172:$F$256)</f>
        <v>0.94369902925408067</v>
      </c>
      <c r="F23" s="102">
        <f>MIN('Dados Análise'!$F$172:$F$256)</f>
        <v>2.9696699999999998</v>
      </c>
      <c r="G23" s="102">
        <f>MAX('Dados Análise'!$F$172:$F$256)</f>
        <v>8.4379690000000007</v>
      </c>
      <c r="H23" s="90" t="s">
        <v>321</v>
      </c>
      <c r="S23" s="90" t="s">
        <v>133</v>
      </c>
      <c r="T23" s="99">
        <f>MIN('Dados Análise'!$O$13,'Dados Análise'!$O$14)</f>
        <v>202.28819999999999</v>
      </c>
    </row>
    <row r="24" spans="1:20">
      <c r="A24" s="109" t="s">
        <v>210</v>
      </c>
      <c r="B24" s="90" t="s">
        <v>324</v>
      </c>
      <c r="C24" s="94">
        <f>COUNT('Dados Análise'!$G$172:$G$256)</f>
        <v>79</v>
      </c>
      <c r="D24" s="102">
        <f>AVERAGE('Dados Análise'!$G$172:$G$256)</f>
        <v>2.4807807974683533</v>
      </c>
      <c r="E24" s="102">
        <f>_xlfn.STDEV.S('Dados Análise'!$G$172:$G$256)</f>
        <v>1.1550408610011054</v>
      </c>
      <c r="F24" s="102">
        <f>MIN('Dados Análise'!$G$172:$G$256)</f>
        <v>1.1842550000000001</v>
      </c>
      <c r="G24" s="102">
        <f>MAX('Dados Análise'!$G$172:$G$256)</f>
        <v>5.5638170000000002</v>
      </c>
      <c r="H24" s="90" t="s">
        <v>325</v>
      </c>
      <c r="S24" s="90" t="s">
        <v>141</v>
      </c>
      <c r="T24" s="99">
        <f>MIN('Dados Análise'!$O$15,'Dados Análise'!$O$16,'Dados Análise'!$O$17)</f>
        <v>216.982</v>
      </c>
    </row>
    <row r="25" spans="1:20">
      <c r="A25" s="109" t="s">
        <v>210</v>
      </c>
      <c r="B25" s="90" t="s">
        <v>327</v>
      </c>
      <c r="C25" s="94">
        <f>COUNT('Dados Análise'!$H$172:$H$256)</f>
        <v>79</v>
      </c>
      <c r="D25" s="99">
        <f>AVERAGE('Dados Análise'!$H$172:$H$256)</f>
        <v>40.164556962025316</v>
      </c>
      <c r="E25" s="99">
        <f>_xlfn.STDEV.S('Dados Análise'!$H$172:$H$256)</f>
        <v>9.460349616441432</v>
      </c>
      <c r="F25" s="99">
        <f>MIN('Dados Análise'!$H$172:$H$256)</f>
        <v>30</v>
      </c>
      <c r="G25" s="99">
        <f>MAX('Dados Análise'!$H$172:$H$256)</f>
        <v>84</v>
      </c>
      <c r="H25" s="90" t="s">
        <v>328</v>
      </c>
      <c r="S25" s="90" t="s">
        <v>166</v>
      </c>
      <c r="T25" s="99">
        <f>MIN('Dados Análise'!$O$18,'Dados Análise'!$O$19,'Dados Análise'!$O$20)</f>
        <v>98.072500000000005</v>
      </c>
    </row>
    <row r="26" spans="1:20">
      <c r="S26" s="90" t="s">
        <v>151</v>
      </c>
      <c r="T26" s="99">
        <f>MIN('Dados Análise'!$O$21)</f>
        <v>180.71279999999999</v>
      </c>
    </row>
    <row r="29" spans="1:20" ht="22.95" customHeight="1">
      <c r="A29" s="114" t="s">
        <v>329</v>
      </c>
      <c r="B29" s="114" t="s">
        <v>329</v>
      </c>
      <c r="C29" s="114" t="s">
        <v>329</v>
      </c>
      <c r="D29" s="114" t="s">
        <v>329</v>
      </c>
      <c r="E29" s="114" t="s">
        <v>329</v>
      </c>
      <c r="F29" s="114" t="s">
        <v>329</v>
      </c>
      <c r="G29" s="114" t="s">
        <v>329</v>
      </c>
      <c r="H29" s="114" t="s">
        <v>329</v>
      </c>
      <c r="S29" s="110" t="s">
        <v>330</v>
      </c>
      <c r="T29" s="110" t="s">
        <v>331</v>
      </c>
    </row>
    <row r="30" spans="1:20" ht="26.4">
      <c r="A30" s="97" t="s">
        <v>291</v>
      </c>
      <c r="B30" s="97" t="s">
        <v>314</v>
      </c>
      <c r="C30" s="97" t="s">
        <v>332</v>
      </c>
      <c r="D30" s="97" t="s">
        <v>333</v>
      </c>
      <c r="E30" s="97" t="s">
        <v>334</v>
      </c>
      <c r="F30" s="97" t="s">
        <v>335</v>
      </c>
      <c r="G30" s="97" t="s">
        <v>336</v>
      </c>
      <c r="S30" s="89" t="s">
        <v>278</v>
      </c>
      <c r="T30" s="101">
        <f>D41</f>
        <v>50.284818567646667</v>
      </c>
    </row>
    <row r="31" spans="1:20">
      <c r="A31" s="89" t="s">
        <v>337</v>
      </c>
      <c r="B31" s="93">
        <f>COUNT('Dados Análise'!$O$2:$O$21)</f>
        <v>20</v>
      </c>
      <c r="C31" s="98">
        <f>AVERAGE('Dados Análise'!$O$2:$O$21)</f>
        <v>328.77347500000002</v>
      </c>
      <c r="D31" s="98">
        <f>_xlfn.STDEV.S('Dados Análise'!$O$2:$O$21)</f>
        <v>421.11420249595733</v>
      </c>
      <c r="E31" s="98">
        <f>MIN('Dados Análise'!$O$2:$O$21)</f>
        <v>42.056199999999997</v>
      </c>
      <c r="F31" s="98">
        <f>MAX('Dados Análise'!$O$2:$O$21)</f>
        <v>2017.57</v>
      </c>
      <c r="G31" s="98">
        <f>MEDIAN('Dados Análise'!$O$2:$O$21)</f>
        <v>221.66059999999999</v>
      </c>
      <c r="S31" s="90" t="s">
        <v>338</v>
      </c>
      <c r="T31" s="102">
        <f>D45</f>
        <v>0.932426987857227</v>
      </c>
    </row>
    <row r="32" spans="1:20">
      <c r="A32" s="90" t="s">
        <v>60</v>
      </c>
      <c r="B32" s="94">
        <f>COUNT('Dados Análise'!$O$2:$O$6)</f>
        <v>5</v>
      </c>
      <c r="C32" s="99">
        <f>AVERAGE('Dados Análise'!$O$2:$O$6)</f>
        <v>761.47713999999996</v>
      </c>
      <c r="D32" s="99">
        <f>_xlfn.STDEV.S('Dados Análise'!$O$2:$O$6)</f>
        <v>711.1608531999691</v>
      </c>
      <c r="E32" s="99">
        <f>MIN('Dados Análise'!$O$2:$O$6)</f>
        <v>334.91160000000002</v>
      </c>
      <c r="F32" s="99">
        <f>MAX('Dados Análise'!$O$2:$O$6)</f>
        <v>2017.57</v>
      </c>
      <c r="G32" s="99">
        <f>MEDIAN('Dados Análise'!$O$2:$O$6)</f>
        <v>549.42470000000003</v>
      </c>
    </row>
    <row r="33" spans="1:9">
      <c r="A33" s="90" t="s">
        <v>303</v>
      </c>
      <c r="B33" s="94">
        <f>COUNT('Dados Análise'!$O$7:$O$21)</f>
        <v>15</v>
      </c>
      <c r="C33" s="99">
        <f>AVERAGE('Dados Análise'!$O$7:$O$21)</f>
        <v>184.53892000000002</v>
      </c>
      <c r="D33" s="99">
        <f>_xlfn.STDEV.S('Dados Análise'!$O$7:$O$21)</f>
        <v>83.747414234284562</v>
      </c>
      <c r="E33" s="99">
        <f>MIN('Dados Análise'!$O$7:$O$21)</f>
        <v>42.056199999999997</v>
      </c>
      <c r="F33" s="99">
        <f>MAX('Dados Análise'!$O$7:$O$21)</f>
        <v>341.16910000000001</v>
      </c>
      <c r="G33" s="99">
        <f>MEDIAN('Dados Análise'!$O$7:$O$21)</f>
        <v>180.71279999999999</v>
      </c>
    </row>
    <row r="36" spans="1:9" ht="22.95" customHeight="1">
      <c r="A36" s="114" t="s">
        <v>339</v>
      </c>
      <c r="B36" s="114" t="s">
        <v>339</v>
      </c>
      <c r="C36" s="114" t="s">
        <v>339</v>
      </c>
      <c r="D36" s="114" t="s">
        <v>339</v>
      </c>
      <c r="E36" s="114" t="s">
        <v>339</v>
      </c>
      <c r="F36" s="114" t="s">
        <v>339</v>
      </c>
      <c r="G36" s="114" t="s">
        <v>339</v>
      </c>
      <c r="H36" s="114" t="s">
        <v>339</v>
      </c>
    </row>
    <row r="37" spans="1:9">
      <c r="A37" s="100" t="s">
        <v>330</v>
      </c>
      <c r="B37" s="100" t="s">
        <v>313</v>
      </c>
      <c r="C37" s="100" t="s">
        <v>314</v>
      </c>
      <c r="D37" s="100" t="s">
        <v>315</v>
      </c>
      <c r="E37" s="100" t="s">
        <v>316</v>
      </c>
      <c r="F37" s="100" t="s">
        <v>317</v>
      </c>
      <c r="G37" s="100" t="s">
        <v>318</v>
      </c>
      <c r="H37" s="100" t="s">
        <v>319</v>
      </c>
    </row>
    <row r="38" spans="1:9">
      <c r="A38" s="89" t="s">
        <v>278</v>
      </c>
      <c r="B38" s="89" t="s">
        <v>340</v>
      </c>
      <c r="C38" s="93">
        <f>COUNT('Dados Análise'!$S$2:$S$18)</f>
        <v>17</v>
      </c>
      <c r="D38" s="101">
        <f>AVERAGE('Dados Análise'!$S$2:$S$18)</f>
        <v>5.8470588235294194</v>
      </c>
      <c r="E38" s="101">
        <f>_xlfn.STDEV.S('Dados Análise'!$S$2:$S$18)</f>
        <v>12.186063640849072</v>
      </c>
      <c r="F38" s="101">
        <f>MIN('Dados Análise'!$S$2:$S$18)</f>
        <v>9.9999999999988987E-2</v>
      </c>
      <c r="G38" s="101">
        <f>MAX('Dados Análise'!$S$2:$S$18)</f>
        <v>49.500000000000014</v>
      </c>
      <c r="H38" s="89" t="s">
        <v>341</v>
      </c>
    </row>
    <row r="39" spans="1:9">
      <c r="A39" s="90" t="s">
        <v>278</v>
      </c>
      <c r="B39" s="90" t="s">
        <v>342</v>
      </c>
      <c r="C39" s="94">
        <f>COUNT('Dados Análise'!$T$2:$T$18)</f>
        <v>17</v>
      </c>
      <c r="D39" s="102">
        <f>AVERAGE('Dados Análise'!$T$2:$T$18)</f>
        <v>3.8764705882352879</v>
      </c>
      <c r="E39" s="102">
        <f>_xlfn.STDEV.S('Dados Análise'!$T$2:$T$18)</f>
        <v>6.3775513925570246</v>
      </c>
      <c r="F39" s="102">
        <f>MIN('Dados Análise'!$T$2:$T$18)</f>
        <v>9.9999999999988987E-2</v>
      </c>
      <c r="G39" s="102">
        <f>MAX('Dados Análise'!$T$2:$T$18)</f>
        <v>19.199999999999996</v>
      </c>
      <c r="H39" s="90" t="s">
        <v>341</v>
      </c>
    </row>
    <row r="40" spans="1:9">
      <c r="A40" s="90" t="s">
        <v>278</v>
      </c>
      <c r="B40" s="90" t="s">
        <v>343</v>
      </c>
      <c r="C40" s="94">
        <f>COUNT('Dados Análise'!$U$2:$U$18)</f>
        <v>17</v>
      </c>
      <c r="D40" s="102">
        <f>AVERAGE('Dados Análise'!$U$2:$U$18)</f>
        <v>46.823529411764703</v>
      </c>
      <c r="E40" s="102">
        <f>_xlfn.STDEV.S('Dados Análise'!$U$2:$U$18)</f>
        <v>10.786712277830828</v>
      </c>
      <c r="F40" s="102">
        <f>MIN('Dados Análise'!$U$2:$U$18)</f>
        <v>5.8</v>
      </c>
      <c r="G40" s="102">
        <f>MAX('Dados Análise'!$U$2:$U$18)</f>
        <v>52.000000000000021</v>
      </c>
      <c r="H40" s="90" t="s">
        <v>341</v>
      </c>
    </row>
    <row r="41" spans="1:9">
      <c r="A41" s="90" t="s">
        <v>278</v>
      </c>
      <c r="B41" s="90" t="s">
        <v>344</v>
      </c>
      <c r="C41" s="94">
        <f>COUNT('Dados Análise'!$V$2:$V$18)</f>
        <v>17</v>
      </c>
      <c r="D41" s="102">
        <f>AVERAGE('Dados Análise'!$V$2:$V$18)</f>
        <v>50.284818567646667</v>
      </c>
      <c r="E41" s="102">
        <f>_xlfn.STDEV.S('Dados Análise'!$V$2:$V$18)</f>
        <v>0.83063859170900201</v>
      </c>
      <c r="F41" s="102">
        <f>MIN('Dados Análise'!$V$2:$V$18)</f>
        <v>48.805122681948056</v>
      </c>
      <c r="G41" s="102">
        <f>MAX('Dados Análise'!$V$2:$V$18)</f>
        <v>52.004807470079172</v>
      </c>
      <c r="H41" s="90" t="s">
        <v>341</v>
      </c>
    </row>
    <row r="42" spans="1:9">
      <c r="A42" s="90" t="s">
        <v>345</v>
      </c>
      <c r="B42" s="90" t="s">
        <v>340</v>
      </c>
      <c r="C42" s="94">
        <f>COUNT('Dados Análise'!$W$2:$W$18)</f>
        <v>17</v>
      </c>
      <c r="D42" s="102">
        <f>AVERAGE('Dados Análise'!$W$2:$W$18)</f>
        <v>0.40588235294119707</v>
      </c>
      <c r="E42" s="102">
        <f>_xlfn.STDEV.S('Dados Análise'!$W$2:$W$18)</f>
        <v>0.23310563119350472</v>
      </c>
      <c r="F42" s="102">
        <f>MIN('Dados Análise'!$W$2:$W$18)</f>
        <v>9.9999999999988987E-2</v>
      </c>
      <c r="G42" s="102">
        <f>MAX('Dados Análise'!$W$2:$W$18)</f>
        <v>0.89999999999995639</v>
      </c>
      <c r="H42" s="90" t="s">
        <v>341</v>
      </c>
    </row>
    <row r="43" spans="1:9">
      <c r="A43" s="90" t="s">
        <v>345</v>
      </c>
      <c r="B43" s="90" t="s">
        <v>342</v>
      </c>
      <c r="C43" s="94">
        <f>COUNT('Dados Análise'!$X$2:$X$18)</f>
        <v>17</v>
      </c>
      <c r="D43" s="102">
        <f>AVERAGE('Dados Análise'!$X$2:$X$18)</f>
        <v>0.42941176470587361</v>
      </c>
      <c r="E43" s="102">
        <f>_xlfn.STDEV.S('Dados Análise'!$X$2:$X$18)</f>
        <v>0.23917751222250405</v>
      </c>
      <c r="F43" s="102">
        <f>MIN('Dados Análise'!$X$2:$X$18)</f>
        <v>9.9999999999988987E-2</v>
      </c>
      <c r="G43" s="102">
        <f>MAX('Dados Análise'!$X$2:$X$18)</f>
        <v>0.999999999999994</v>
      </c>
      <c r="H43" s="90" t="s">
        <v>341</v>
      </c>
    </row>
    <row r="44" spans="1:9">
      <c r="A44" s="90" t="s">
        <v>345</v>
      </c>
      <c r="B44" s="90" t="s">
        <v>343</v>
      </c>
      <c r="C44" s="94">
        <f>COUNT('Dados Análise'!$Y$2:$Y$18)</f>
        <v>17</v>
      </c>
      <c r="D44" s="102">
        <f>AVERAGE('Dados Análise'!$Y$2:$Y$18)</f>
        <v>0.57294117647058695</v>
      </c>
      <c r="E44" s="102">
        <f>_xlfn.STDEV.S('Dados Análise'!$Y$2:$Y$18)</f>
        <v>0.45765386355140614</v>
      </c>
      <c r="F44" s="102">
        <f>MIN('Dados Análise'!$Y$2:$Y$18)</f>
        <v>4.0000000000005309E-2</v>
      </c>
      <c r="G44" s="102">
        <f>MAX('Dados Análise'!$Y$2:$Y$18)</f>
        <v>1.5000000000000013</v>
      </c>
      <c r="H44" s="90" t="s">
        <v>341</v>
      </c>
    </row>
    <row r="45" spans="1:9">
      <c r="A45" s="90" t="s">
        <v>345</v>
      </c>
      <c r="B45" s="90" t="s">
        <v>344</v>
      </c>
      <c r="C45" s="94">
        <f>COUNT('Dados Análise'!$Z$2:$Z$18)</f>
        <v>17</v>
      </c>
      <c r="D45" s="102">
        <f>AVERAGE('Dados Análise'!$Z$2:$Z$18)</f>
        <v>0.932426987857227</v>
      </c>
      <c r="E45" s="102">
        <f>_xlfn.STDEV.S('Dados Análise'!$Z$2:$Z$18)</f>
        <v>0.34200315325335046</v>
      </c>
      <c r="F45" s="102">
        <f>MIN('Dados Análise'!$Z$2:$Z$18)</f>
        <v>0.30000000000004096</v>
      </c>
      <c r="G45" s="102">
        <f>MAX('Dados Análise'!$Z$2:$Z$18)</f>
        <v>1.5842979517754867</v>
      </c>
      <c r="H45" s="90" t="s">
        <v>341</v>
      </c>
    </row>
    <row r="48" spans="1:9" ht="22.95" customHeight="1">
      <c r="A48" s="114" t="s">
        <v>346</v>
      </c>
      <c r="B48" s="114" t="s">
        <v>346</v>
      </c>
      <c r="C48" s="114" t="s">
        <v>346</v>
      </c>
      <c r="D48" s="114" t="s">
        <v>346</v>
      </c>
      <c r="E48" s="114" t="s">
        <v>346</v>
      </c>
      <c r="F48" s="114" t="s">
        <v>346</v>
      </c>
      <c r="G48" s="114" t="s">
        <v>346</v>
      </c>
      <c r="H48" s="114" t="s">
        <v>346</v>
      </c>
      <c r="I48" s="114" t="s">
        <v>346</v>
      </c>
    </row>
    <row r="49" spans="1:9" ht="48" customHeight="1">
      <c r="A49" s="115" t="s">
        <v>347</v>
      </c>
      <c r="B49" s="116" t="s">
        <v>347</v>
      </c>
      <c r="C49" s="116" t="s">
        <v>347</v>
      </c>
      <c r="D49" s="116" t="s">
        <v>347</v>
      </c>
      <c r="E49" s="116" t="s">
        <v>347</v>
      </c>
      <c r="F49" s="116" t="s">
        <v>347</v>
      </c>
      <c r="G49" s="116" t="s">
        <v>347</v>
      </c>
      <c r="H49" s="116" t="s">
        <v>347</v>
      </c>
      <c r="I49" s="117" t="s">
        <v>347</v>
      </c>
    </row>
    <row r="50" spans="1:9" ht="48" customHeight="1">
      <c r="A50" s="118" t="s">
        <v>347</v>
      </c>
      <c r="B50" s="119" t="s">
        <v>347</v>
      </c>
      <c r="C50" s="119" t="s">
        <v>347</v>
      </c>
      <c r="D50" s="119" t="s">
        <v>347</v>
      </c>
      <c r="E50" s="119" t="s">
        <v>347</v>
      </c>
      <c r="F50" s="119" t="s">
        <v>347</v>
      </c>
      <c r="G50" s="119" t="s">
        <v>347</v>
      </c>
      <c r="H50" s="119" t="s">
        <v>347</v>
      </c>
      <c r="I50" s="120" t="s">
        <v>347</v>
      </c>
    </row>
    <row r="51" spans="1:9" ht="48" customHeight="1">
      <c r="A51" s="115" t="s">
        <v>348</v>
      </c>
      <c r="B51" s="116" t="s">
        <v>348</v>
      </c>
      <c r="C51" s="116" t="s">
        <v>348</v>
      </c>
      <c r="D51" s="116" t="s">
        <v>348</v>
      </c>
      <c r="E51" s="116" t="s">
        <v>348</v>
      </c>
      <c r="F51" s="116" t="s">
        <v>348</v>
      </c>
      <c r="G51" s="116" t="s">
        <v>348</v>
      </c>
      <c r="H51" s="116" t="s">
        <v>348</v>
      </c>
      <c r="I51" s="117" t="s">
        <v>348</v>
      </c>
    </row>
    <row r="52" spans="1:9" ht="48" customHeight="1">
      <c r="A52" s="118" t="s">
        <v>348</v>
      </c>
      <c r="B52" s="119" t="s">
        <v>348</v>
      </c>
      <c r="C52" s="119" t="s">
        <v>348</v>
      </c>
      <c r="D52" s="119" t="s">
        <v>348</v>
      </c>
      <c r="E52" s="119" t="s">
        <v>348</v>
      </c>
      <c r="F52" s="119" t="s">
        <v>348</v>
      </c>
      <c r="G52" s="119" t="s">
        <v>348</v>
      </c>
      <c r="H52" s="119" t="s">
        <v>348</v>
      </c>
      <c r="I52" s="120" t="s">
        <v>348</v>
      </c>
    </row>
    <row r="53" spans="1:9" ht="60" customHeight="1">
      <c r="A53" s="115" t="s">
        <v>349</v>
      </c>
      <c r="B53" s="116" t="s">
        <v>349</v>
      </c>
      <c r="C53" s="116" t="s">
        <v>349</v>
      </c>
      <c r="D53" s="116" t="s">
        <v>349</v>
      </c>
      <c r="E53" s="116" t="s">
        <v>349</v>
      </c>
      <c r="F53" s="116" t="s">
        <v>349</v>
      </c>
      <c r="G53" s="116" t="s">
        <v>349</v>
      </c>
      <c r="H53" s="116" t="s">
        <v>349</v>
      </c>
      <c r="I53" s="117" t="s">
        <v>349</v>
      </c>
    </row>
    <row r="54" spans="1:9" ht="60" customHeight="1">
      <c r="A54" s="122" t="s">
        <v>349</v>
      </c>
      <c r="B54" s="123" t="s">
        <v>349</v>
      </c>
      <c r="C54" s="123" t="s">
        <v>349</v>
      </c>
      <c r="D54" s="123" t="s">
        <v>349</v>
      </c>
      <c r="E54" s="123" t="s">
        <v>349</v>
      </c>
      <c r="F54" s="123" t="s">
        <v>349</v>
      </c>
      <c r="G54" s="123" t="s">
        <v>349</v>
      </c>
      <c r="H54" s="123" t="s">
        <v>349</v>
      </c>
      <c r="I54" s="124" t="s">
        <v>349</v>
      </c>
    </row>
    <row r="55" spans="1:9" ht="60" customHeight="1">
      <c r="A55" s="118" t="s">
        <v>349</v>
      </c>
      <c r="B55" s="119" t="s">
        <v>349</v>
      </c>
      <c r="C55" s="119" t="s">
        <v>349</v>
      </c>
      <c r="D55" s="119" t="s">
        <v>349</v>
      </c>
      <c r="E55" s="119" t="s">
        <v>349</v>
      </c>
      <c r="F55" s="119" t="s">
        <v>349</v>
      </c>
      <c r="G55" s="119" t="s">
        <v>349</v>
      </c>
      <c r="H55" s="119" t="s">
        <v>349</v>
      </c>
      <c r="I55" s="120" t="s">
        <v>349</v>
      </c>
    </row>
    <row r="56" spans="1:9" ht="58.05" customHeight="1">
      <c r="A56" s="115" t="s">
        <v>350</v>
      </c>
      <c r="B56" s="116" t="s">
        <v>350</v>
      </c>
      <c r="C56" s="116" t="s">
        <v>350</v>
      </c>
      <c r="D56" s="116" t="s">
        <v>350</v>
      </c>
      <c r="E56" s="116" t="s">
        <v>350</v>
      </c>
      <c r="F56" s="116" t="s">
        <v>350</v>
      </c>
      <c r="G56" s="116" t="s">
        <v>350</v>
      </c>
      <c r="H56" s="116" t="s">
        <v>350</v>
      </c>
      <c r="I56" s="117" t="s">
        <v>350</v>
      </c>
    </row>
    <row r="57" spans="1:9" ht="58.05" customHeight="1">
      <c r="A57" s="122" t="s">
        <v>350</v>
      </c>
      <c r="B57" s="123" t="s">
        <v>350</v>
      </c>
      <c r="C57" s="123" t="s">
        <v>350</v>
      </c>
      <c r="D57" s="123" t="s">
        <v>350</v>
      </c>
      <c r="E57" s="123" t="s">
        <v>350</v>
      </c>
      <c r="F57" s="123" t="s">
        <v>350</v>
      </c>
      <c r="G57" s="123" t="s">
        <v>350</v>
      </c>
      <c r="H57" s="123" t="s">
        <v>350</v>
      </c>
      <c r="I57" s="124" t="s">
        <v>350</v>
      </c>
    </row>
    <row r="58" spans="1:9" ht="58.05" customHeight="1">
      <c r="A58" s="118" t="s">
        <v>350</v>
      </c>
      <c r="B58" s="119" t="s">
        <v>350</v>
      </c>
      <c r="C58" s="119" t="s">
        <v>350</v>
      </c>
      <c r="D58" s="119" t="s">
        <v>350</v>
      </c>
      <c r="E58" s="119" t="s">
        <v>350</v>
      </c>
      <c r="F58" s="119" t="s">
        <v>350</v>
      </c>
      <c r="G58" s="119" t="s">
        <v>350</v>
      </c>
      <c r="H58" s="119" t="s">
        <v>350</v>
      </c>
      <c r="I58" s="120" t="s">
        <v>350</v>
      </c>
    </row>
    <row r="59" spans="1:9" ht="54" customHeight="1">
      <c r="A59" s="115" t="s">
        <v>351</v>
      </c>
      <c r="B59" s="116" t="s">
        <v>351</v>
      </c>
      <c r="C59" s="116" t="s">
        <v>351</v>
      </c>
      <c r="D59" s="116" t="s">
        <v>351</v>
      </c>
      <c r="E59" s="116" t="s">
        <v>351</v>
      </c>
      <c r="F59" s="116" t="s">
        <v>351</v>
      </c>
      <c r="G59" s="116" t="s">
        <v>351</v>
      </c>
      <c r="H59" s="116" t="s">
        <v>351</v>
      </c>
      <c r="I59" s="117" t="s">
        <v>351</v>
      </c>
    </row>
    <row r="60" spans="1:9" ht="54" customHeight="1">
      <c r="A60" s="122" t="s">
        <v>351</v>
      </c>
      <c r="B60" s="123" t="s">
        <v>351</v>
      </c>
      <c r="C60" s="123" t="s">
        <v>351</v>
      </c>
      <c r="D60" s="123" t="s">
        <v>351</v>
      </c>
      <c r="E60" s="123" t="s">
        <v>351</v>
      </c>
      <c r="F60" s="123" t="s">
        <v>351</v>
      </c>
      <c r="G60" s="123" t="s">
        <v>351</v>
      </c>
      <c r="H60" s="123" t="s">
        <v>351</v>
      </c>
      <c r="I60" s="124" t="s">
        <v>351</v>
      </c>
    </row>
    <row r="61" spans="1:9" ht="54" customHeight="1">
      <c r="A61" s="118" t="s">
        <v>351</v>
      </c>
      <c r="B61" s="119" t="s">
        <v>351</v>
      </c>
      <c r="C61" s="119" t="s">
        <v>351</v>
      </c>
      <c r="D61" s="119" t="s">
        <v>351</v>
      </c>
      <c r="E61" s="119" t="s">
        <v>351</v>
      </c>
      <c r="F61" s="119" t="s">
        <v>351</v>
      </c>
      <c r="G61" s="119" t="s">
        <v>351</v>
      </c>
      <c r="H61" s="119" t="s">
        <v>351</v>
      </c>
      <c r="I61" s="120" t="s">
        <v>351</v>
      </c>
    </row>
    <row r="63" spans="1:9" ht="22.95" customHeight="1">
      <c r="A63" s="114" t="s">
        <v>352</v>
      </c>
      <c r="B63" s="114" t="s">
        <v>352</v>
      </c>
      <c r="C63" s="114" t="s">
        <v>352</v>
      </c>
      <c r="D63" s="114" t="s">
        <v>352</v>
      </c>
      <c r="E63" s="114" t="s">
        <v>352</v>
      </c>
      <c r="F63" s="114" t="s">
        <v>352</v>
      </c>
      <c r="G63" s="114" t="s">
        <v>352</v>
      </c>
      <c r="H63" s="114" t="s">
        <v>352</v>
      </c>
      <c r="I63" s="114" t="s">
        <v>352</v>
      </c>
    </row>
    <row r="64" spans="1:9" ht="43.95" customHeight="1">
      <c r="A64" s="115" t="s">
        <v>353</v>
      </c>
      <c r="B64" s="116" t="s">
        <v>353</v>
      </c>
      <c r="C64" s="116" t="s">
        <v>353</v>
      </c>
      <c r="D64" s="116" t="s">
        <v>353</v>
      </c>
      <c r="E64" s="116" t="s">
        <v>353</v>
      </c>
      <c r="F64" s="116" t="s">
        <v>353</v>
      </c>
      <c r="G64" s="116" t="s">
        <v>353</v>
      </c>
      <c r="H64" s="116" t="s">
        <v>353</v>
      </c>
      <c r="I64" s="117" t="s">
        <v>353</v>
      </c>
    </row>
    <row r="65" spans="1:9" ht="43.95" customHeight="1">
      <c r="A65" s="118" t="s">
        <v>353</v>
      </c>
      <c r="B65" s="119" t="s">
        <v>353</v>
      </c>
      <c r="C65" s="119" t="s">
        <v>353</v>
      </c>
      <c r="D65" s="119" t="s">
        <v>353</v>
      </c>
      <c r="E65" s="119" t="s">
        <v>353</v>
      </c>
      <c r="F65" s="119" t="s">
        <v>353</v>
      </c>
      <c r="G65" s="119" t="s">
        <v>353</v>
      </c>
      <c r="H65" s="119" t="s">
        <v>353</v>
      </c>
      <c r="I65" s="120" t="s">
        <v>353</v>
      </c>
    </row>
    <row r="66" spans="1:9" ht="34.049999999999997" customHeight="1">
      <c r="A66" s="121" t="s">
        <v>354</v>
      </c>
      <c r="B66" s="121"/>
      <c r="C66" s="121"/>
      <c r="D66" s="121"/>
      <c r="E66" s="121"/>
      <c r="F66" s="121"/>
      <c r="G66" s="121"/>
      <c r="H66" s="121"/>
      <c r="I66" s="121"/>
    </row>
    <row r="67" spans="1:9" ht="34.049999999999997" customHeight="1">
      <c r="A67" s="121"/>
      <c r="B67" s="121"/>
      <c r="C67" s="121"/>
      <c r="D67" s="121"/>
      <c r="E67" s="121"/>
      <c r="F67" s="121"/>
      <c r="G67" s="121"/>
      <c r="H67" s="121"/>
      <c r="I67" s="121"/>
    </row>
  </sheetData>
  <mergeCells count="12">
    <mergeCell ref="A64:I65"/>
    <mergeCell ref="A66:I67"/>
    <mergeCell ref="A51:I52"/>
    <mergeCell ref="A53:I55"/>
    <mergeCell ref="A56:I58"/>
    <mergeCell ref="A59:I61"/>
    <mergeCell ref="A63:I63"/>
    <mergeCell ref="A1:Q1"/>
    <mergeCell ref="A29:H29"/>
    <mergeCell ref="A36:H36"/>
    <mergeCell ref="A48:I48"/>
    <mergeCell ref="A49:I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7</vt:i4>
      </vt:variant>
    </vt:vector>
  </HeadingPairs>
  <TitlesOfParts>
    <vt:vector size="7" baseType="lpstr">
      <vt:lpstr>Definição obstáculos</vt:lpstr>
      <vt:lpstr>Testes obstáculos</vt:lpstr>
      <vt:lpstr>Métricas Quantitativas</vt:lpstr>
      <vt:lpstr>Planners</vt:lpstr>
      <vt:lpstr>Resumo</vt:lpstr>
      <vt:lpstr>Dados Análise</vt:lpstr>
      <vt:lpstr>Análise Estatística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Mariana Mateus</cp:lastModifiedBy>
  <dcterms:modified xsi:type="dcterms:W3CDTF">2026-08-24T22:14:15Z</dcterms:modified>
</cp:coreProperties>
</file>